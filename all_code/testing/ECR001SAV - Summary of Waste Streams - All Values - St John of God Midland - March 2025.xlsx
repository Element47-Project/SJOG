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2188" windowHeight="8555"/>
  </bookViews>
  <sheets>
    <sheet name="ST JOHN OF GOD MIDLAND HOSPITAL" sheetId="1" r:id="rId1"/>
  </sheets>
  <externalReferences>
    <externalReference r:id="rId3"/>
  </externalReferenc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<sst xmlns="http://schemas.openxmlformats.org/spreadsheetml/2006/main" count="92" uniqueCount="34">
  <si>
    <r>
      <rPr>
        <b/>
        <sz val="14"/>
        <color theme="1"/>
        <rFont val="Tahoma"/>
        <charset val="134"/>
      </rPr>
      <t>PORTFOLIO SUMMARY OF WASTE STREAMS</t>
    </r>
    <r>
      <rPr>
        <b/>
        <sz val="14"/>
        <color theme="1"/>
        <rFont val="Tahoma"/>
        <charset val="134"/>
      </rPr>
      <t xml:space="preserve"> - All Values</t>
    </r>
  </si>
  <si>
    <r>
      <rPr>
        <sz val="10"/>
        <color theme="1"/>
        <rFont val="Tahoma"/>
        <charset val="134"/>
      </rPr>
      <t xml:space="preserve">Period: </t>
    </r>
    <r>
      <rPr>
        <b/>
        <sz val="10"/>
        <color theme="1"/>
        <rFont val="Tahoma"/>
        <charset val="134"/>
      </rPr>
      <t>Rolling 13 Months</t>
    </r>
  </si>
  <si>
    <r>
      <rPr>
        <sz val="10"/>
        <color theme="1"/>
        <rFont val="Tahoma"/>
        <charset val="134"/>
      </rPr>
      <t xml:space="preserve">Subsidiary: </t>
    </r>
    <r>
      <rPr>
        <b/>
        <sz val="10"/>
        <color theme="1"/>
        <rFont val="Tahoma"/>
        <charset val="134"/>
      </rPr>
      <t>All Subsidiaries</t>
    </r>
  </si>
  <si>
    <t xml:space="preserve">Site Address: </t>
  </si>
  <si>
    <t xml:space="preserve">Site Name </t>
  </si>
  <si>
    <t xml:space="preserve">ST JOHN OF GOD MIDLAND HOSPITAL </t>
  </si>
  <si>
    <t xml:space="preserve"> Cost $$$</t>
  </si>
  <si>
    <t xml:space="preserve"> </t>
  </si>
  <si>
    <t>Grand Total</t>
  </si>
  <si>
    <t xml:space="preserve">DIVERSION                     </t>
  </si>
  <si>
    <t xml:space="preserve">BATTERIES                     </t>
  </si>
  <si>
    <t xml:space="preserve">CARDBOARD RECYCLING           </t>
  </si>
  <si>
    <t xml:space="preserve">COMINGLE CONTAINERS           </t>
  </si>
  <si>
    <t xml:space="preserve">COPPER                        </t>
  </si>
  <si>
    <t xml:space="preserve">ELECTRONIC WASTE              </t>
  </si>
  <si>
    <t xml:space="preserve">FLUORO RECYCLING              </t>
  </si>
  <si>
    <t>FOOD WASTE /ORGANICS RECYCLING</t>
  </si>
  <si>
    <t xml:space="preserve">GREASE TRAP WASTE             </t>
  </si>
  <si>
    <t xml:space="preserve">KIMGUARD                      </t>
  </si>
  <si>
    <t xml:space="preserve">METAL RECYCLING               </t>
  </si>
  <si>
    <t xml:space="preserve">OPERATING ROOM PLASTICS       </t>
  </si>
  <si>
    <t xml:space="preserve">PLASTIC                       </t>
  </si>
  <si>
    <t xml:space="preserve">STAINLESS STEEL               </t>
  </si>
  <si>
    <t xml:space="preserve">SURGICAL DEVICES              </t>
  </si>
  <si>
    <t xml:space="preserve">TIMBER RECYCLING              </t>
  </si>
  <si>
    <t xml:space="preserve">LANDFILL                      </t>
  </si>
  <si>
    <t xml:space="preserve">BUILDING WASTE                </t>
  </si>
  <si>
    <t xml:space="preserve">GENERAL WASTE DRY             </t>
  </si>
  <si>
    <t xml:space="preserve">NAPPY                         </t>
  </si>
  <si>
    <t xml:space="preserve">SANITARY WASTE                </t>
  </si>
  <si>
    <t>% Diversion</t>
  </si>
  <si>
    <t>Volume (M3)</t>
  </si>
  <si>
    <t xml:space="preserve">Weights (Tns) </t>
  </si>
  <si>
    <t>Commercial In Confidence - Not to be distributed to any third party without the express written permission of Veolia Recycling &amp; Recovery.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</si>
</sst>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mmm\-yy"/>
    <numFmt numFmtId="177" formatCode="#0"/>
    <numFmt numFmtId="178" formatCode="#0"/>
    <numFmt numFmtId="179" formatCode="#0"/>
    <numFmt numFmtId="180" formatCode="#0.00"/>
    <numFmt numFmtId="181" formatCode="#0.00"/>
    <numFmt numFmtId="182" formatCode="#0"/>
    <numFmt numFmtId="183" formatCode="#0"/>
    <numFmt numFmtId="184" formatCode="#0"/>
    <numFmt numFmtId="185" formatCode="#0"/>
    <numFmt numFmtId="186" formatCode="#0"/>
    <numFmt numFmtId="187" formatCode="#0"/>
    <numFmt numFmtId="188" formatCode="#0"/>
    <numFmt numFmtId="189" formatCode="#0"/>
    <numFmt numFmtId="190" formatCode="#0.00"/>
    <numFmt numFmtId="191" formatCode="#0.00"/>
    <numFmt numFmtId="192" formatCode="#0.00"/>
    <numFmt numFmtId="193" formatCode="#0.00"/>
    <numFmt numFmtId="194" formatCode="#0.00"/>
    <numFmt numFmtId="195" formatCode="#0.0000"/>
    <numFmt numFmtId="196" formatCode="#0.00"/>
    <numFmt numFmtId="197" formatCode="#0"/>
    <numFmt numFmtId="198" formatCode="#0.00"/>
    <numFmt numFmtId="199" formatCode="#0.000"/>
    <numFmt numFmtId="200" formatCode="#0.000"/>
    <numFmt numFmtId="201" formatCode="#0.000"/>
    <numFmt numFmtId="202" formatCode="#0.00"/>
    <numFmt numFmtId="203" formatCode="#0.00"/>
    <numFmt numFmtId="204" formatCode="#0.000"/>
    <numFmt numFmtId="205" formatCode="[$$-C09]#,##0.00"/>
    <numFmt numFmtId="206" formatCode="[$$-C09]#,##0.00"/>
    <numFmt numFmtId="207" formatCode="#0"/>
    <numFmt numFmtId="208" formatCode="#0"/>
    <numFmt numFmtId="209" formatCode="#0"/>
    <numFmt numFmtId="210" formatCode="#0.00"/>
    <numFmt numFmtId="211" formatCode="#0.00"/>
    <numFmt numFmtId="212" formatCode="#0"/>
    <numFmt numFmtId="213" formatCode="#0"/>
    <numFmt numFmtId="214" formatCode="#0"/>
    <numFmt numFmtId="215" formatCode="#0"/>
    <numFmt numFmtId="216" formatCode="#0"/>
    <numFmt numFmtId="217" formatCode="#0"/>
    <numFmt numFmtId="218" formatCode="#0"/>
    <numFmt numFmtId="219" formatCode="#0"/>
    <numFmt numFmtId="220" formatCode="#0.00"/>
    <numFmt numFmtId="221" formatCode="#0.00"/>
    <numFmt numFmtId="222" formatCode="#0.00"/>
    <numFmt numFmtId="223" formatCode="#0.00"/>
    <numFmt numFmtId="224" formatCode="#0.00"/>
    <numFmt numFmtId="225" formatCode="#0.0000"/>
    <numFmt numFmtId="226" formatCode="#0.00"/>
    <numFmt numFmtId="227" formatCode="#0"/>
    <numFmt numFmtId="228" formatCode="#0.00"/>
    <numFmt numFmtId="229" formatCode="#0.000"/>
    <numFmt numFmtId="230" formatCode="#0.000"/>
    <numFmt numFmtId="231" formatCode="#0.000"/>
    <numFmt numFmtId="232" formatCode="#0.00"/>
    <numFmt numFmtId="233" formatCode="#0.00"/>
    <numFmt numFmtId="234" formatCode="#0.000"/>
    <numFmt numFmtId="235" formatCode="[$$-C09]#,##0.00"/>
    <numFmt numFmtId="236" formatCode="[$$-C09]#,##0.00"/>
    <numFmt numFmtId="237" formatCode="#0"/>
    <numFmt numFmtId="238" formatCode="#0"/>
    <numFmt numFmtId="239" formatCode="#0"/>
    <numFmt numFmtId="240" formatCode="#0.00"/>
    <numFmt numFmtId="241" formatCode="#0.00"/>
    <numFmt numFmtId="242" formatCode="#0"/>
    <numFmt numFmtId="243" formatCode="#0"/>
    <numFmt numFmtId="244" formatCode="#0"/>
    <numFmt numFmtId="245" formatCode="#0"/>
    <numFmt numFmtId="246" formatCode="#0"/>
    <numFmt numFmtId="247" formatCode="#0"/>
    <numFmt numFmtId="248" formatCode="#0"/>
    <numFmt numFmtId="249" formatCode="#0"/>
    <numFmt numFmtId="250" formatCode="#0.00"/>
    <numFmt numFmtId="251" formatCode="#0.00"/>
    <numFmt numFmtId="252" formatCode="#0.00"/>
    <numFmt numFmtId="253" formatCode="#0.00"/>
    <numFmt numFmtId="254" formatCode="#0.00"/>
    <numFmt numFmtId="255" formatCode="#0.0000"/>
    <numFmt numFmtId="256" formatCode="#0.00"/>
    <numFmt numFmtId="257" formatCode="#0"/>
    <numFmt numFmtId="258" formatCode="#0.00"/>
    <numFmt numFmtId="259" formatCode="#0.000"/>
    <numFmt numFmtId="260" formatCode="#0.000"/>
    <numFmt numFmtId="261" formatCode="#0.000"/>
    <numFmt numFmtId="262" formatCode="#0.00"/>
    <numFmt numFmtId="263" formatCode="#0.00"/>
    <numFmt numFmtId="264" formatCode="#0.000"/>
    <numFmt numFmtId="265" formatCode="[$$-C09]#,##0.00"/>
    <numFmt numFmtId="266" formatCode="[$$-C09]#,##0.00"/>
  </numFmts>
  <fonts count="26">
    <font>
      <sz val="10"/>
      <color theme="1"/>
      <name val="Tahoma"/>
      <charset val="134"/>
    </font>
    <font>
      <sz val="10"/>
      <color theme="0"/>
      <name val="Tahoma"/>
      <charset val="134"/>
    </font>
    <font>
      <b/>
      <sz val="14"/>
      <color theme="1"/>
      <name val="Tahoma"/>
      <charset val="134"/>
    </font>
    <font>
      <b/>
      <sz val="8"/>
      <color theme="1"/>
      <name val="Tahoma"/>
      <charset val="134"/>
    </font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0"/>
      <color theme="1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8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176" fontId="1" fillId="0" borderId="2" xfId="0" applyNumberFormat="1" applyFont="1" applyBorder="1"/>
    <xf numFmtId="0" fontId="2" fillId="0" borderId="3" xfId="0" applyFont="1" applyBorder="1" applyAlignment="1">
      <alignment horizontal="center" vertical="top"/>
    </xf>
    <xf numFmtId="0" fontId="0" fillId="0" borderId="4" xfId="0" applyBorder="1"/>
    <xf numFmtId="0" fontId="0" fillId="0" borderId="5" xfId="0" applyFont="1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0" borderId="7" xfId="0" applyBorder="1"/>
    <xf numFmtId="0" fontId="0" fillId="0" borderId="7" xfId="0" applyFont="1" applyBorder="1" applyAlignment="1">
      <alignment horizontal="left" vertical="center"/>
    </xf>
    <xf numFmtId="0" fontId="0" fillId="0" borderId="5" xfId="0" applyBorder="1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0" fillId="0" borderId="5" xfId="0" applyBorder="1"/>
    <xf numFmtId="176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5" xfId="0" applyBorder="1" applyAlignment="1">
      <alignment horizontal="left" indent="1"/>
    </xf>
    <xf numFmtId="10" fontId="0" fillId="0" borderId="0" xfId="49" applyNumberFormat="1" applyFont="1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0" fontId="0" fillId="0" borderId="0" xfId="3" applyNumberFormat="1" applyFont="1"/>
    <xf numFmtId="0" fontId="0" fillId="0" borderId="10" xfId="0" applyBorder="1" applyAlignment="1">
      <alignment horizontal="center"/>
    </xf>
    <xf numFmtId="10" fontId="0" fillId="0" borderId="0" xfId="49" applyNumberFormat="1" applyFont="1" applyFill="1" applyBorder="1"/>
    <xf numFmtId="0" fontId="3" fillId="0" borderId="5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Percent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143</xdr:row>
      <xdr:rowOff>0</xdr:rowOff>
    </xdr:from>
    <xdr:ext cx="8591550" cy="647700"/>
    <xdr:pic>
      <xdr:nvPicPr>
        <xdr:cNvPr id="2" name="Report+Footer-Logo-whit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6723995"/>
          <a:ext cx="8591550" cy="6477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3.%20Customers\1.%20Current%20NKA%20Customers\St%20John%20Of%20God\3.0%20Monthly%20Reports\ECR001SAV%20-%20Summary%20of%20Waste%20Streams%20-%20All%20Values%20-%20St%20John%20of%20God%20Templat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ddress Lookup "/>
      <sheetName val="InvoiceList"/>
      <sheetName val="ST JOHN OF GOD BURWOOD"/>
      <sheetName val="ST JOHN OF GOD BURWOOD CTC"/>
      <sheetName val="ST JOHN OF GOD BURWOOD MEDICAL "/>
      <sheetName val="ST JOHN OF GOD CARINE SPECIALIS"/>
      <sheetName val="ST JOHN OF GOD CONVENT"/>
      <sheetName val="ST JOHN OF GOD HAWKESBURY"/>
      <sheetName val="HAWKESBURY DISTRICT HEALTH SERV"/>
      <sheetName val="ST JOHN OF GOD HEALTHCARE PERTH"/>
      <sheetName val="ST JOHN OF GOD HEALTHCARE WEST "/>
      <sheetName val="ST JOHN OF GOD HOSPITAL GERALDT"/>
      <sheetName val="ST JOHN OF GOD MIDLAND HOSPITAL"/>
      <sheetName val="ST JOHN OF GOD MT LAWLEY HOSPIT"/>
      <sheetName val="ST JOHN OF GOD MURDOCH CLINIC"/>
      <sheetName val="ST JOHN OF GOD MURDOCH HOSPITAL"/>
      <sheetName val="SJOG MURDOCH - SURGI CENTRE"/>
      <sheetName val="SJOG MURDOCH - HOSPICE"/>
      <sheetName val="SJOG MURDOCH - MED CLINIC"/>
      <sheetName val="ST JOHN OF GOD RICHMOND"/>
      <sheetName val="ST JOHN OF GOD HOUSE"/>
      <sheetName val="ST JOHN OF GOD SUBIACO"/>
      <sheetName val="ST JOHN OF GOD SUBIACO HOSPITAL"/>
      <sheetName val="ST JOHN OF GOD -SUBIACO EYE HOS"/>
      <sheetName val="SJOG SUBI- RESEARCH DEPT"/>
      <sheetName val="ST JOHN OF GOD SUBIACO - DOCTOR"/>
      <sheetName val="ST JOHN OF GOD TRUSTEE WEMBLEY"/>
    </sheetNames>
    <sheetDataSet>
      <sheetData sheetId="0">
        <row r="3">
          <cell r="B3" t="str">
            <v>Service Address</v>
          </cell>
          <cell r="C3" t="str">
            <v>Site Name </v>
          </cell>
        </row>
        <row r="4">
          <cell r="B4" t="str">
            <v>SUITE 210 OSBORNE PARK                  </v>
          </cell>
          <cell r="C4" t="str">
            <v>ST JOHN OF GOD SUBIACO - DOCTOR CULLEN</v>
          </cell>
        </row>
        <row r="5">
          <cell r="B5" t="str">
            <v>CNR DAY &amp; MACQUARIE ST WINDSOR          </v>
          </cell>
          <cell r="C5" t="str">
            <v>ST JOHN OF GOD HAWKESBURY </v>
          </cell>
        </row>
        <row r="6">
          <cell r="B6" t="str">
            <v>CNR DAY &amp; MACQUARIE ST WINDSOR          </v>
          </cell>
          <cell r="C6" t="str">
            <v>ST JOHN OF GOD HAWKESBURY </v>
          </cell>
        </row>
        <row r="7">
          <cell r="B7" t="str">
            <v>2 DAY ST WINDSOR                        </v>
          </cell>
          <cell r="C7" t="str">
            <v>ST JOHN OF GOD HAWKESBURY </v>
          </cell>
        </row>
        <row r="8">
          <cell r="B8" t="str">
            <v>CNR DAY &amp; MACQUARIE STS WINDSOR         </v>
          </cell>
          <cell r="C8" t="str">
            <v>ST JOHN OF GOD HAWKESBURY </v>
          </cell>
        </row>
        <row r="9">
          <cell r="B9" t="str">
            <v>CNR DAY &amp; MACQUARIE STS WINDSOR         </v>
          </cell>
          <cell r="C9" t="str">
            <v>ST JOHN OF GOD HAWKESBURY </v>
          </cell>
        </row>
        <row r="10">
          <cell r="B10" t="str">
            <v>CNR DAY &amp; MACQUARIE ST WINDSOR          </v>
          </cell>
          <cell r="C10" t="str">
            <v>ST JOHN OF GOD HAWKESBURY </v>
          </cell>
        </row>
        <row r="11">
          <cell r="B11" t="str">
            <v>CNR DAY &amp; MACQUARIE ST WINDSOR          </v>
          </cell>
          <cell r="C11" t="str">
            <v>ST JOHN OF GOD HAWKESBURY </v>
          </cell>
        </row>
        <row r="12">
          <cell r="B12" t="str">
            <v>CNR DAY &amp; MACQUARIE ST WINDSOR          </v>
          </cell>
          <cell r="C12" t="str">
            <v>HAWKESBURY DISTRICT HEALTH SERVICE</v>
          </cell>
        </row>
        <row r="13">
          <cell r="B13" t="str">
            <v>CNR DAY &amp; MACQUARIE ST WINDSOR          </v>
          </cell>
          <cell r="C13" t="str">
            <v>HAWKESBURY DISTRICT HEALTH SERVICE</v>
          </cell>
        </row>
        <row r="14">
          <cell r="B14" t="str">
            <v>1ST FLOOR, 192 CAMBRIDGE ST WEMBLEY     </v>
          </cell>
          <cell r="C14" t="str">
            <v>ST JOHN OF GOD SUBIACO HOSPITAL - RESEARCH DEPT </v>
          </cell>
        </row>
        <row r="15">
          <cell r="B15" t="str">
            <v>100 MURDOCH DR MURDOCH                  </v>
          </cell>
          <cell r="C15" t="str">
            <v>ST JOHN OF GOD MURDOCH HOSPITAL - SURGICENTRE</v>
          </cell>
        </row>
        <row r="16">
          <cell r="B16" t="str">
            <v>100 MURDOCH DR MURDOCH                  </v>
          </cell>
          <cell r="C16" t="str">
            <v>ST JOHN OF GOD MURDOCH HOSPITAL - SURGICENTRE</v>
          </cell>
        </row>
        <row r="17">
          <cell r="B17" t="str">
            <v>13 GRANTHAM ST BURWOOD                  </v>
          </cell>
          <cell r="C17" t="str">
            <v>ST JOHN OF GOD BURWOOD </v>
          </cell>
        </row>
        <row r="18">
          <cell r="B18" t="str">
            <v>MAIN HOSPITAL/13 GRANTHAM ST BURWOOD    </v>
          </cell>
          <cell r="C18" t="str">
            <v>ST JOHN OF GOD BURWOOD </v>
          </cell>
        </row>
        <row r="19">
          <cell r="B19" t="str">
            <v>MEDICAL CENTRE/3 GRANTHAM ST BURWOOD    </v>
          </cell>
          <cell r="C19" t="str">
            <v>ST JOHN OF GOD BURWOOD MEDICAL CENTRE </v>
          </cell>
        </row>
        <row r="20">
          <cell r="B20" t="str">
            <v>CTC/3 GRANTHAM ST BURWOOD               </v>
          </cell>
          <cell r="C20" t="str">
            <v>ST JOHN OF GOD BURWOOD CTC</v>
          </cell>
        </row>
        <row r="21">
          <cell r="B21" t="str">
            <v>2 GEMSTONE BOULEVARD CARINE             </v>
          </cell>
          <cell r="C21" t="str">
            <v>ST JOHN OF GOD CARINE SPECIALIST CENTRE</v>
          </cell>
        </row>
        <row r="22">
          <cell r="B22" t="str">
            <v>9 MCCOURT ST                            </v>
          </cell>
          <cell r="C22" t="str">
            <v>ST JOHN OF GOD CONVENT</v>
          </cell>
        </row>
        <row r="23">
          <cell r="B23" t="str">
            <v>190 CAMBRIDGE ST SUBIACO                </v>
          </cell>
          <cell r="C23" t="str">
            <v>ST JOHN OF GOD SUBIACO HOSPITAL - Eye Hospital </v>
          </cell>
        </row>
        <row r="24">
          <cell r="B24" t="str">
            <v>U5/40 HASLER RD OSBORNE PARK            </v>
          </cell>
          <cell r="C24" t="str">
            <v>ST JOHN OF GOD HEALTHCARE  OSBORNE PARK             </v>
          </cell>
        </row>
        <row r="25">
          <cell r="B25" t="str">
            <v>U 4  8 HASLER RD OSBORNE PARK           </v>
          </cell>
          <cell r="C25" t="str">
            <v>ST JOHN OF GOD HEALTHCARE  OSBORNE PARK             </v>
          </cell>
        </row>
        <row r="26">
          <cell r="B26" t="str">
            <v>LEVEL 1, 556 WELLINGTON PLACE           </v>
          </cell>
          <cell r="C26" t="str">
            <v>ST JOHN OF GOD HEALTHCARE PERTH </v>
          </cell>
        </row>
        <row r="27">
          <cell r="B27" t="str">
            <v>12 KINGS PARK RD WEST PERTH             </v>
          </cell>
          <cell r="C27" t="str">
            <v>ST JOHN OF GOD HEALTHCARE WEST PERTH </v>
          </cell>
        </row>
        <row r="28">
          <cell r="B28" t="str">
            <v>U 4  8 HASLER RD OSBORNE PARK           </v>
          </cell>
          <cell r="C28" t="str">
            <v>ST JOHN OF GOD HEALTHCARE  OSBORNE PARK             </v>
          </cell>
        </row>
        <row r="29">
          <cell r="B29" t="str">
            <v>U5/40 HASLER RD OSBORNE PARK            </v>
          </cell>
          <cell r="C29" t="str">
            <v>ST JOHN OF GOD HEALTHCARE  OSBORNE PARK             </v>
          </cell>
        </row>
        <row r="30">
          <cell r="B30" t="str">
            <v>12 HERMITAGE ST GERALDTON               </v>
          </cell>
          <cell r="C30" t="str">
            <v>ST JOHN OF GOD HOSPITAL GERALDTON </v>
          </cell>
        </row>
        <row r="31">
          <cell r="B31" t="str">
            <v>1 CLAYTON ST MIDLAND                        </v>
          </cell>
          <cell r="C31" t="str">
            <v>ST JOHN OF GOD MIDLAND HOSPITAL </v>
          </cell>
        </row>
        <row r="32">
          <cell r="B32" t="str">
            <v>1 CLAYTON ST MIDLAND                        </v>
          </cell>
          <cell r="C32" t="str">
            <v>ST JOHN OF GOD MIDLAND HOSPITAL </v>
          </cell>
        </row>
        <row r="33">
          <cell r="B33" t="str">
            <v>1 CLAYTON ST MIDLAND                        </v>
          </cell>
          <cell r="C33" t="str">
            <v>ST JOHN OF GOD MIDLAND HOSPITAL </v>
          </cell>
        </row>
        <row r="34">
          <cell r="B34" t="str">
            <v>1 CLAYTON ST MIDLAND                        </v>
          </cell>
          <cell r="C34" t="str">
            <v>ST JOHN OF GOD MIDLAND HOSPITAL </v>
          </cell>
        </row>
        <row r="35">
          <cell r="B35" t="str">
            <v>1 CLAYTON ST MIDLAND                        </v>
          </cell>
          <cell r="C35" t="str">
            <v>ST JOHN OF GOD MIDLAND HOSPITAL </v>
          </cell>
        </row>
        <row r="36">
          <cell r="B36" t="str">
            <v>1 CLAYTON ST MIDLAND                        </v>
          </cell>
          <cell r="C36" t="str">
            <v>ST JOHN OF GOD MIDLAND HOSPITAL </v>
          </cell>
        </row>
        <row r="37">
          <cell r="B37" t="str">
            <v>1 CLAYTON ST MIDLAND                        </v>
          </cell>
          <cell r="C37" t="str">
            <v>ST JOHN OF GOD MIDLAND HOSPITAL </v>
          </cell>
        </row>
        <row r="38">
          <cell r="B38" t="str">
            <v>1 CLAYTON RD MIDLAND                    </v>
          </cell>
          <cell r="C38" t="str">
            <v>ST JOHN OF GOD MIDLAND HOSPITAL </v>
          </cell>
        </row>
        <row r="39">
          <cell r="B39" t="str">
            <v>100 MURDOCH DR MURDOCH                  </v>
          </cell>
          <cell r="C39" t="str">
            <v>ST JOHN OF GOD MURDOCH HOSPITAL </v>
          </cell>
        </row>
        <row r="40">
          <cell r="B40" t="str">
            <v>100 MURDOCH DR MURDOCH                  </v>
          </cell>
          <cell r="C40" t="str">
            <v>ST JOHN OF GOD MURDOCH HOSPITAL </v>
          </cell>
        </row>
        <row r="41">
          <cell r="B41" t="str">
            <v>100 MURDOCH DR MURDOCH                  </v>
          </cell>
          <cell r="C41" t="str">
            <v>ST JOHN OF GOD MURDOCH HOSPITAL </v>
          </cell>
        </row>
        <row r="42">
          <cell r="B42" t="str">
            <v>MCCOURT ST SUBIACO                      </v>
          </cell>
          <cell r="C42" t="str">
            <v>ST JOHN OF GOD SUBIACO HOSPITAL </v>
          </cell>
        </row>
        <row r="43">
          <cell r="B43" t="str">
            <v>MCCOURT ST SUBIACO                      </v>
          </cell>
          <cell r="C43" t="str">
            <v>ST JOHN OF GOD SUBIACO HOSPITAL </v>
          </cell>
        </row>
        <row r="44">
          <cell r="B44" t="str">
            <v>MCCOURT ST SUBIACO                      </v>
          </cell>
          <cell r="C44" t="str">
            <v>ST JOHN OF GOD SUBIACO HOSPITAL </v>
          </cell>
        </row>
        <row r="45">
          <cell r="B45" t="str">
            <v>MCCOURT ST SUBIACO                      </v>
          </cell>
          <cell r="C45" t="str">
            <v>ST JOHN OF GOD SUBIACO HOSPITAL </v>
          </cell>
        </row>
        <row r="46">
          <cell r="B46" t="str">
            <v>MAIN ENTRANCE SALVADO RD SUBIACO        </v>
          </cell>
          <cell r="C46" t="str">
            <v>ST JOHN OF GOD SUBIACO HOSPITAL </v>
          </cell>
        </row>
        <row r="47">
          <cell r="B47" t="str">
            <v>GALLERY CAMBRIDGE ST SUBIACO            </v>
          </cell>
          <cell r="C47" t="str">
            <v>ST JOHN OF GOD SUBIACO HOSPITAL </v>
          </cell>
        </row>
        <row r="48">
          <cell r="B48" t="str">
            <v>SKG MCCOURT ST SUBIACO                  </v>
          </cell>
          <cell r="C48" t="str">
            <v>ST JOHN OF GOD SUBIACO HOSPITAL </v>
          </cell>
        </row>
        <row r="49">
          <cell r="B49" t="str">
            <v>MCCOURT ST SUBIACO                      </v>
          </cell>
          <cell r="C49" t="str">
            <v>ST JOHN OF GOD SUBIACO HOSPITAL </v>
          </cell>
        </row>
        <row r="50">
          <cell r="B50" t="str">
            <v>LVL 2/2 MCCOURT ST WEMBLEY              </v>
          </cell>
          <cell r="C50" t="str">
            <v>ST JOHN OF GOD SUBIACO HOSPITAL </v>
          </cell>
        </row>
        <row r="51">
          <cell r="B51" t="str">
            <v>ENGINEERING CAMBRIDGE ST SUBIACO        </v>
          </cell>
          <cell r="C51" t="str">
            <v>ST JOHN OF GOD SUBIACO HOSPITAL </v>
          </cell>
        </row>
        <row r="52">
          <cell r="B52" t="str">
            <v>MCCOURT ST                              </v>
          </cell>
          <cell r="C52" t="str">
            <v>ST JOHN OF GOD SUBIACO HOSPITAL </v>
          </cell>
        </row>
        <row r="53">
          <cell r="B53" t="str">
            <v>MCCOURT ST SUBIACO                      </v>
          </cell>
          <cell r="C53" t="str">
            <v>ST JOHN OF GOD SUBIACO HOSPITAL </v>
          </cell>
        </row>
        <row r="54">
          <cell r="B54" t="str">
            <v>MCCOURT ST, SUBIACO                     </v>
          </cell>
          <cell r="C54" t="str">
            <v>ST JOHN OF GOD SUBIACO HOSPITAL </v>
          </cell>
        </row>
        <row r="55">
          <cell r="B55" t="str">
            <v>MAIN ENTRANCE SALVADO RD SUBIACO        </v>
          </cell>
          <cell r="C55" t="str">
            <v>ST JOHN OF GOD SUBIACO HOSPITAL </v>
          </cell>
        </row>
        <row r="56">
          <cell r="B56" t="str">
            <v>MCCOURT ST SUBIACO                      </v>
          </cell>
          <cell r="C56" t="str">
            <v>ST JOHN OF GOD SUBIACO HOSPITAL </v>
          </cell>
        </row>
        <row r="57">
          <cell r="B57" t="str">
            <v>MCCOURT ST SUBIACO                      </v>
          </cell>
          <cell r="C57" t="str">
            <v>ST JOHN OF GOD SUBIACO HOSPITAL </v>
          </cell>
        </row>
        <row r="58">
          <cell r="B58" t="str">
            <v>MCCOURT ST SUBIACO                      </v>
          </cell>
          <cell r="C58" t="str">
            <v>ST JOHN OF GOD SUBIACO HOSPITAL </v>
          </cell>
        </row>
        <row r="59">
          <cell r="B59" t="str">
            <v>D'ARCY LANE SUBIACO                     </v>
          </cell>
          <cell r="C59" t="str">
            <v>ST JOHN OF GOD HOUSE</v>
          </cell>
        </row>
        <row r="60">
          <cell r="B60" t="str">
            <v>1 CLAYTON ST MIDLAND                        </v>
          </cell>
          <cell r="C60" t="str">
            <v>ST JOHN OF GOD MIDLAND HOSPITAL </v>
          </cell>
        </row>
        <row r="61">
          <cell r="B61" t="str">
            <v>1 CLAYTON ST MIDLAND                        </v>
          </cell>
          <cell r="C61" t="str">
            <v>ST JOHN OF GOD MIDLAND HOSPITAL </v>
          </cell>
        </row>
        <row r="62">
          <cell r="B62" t="str">
            <v>1 CLAYTON ST MIDLAND                        </v>
          </cell>
          <cell r="C62" t="str">
            <v>ST JOHN OF GOD MIDLAND HOSPITAL </v>
          </cell>
        </row>
        <row r="63">
          <cell r="B63" t="str">
            <v>1 CLAYTON ST MIDLAND                        </v>
          </cell>
          <cell r="C63" t="str">
            <v>ST JOHN OF GOD MIDLAND HOSPITAL </v>
          </cell>
        </row>
        <row r="64">
          <cell r="B64" t="str">
            <v>1 CLAYTON ST MIDLAND                        </v>
          </cell>
          <cell r="C64" t="str">
            <v>ST JOHN OF GOD MIDLAND HOSPITAL </v>
          </cell>
        </row>
        <row r="65">
          <cell r="B65" t="str">
            <v>THIRLEMERE RD MOUNT LAWLEY              </v>
          </cell>
          <cell r="C65" t="str">
            <v>ST JOHN OF GOD MT LAWLEY HOSPITAL </v>
          </cell>
        </row>
        <row r="66">
          <cell r="B66" t="str">
            <v>ELLESMERE RD MOUNT LAWLEY MOUNT LAWLEY  </v>
          </cell>
          <cell r="C66" t="str">
            <v>ST JOHN OF GOD MT LAWLEY HOSPITAL </v>
          </cell>
        </row>
        <row r="67">
          <cell r="B67" t="str">
            <v>THIRLMERE RD MOUNT LAWLEY               </v>
          </cell>
          <cell r="C67" t="str">
            <v>ST JOHN OF GOD MT LAWLEY HOSPITAL </v>
          </cell>
        </row>
        <row r="68">
          <cell r="B68" t="str">
            <v>THIRLMERE RD MOUNT LAWLEY               </v>
          </cell>
          <cell r="C68" t="str">
            <v>ST JOHN OF GOD MT LAWLEY HOSPITAL </v>
          </cell>
        </row>
        <row r="69">
          <cell r="B69" t="str">
            <v>THIRLEMERE RD MOUNT LAWLEY              </v>
          </cell>
          <cell r="C69" t="str">
            <v>ST JOHN OF GOD MT LAWLEY HOSPITAL </v>
          </cell>
        </row>
        <row r="70">
          <cell r="B70" t="str">
            <v>100 MURDOCH DR MURDOCH                  </v>
          </cell>
          <cell r="C70" t="str">
            <v>ST JOHN OF GOD MURDOCH HOSPITAL </v>
          </cell>
        </row>
        <row r="71">
          <cell r="B71" t="str">
            <v>100 MURDOCH DR MURDOCH                  </v>
          </cell>
          <cell r="C71" t="str">
            <v>ST JOHN OF GOD MURDOCH HOSPITAL </v>
          </cell>
        </row>
        <row r="72">
          <cell r="B72" t="str">
            <v>100 MURDOCH DR MURDOCH                  </v>
          </cell>
          <cell r="C72" t="str">
            <v>ST JOHN OF GOD MURDOCH HOSPITAL </v>
          </cell>
        </row>
        <row r="73">
          <cell r="B73" t="str">
            <v>100 MURDOCH DRV MURDOCH                 </v>
          </cell>
          <cell r="C73" t="str">
            <v>ST JOHN OF GOD MURDOCH HOSPITAL </v>
          </cell>
        </row>
        <row r="74">
          <cell r="B74" t="str">
            <v>100 MURDOCH DRIVE MURDOCH               </v>
          </cell>
          <cell r="C74" t="str">
            <v>ST JOHN OF GOD MURDOCH HOSPITAL </v>
          </cell>
        </row>
        <row r="75">
          <cell r="B75" t="str">
            <v>100 MURDOCH DRV MURDOCH                 </v>
          </cell>
          <cell r="C75" t="str">
            <v>ST JOHN OF GOD MURDOCH HOSPITAL </v>
          </cell>
        </row>
        <row r="76">
          <cell r="B76" t="str">
            <v>100 MURDOCH DRIVE, MURDOCH WA 6150      </v>
          </cell>
          <cell r="C76" t="str">
            <v>ST JOHN OF GOD MURDOCH HOSPITAL </v>
          </cell>
        </row>
        <row r="77">
          <cell r="B77" t="str">
            <v>100 MURDOCH DRIVE, MURDOCH WA 6150      </v>
          </cell>
          <cell r="C77" t="str">
            <v>ST JOHN OF GOD MURDOCH HOSPITAL </v>
          </cell>
        </row>
        <row r="78">
          <cell r="B78" t="str">
            <v>100 HOSPICE MURDOCH DRIVE MURDOCH       </v>
          </cell>
          <cell r="C78" t="str">
            <v>ST JOHN OF GOD MURDOCH HOSPITAL HOSPICE</v>
          </cell>
        </row>
        <row r="79">
          <cell r="B79" t="str">
            <v>HOSPICE MURDOCH DRIVE MURDOCH           </v>
          </cell>
          <cell r="C79" t="str">
            <v>ST JOHN OF GOD MURDOCH HOSPITAL HOSPICE</v>
          </cell>
        </row>
        <row r="80">
          <cell r="B80" t="str">
            <v>HOSPICE MURDOCH DRIVE MURDOCH           </v>
          </cell>
          <cell r="C80" t="str">
            <v>ST JOHN OF GOD MURDOCH HOSPITAL HOSPICE</v>
          </cell>
        </row>
        <row r="81">
          <cell r="B81" t="str">
            <v>HOSPICE MURDOCH DRIVE MURDOCH           </v>
          </cell>
          <cell r="C81" t="str">
            <v>ST JOHN OF GOD MURDOCH HOSPITAL HOSPICE</v>
          </cell>
        </row>
        <row r="82">
          <cell r="B82" t="str">
            <v>STE 5-7, 100 MURDOCH DR MURDOCH         </v>
          </cell>
          <cell r="C82" t="str">
            <v>ST JOHN OF GOD MURDOCH CLINIC</v>
          </cell>
        </row>
        <row r="83">
          <cell r="B83" t="str">
            <v>100 MURDOCH DR MURDOCH                  </v>
          </cell>
          <cell r="C83" t="str">
            <v>ST JOHN OF GOD MURDOCH HOSPITAL </v>
          </cell>
        </row>
        <row r="84">
          <cell r="B84" t="str">
            <v>BUILDING C, 100 MURDOCH DR MURDOCH      </v>
          </cell>
          <cell r="C84" t="str">
            <v>ST JOHN OF GOD MURDOCH MEDICAL CLINIC</v>
          </cell>
        </row>
        <row r="85">
          <cell r="B85" t="str">
            <v>88 FORSYTH RD O'CONNOR                  </v>
          </cell>
          <cell r="C85" t="str">
            <v>ST JOHN OF GOD O'CONNOR WAREHOUSE(SUPPLY OF GOODS ONLY) </v>
          </cell>
        </row>
        <row r="86">
          <cell r="B86" t="str">
            <v>177 GROSE VALE RD RICHMOND              </v>
          </cell>
          <cell r="C86" t="str">
            <v>ST JOHN OF GOD RICHMOND</v>
          </cell>
        </row>
        <row r="87">
          <cell r="B87" t="str">
            <v>177 GROSE VALE RD RICHMOND              </v>
          </cell>
          <cell r="C87" t="str">
            <v>ST JOHN OF GOD RICHMOND</v>
          </cell>
        </row>
        <row r="88">
          <cell r="B88" t="str">
            <v>190 CAMBRIDGE ST WEMBLEY                </v>
          </cell>
          <cell r="C88" t="str">
            <v>ST JOHN OF GOD SUBIACO </v>
          </cell>
        </row>
        <row r="89">
          <cell r="B89" t="str">
            <v>L2/ 1C ROYDHOUSE ST SUBIACO             </v>
          </cell>
          <cell r="C89" t="str">
            <v>ST JOHN OF GOD SUBIACO HOSPITAL </v>
          </cell>
        </row>
        <row r="90">
          <cell r="B90" t="str">
            <v>LVL 1/2 MCCOURT ST WEMBLEY              </v>
          </cell>
          <cell r="C90" t="str">
            <v>ST JOHN OF GOD TRUSTEE WEMBLEY</v>
          </cell>
        </row>
        <row r="91">
          <cell r="B91" t="str">
            <v>100 MURDOCH DR MURDOCH                  </v>
          </cell>
          <cell r="C91" t="str">
            <v>ST JOHN OF GOD MURDOCH HOSPITAL 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Shane\Downloads\Working\ECR001SAV - Summary of Waste Streams - All Values - St John of God Template - March 2025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invalid="1" saveData="0" createdVersion="8" refreshedVersion="8" minRefreshableVersion="3" refreshedDate="45762.4169579861" refreshedBy="Devi Guruge" recordCount="14272">
  <cacheSource type="worksheet">
    <worksheetSource name="Table1" r:id="rId1"/>
  </cacheSource>
  <cacheFields count="95">
    <cacheField name="Site Name " numFmtId="0">
      <sharedItems count="33">
        <s v="ST JOHN OF GOD MURDOCH HOSPITAL "/>
        <s v="ST JOHN OF GOD MIDLAND HOSPITAL "/>
        <s v="ST JOHN OF GOD MT LAWLEY HOSPITAL "/>
        <s v="ST JOHN OF GOD SUBIACO HOSPITAL "/>
        <s v="ST JOHN OF GOD MURDOCH HOSPITAL - SURGICENTRE"/>
        <s v="ST JOHN OF GOD HOSPITAL GERALDTON "/>
        <s v="ST JOHN OF GOD O'CONNOR WAREHOUSE(SUPPLY OF GOODS ONLY) "/>
        <s v="HAWKESBURY DISTRICT HEALTH SERVICE"/>
        <s v="ST JOHN OF GOD RICHMOND"/>
        <s v="ST JOHN OF GOD HEALTHCARE  OSBORNE PARK             "/>
        <s v="ST JOHN OF GOD MURDOCH MEDICAL CLINIC"/>
        <s v="ST JOHN OF GOD BURWOOD "/>
        <s v="ST JOHN OF GOD MURDOCH HOSPITAL HOSPICE"/>
        <s v="ST JOHN OF GOD HAWKESBURY "/>
        <s v="ST JOHN OF GOD SUBIACO HOSPITAL - RESEARCH DEPT "/>
        <s v="ST JOHN OF GOD HEALTHCARE PERTH "/>
        <s v="ST JOHN OF GOD SUBIACO "/>
        <s v="ST JOHN OF GOD CONVENT"/>
        <s v="ST JOHN OF GOD BUNBURY"/>
        <s v="ST JOHN OF GOD MURDOCH"/>
        <s v="HAWKESBURY DISTRICT HEALTH SERVICE - 7463677                                 "/>
        <s v="HAWKESBURY DISTRICT HEALTH SERVICE - 7461310                                 "/>
        <s v="ST JOHN OF GOD BURWOOD MEDICAL CENTRE "/>
        <s v="ST JOHN OF GOD CARINE SPECIALIST CENTRE"/>
        <s v="ST JOHN OF GOD BURWOOD CTC"/>
        <s v="ST JOHN OF GOD HOUSE"/>
        <s v="ST JOHN OF GOD HOSPITAL BUNBURY - 7294354                                 "/>
        <s v="HAWKESBURY DISTRICT HEALTH SERVICE - 746563"/>
        <s v="ST JOHN OF GOD SUBIACO HOSPITAL - Eye Hospital "/>
        <s v="ST JOHN OF GOD MURDOCH CLINIC" u="1"/>
        <s v="ST JOHN OF GOD SUBIACO - DOCTOR CULLEN" u="1"/>
        <s v="ST JOHN OF GOD TRUSTEE WEMBLEY" u="1"/>
        <e v="#N/A" u="1"/>
      </sharedItems>
    </cacheField>
    <cacheField name="Reviewed Weights " numFmtId="0"/>
    <cacheField name="DNS" numFmtId="0"/>
    <cacheField name="State" numFmtId="0"/>
    <cacheField name="CID" numFmtId="257"/>
    <cacheField name="Customer Name" numFmtId="0"/>
    <cacheField name="Additional Info" numFmtId="0"/>
    <cacheField name="SA #" numFmtId="257"/>
    <cacheField name="SeqNo" numFmtId="257"/>
    <cacheField name="Billing $" numFmtId="263"/>
    <cacheField name="Volume M3" numFmtId="263"/>
    <cacheField name="Qty Serviced" numFmtId="3"/>
    <cacheField name="Size" numFmtId="257"/>
    <cacheField name="Containers " numFmtId="3"/>
    <cacheField name="Document No." numFmtId="257"/>
    <cacheField name="Service Date" numFmtId="0"/>
    <cacheField name="Period Date" numFmtId="0"/>
    <cacheField name="Purchase Order" numFmtId="0"/>
    <cacheField name="Frequency" numFmtId="0"/>
    <cacheField name="Stops" numFmtId="3"/>
    <cacheField name="Services / Week" numFmtId="257"/>
    <cacheField name="Route" numFmtId="257"/>
    <cacheField name="Rate Type" numFmtId="0"/>
    <cacheField name="Cost Centre" numFmtId="0"/>
    <cacheField name="Service Type Code" numFmtId="0"/>
    <cacheField name="Service Type" numFmtId="0"/>
    <cacheField name="Profit Centre" numFmtId="0"/>
    <cacheField name="Waste Type Code" numFmtId="0"/>
    <cacheField name="Waste Type" numFmtId="0">
      <sharedItems count="33">
        <s v="BATTERIES                     "/>
        <s v="BUILDING WASTE                "/>
        <s v="CARDBOARD RECYCLING           "/>
        <s v="COMINGLE CONTAINERS           "/>
        <s v="CONFIDENTIAL PAPER            "/>
        <s v="COPPER                        "/>
        <s v="CYTOTOXIC WASTE               "/>
        <s v="ELECTRONIC WASTE              "/>
        <s v="FLUORO RECYCLING              "/>
        <s v="FOOD WASTE /ORGANICS RECYCLING"/>
        <s v="GENERAL WASTE DRY             "/>
        <s v="GREASE TRAP WASTE             "/>
        <s v="GREEN WASTE                   "/>
        <s v="INCINERATION WASTE            "/>
        <s v="INK CARTRIDGE                 "/>
        <s v="KIMGUARD                      "/>
        <s v="LOW-DENSITY POLYETHYLENE      "/>
        <s v="MATTRESSES                    "/>
        <s v="MEDICAL WASTE                 "/>
        <s v="METAL RECYCLING               "/>
        <s v="NAPPY                         "/>
        <s v="NONE / NOT APPLICABLE         "/>
        <s v="OPERATING ROOM PLASTICS       "/>
        <s v="PAPER AND CARDBOARD           "/>
        <s v="PAPER ONLY                    "/>
        <s v="PLASTIC                       "/>
        <s v="POLYSTYRENE                   "/>
        <s v="PRODUCT DESTRUCTION MATERIAL  "/>
        <s v="SANITARY WASTE                "/>
        <s v="STAINLESS STEEL               "/>
        <s v="SURGICAL DEVICES              "/>
        <s v="TIMBER RECYCLING              "/>
        <s v="HAZARDOUS WASTE - LIQUID      " u="1"/>
      </sharedItems>
    </cacheField>
    <cacheField name="SA Uom" numFmtId="0"/>
    <cacheField name="Rate Uom" numFmtId="0"/>
    <cacheField name="Order Type" numFmtId="0"/>
    <cacheField name="Billing Id" numFmtId="257"/>
    <cacheField name="Billing Name" numFmtId="0"/>
    <cacheField name="PID" numFmtId="257"/>
    <cacheField name="Parent Name" numFmtId="0"/>
    <cacheField name="NATID" numFmtId="257"/>
    <cacheField name="National Name" numFmtId="0"/>
    <cacheField name="CORID" numFmtId="257"/>
    <cacheField name="Corporate Name" numFmtId="0"/>
    <cacheField name="Top Level" numFmtId="257"/>
    <cacheField name="Top Name" numFmtId="0"/>
    <cacheField name="Service Address" numFmtId="0"/>
    <cacheField name="Address Line 1" numFmtId="0"/>
    <cacheField name="Suburb" numFmtId="0"/>
    <cacheField name="Post Code" numFmtId="0"/>
    <cacheField name="Fixed $" numFmtId="263"/>
    <cacheField name="Site $" numFmtId="263"/>
    <cacheField name="Pickup $" numFmtId="263"/>
    <cacheField name="Metre $" numFmtId="263"/>
    <cacheField name="Disposal $" numFmtId="263"/>
    <cacheField name="Rate $" numFmtId="255"/>
    <cacheField name="Rebate $" numFmtId="263"/>
    <cacheField name="Services" numFmtId="3"/>
    <cacheField name="Billing Code" numFmtId="0"/>
    <cacheField name="Pickup Ref" numFmtId="257"/>
    <cacheField name="Tip Location" numFmtId="0"/>
    <cacheField name="Tip Docket #" numFmtId="0"/>
    <cacheField name="Cancelled" numFmtId="0"/>
    <cacheField name="Service Code" numFmtId="0"/>
    <cacheField name="Swift" numFmtId="0"/>
    <cacheField name="Swift Lifts" numFmtId="3"/>
    <cacheField name="Swift Volume" numFmtId="263"/>
    <cacheField name="Swift Weight" numFmtId="264"/>
    <cacheField name="Weight Sold MT" numFmtId="264"/>
    <cacheField name="Weight Average MT" numFmtId="264"/>
    <cacheField name="Landfill $" numFmtId="0"/>
    <cacheField name="Diversion $" numFmtId="3"/>
    <cacheField name="Waste Stream" numFmtId="0">
      <sharedItems count="3">
        <s v="DIVERSION                     "/>
        <s v="LANDFILL                      "/>
        <s v="INCINERATION                  "/>
      </sharedItems>
    </cacheField>
    <cacheField name="Subsidiary" numFmtId="0"/>
    <cacheField name="VolumeCalc" numFmtId="263"/>
    <cacheField name="Volume" numFmtId="263"/>
    <cacheField name="Density" numFmtId="264"/>
    <cacheField name="Service Date2" numFmtId="0"/>
    <cacheField name="Period MMYY" numFmtId="176">
      <sharedItems containsSemiMixedTypes="0" containsString="0" containsNonDate="0" containsDate="1" minDate="2022-12-01T00:00:00" maxDate="2025-03-01T00:00:00" count="28">
        <d v="2024-10-01T00:00:00"/>
        <d v="2024-07-01T00:00:00"/>
        <d v="2024-04-01T00:00:00"/>
        <d v="2025-01-01T00:00:00"/>
        <d v="2024-08-01T00:00:00"/>
        <d v="2024-03-01T00:00:00"/>
        <d v="2024-09-01T00:00:00"/>
        <d v="2025-02-01T00:00:00"/>
        <d v="2024-05-01T00:00:00"/>
        <d v="2024-12-01T00:00:00"/>
        <d v="2025-03-01T00:00:00"/>
        <d v="2024-06-01T00:00:00"/>
        <d v="2024-11-01T00:00:00"/>
        <d v="2024-02-01T00:00:00" u="1"/>
        <d v="2024-01-01T00:00:00" u="1"/>
        <d v="2023-12-01T00:00:00" u="1"/>
        <d v="2023-11-01T00:00:00" u="1"/>
        <d v="2023-10-01T00:00:00" u="1"/>
        <d v="2023-09-01T00:00:00" u="1"/>
        <d v="2023-08-01T00:00:00" u="1"/>
        <d v="2023-07-01T00:00:00" u="1"/>
        <d v="2023-05-01T00:00:00" u="1"/>
        <d v="2023-06-01T00:00:00" u="1"/>
        <d v="2023-04-01T00:00:00" u="1"/>
        <d v="2023-03-01T00:00:00" u="1"/>
        <d v="2023-02-01T00:00:00" u="1"/>
        <d v="2023-01-01T00:00:00" u="1"/>
        <d v="2022-12-01T00:00:00" u="1"/>
      </sharedItems>
    </cacheField>
    <cacheField name="SCount" numFmtId="3"/>
    <cacheField name="DCount" numFmtId="3"/>
    <cacheField name="DocketandPickup" numFmtId="0"/>
    <cacheField name="Collected Weight" numFmtId="0"/>
    <cacheField name="Location Id" numFmtId="0"/>
    <cacheField name="Weight Calc" numFmtId="0"/>
    <cacheField name="Serviced Sold Weight" numFmtId="0"/>
    <cacheField name="GST" numFmtId="266"/>
    <cacheField name="Amount Incl(GST)" numFmtId="266"/>
    <cacheField name="Rate Rebate" numFmtId="0"/>
    <cacheField name="Rate Pickup" numFmtId="0"/>
    <cacheField name="Rate Rental" numFmtId="0"/>
    <cacheField name="Rate Disposal" numFmtId="0"/>
    <cacheField name="Exception Missed" numFmtId="0"/>
    <cacheField name="Exception Futile" numFmtId="0"/>
    <cacheField name="SA Description" numFmtId="0"/>
    <cacheField name="Service Days" numFmtId="0"/>
    <cacheField name="Equipment Type" numFmtId="0"/>
    <cacheField name="Equipment Name" numFmtId="0"/>
    <cacheField name="Weight Calc Source" numFmtId="0"/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preserveFormatting="0" useAutoFormatting="1" indent="0" outline="1" outlineData="1" showDrill="1" multipleFieldFilters="0" enableDrill="0" rowHeaderCaption=" " colHeaderCaption=" ">
  <location ref="A8:O31" firstHeaderRow="1" firstDataRow="2" firstDataCol="1" rowPageCount="1" colPageCount="1"/>
  <pivotFields count="95">
    <pivotField axis="axisPage" showAll="0">
      <items count="34">
        <item x="7"/>
        <item x="11"/>
        <item x="24"/>
        <item x="22"/>
        <item x="23"/>
        <item x="17"/>
        <item x="13"/>
        <item x="9"/>
        <item x="15"/>
        <item x="5"/>
        <item x="25"/>
        <item x="1"/>
        <item x="2"/>
        <item m="1" x="29"/>
        <item x="0"/>
        <item x="4"/>
        <item x="12"/>
        <item x="10"/>
        <item x="6"/>
        <item x="8"/>
        <item x="16"/>
        <item m="1" x="30"/>
        <item x="3"/>
        <item x="28"/>
        <item x="14"/>
        <item m="1" x="31"/>
        <item x="18"/>
        <item m="1" x="32"/>
        <item x="19"/>
        <item x="20"/>
        <item x="21"/>
        <item x="26"/>
        <item x="27"/>
        <item t="default"/>
      </items>
    </pivotField>
    <pivotField showAll="0"/>
    <pivotField showAll="0"/>
    <pivotField showAll="0"/>
    <pivotField numFmtId="177" showAll="0"/>
    <pivotField showAll="0"/>
    <pivotField showAll="0"/>
    <pivotField numFmtId="177" showAll="0"/>
    <pivotField numFmtId="177" showAll="0"/>
    <pivotField dataField="1" numFmtId="180" showAll="0"/>
    <pivotField numFmtId="180" showAll="0"/>
    <pivotField numFmtId="3" showAll="0"/>
    <pivotField numFmtId="177" showAll="0"/>
    <pivotField numFmtId="3" showAll="0"/>
    <pivotField numFmtId="177" showAll="0"/>
    <pivotField showAll="0"/>
    <pivotField showAll="0"/>
    <pivotField showAll="0"/>
    <pivotField showAll="0"/>
    <pivotField numFmtId="3" showAll="0"/>
    <pivotField numFmtId="177" showAll="0"/>
    <pivotField numFmtId="177" showAll="0"/>
    <pivotField showAll="0"/>
    <pivotField showAll="0"/>
    <pivotField showAll="0"/>
    <pivotField showAll="0"/>
    <pivotField showAll="0"/>
    <pivotField showAll="0"/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m="1" x="32"/>
        <item t="default"/>
      </items>
    </pivotField>
    <pivotField showAll="0"/>
    <pivotField showAll="0"/>
    <pivotField showAll="0"/>
    <pivotField numFmtId="177" showAll="0"/>
    <pivotField showAll="0"/>
    <pivotField numFmtId="177" showAll="0"/>
    <pivotField showAll="0"/>
    <pivotField numFmtId="177" showAll="0"/>
    <pivotField showAll="0"/>
    <pivotField showAll="0"/>
    <pivotField showAll="0"/>
    <pivotField numFmtId="177" showAll="0"/>
    <pivotField showAll="0"/>
    <pivotField showAll="0"/>
    <pivotField showAll="0"/>
    <pivotField showAll="0"/>
    <pivotField showAll="0"/>
    <pivotField numFmtId="180" showAll="0"/>
    <pivotField numFmtId="180" showAll="0"/>
    <pivotField numFmtId="180" showAll="0"/>
    <pivotField numFmtId="180" showAll="0"/>
    <pivotField numFmtId="180" showAll="0"/>
    <pivotField numFmtId="195" showAll="0"/>
    <pivotField numFmtId="180" showAll="0"/>
    <pivotField numFmtId="3" showAll="0"/>
    <pivotField showAll="0"/>
    <pivotField numFmtId="177" showAll="0"/>
    <pivotField showAll="0"/>
    <pivotField showAll="0"/>
    <pivotField showAll="0"/>
    <pivotField showAll="0"/>
    <pivotField showAll="0"/>
    <pivotField numFmtId="3" showAll="0"/>
    <pivotField numFmtId="180" showAll="0"/>
    <pivotField numFmtId="199" showAll="0"/>
    <pivotField numFmtId="199" showAll="0"/>
    <pivotField numFmtId="199" showAll="0"/>
    <pivotField showAll="0"/>
    <pivotField numFmtId="3" showAll="0"/>
    <pivotField axis="axisRow" showAll="0">
      <items count="4">
        <item x="0"/>
        <item x="2"/>
        <item x="1"/>
        <item t="default"/>
      </items>
    </pivotField>
    <pivotField showAll="0"/>
    <pivotField numFmtId="180" showAll="0"/>
    <pivotField numFmtId="180" showAll="0"/>
    <pivotField numFmtId="199" showAll="0"/>
    <pivotField showAll="0"/>
    <pivotField axis="axisCol" sortType="ascending" numFmtId="176" showAll="0">
      <items count="29"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x="5"/>
        <item x="2"/>
        <item x="8"/>
        <item x="11"/>
        <item x="1"/>
        <item x="4"/>
        <item x="6"/>
        <item x="0"/>
        <item x="12"/>
        <item x="9"/>
        <item x="3"/>
        <item x="7"/>
        <item x="10"/>
        <item t="default"/>
      </items>
    </pivotField>
    <pivotField numFmtId="3" showAll="0"/>
    <pivotField numFmtId="3" showAll="0"/>
    <pivotField showAll="0"/>
    <pivotField showAll="0"/>
    <pivotField showAll="0"/>
    <pivotField showAll="0"/>
    <pivotField showAll="0"/>
    <pivotField numFmtId="205" showAll="0"/>
    <pivotField numFmtId="20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8"/>
    <field x="28"/>
  </rowFields>
  <rowItems count="22">
    <i>
      <x/>
    </i>
    <i r="1">
      <x/>
    </i>
    <i r="1">
      <x v="2"/>
    </i>
    <i r="1">
      <x v="3"/>
    </i>
    <i r="1">
      <x v="5"/>
    </i>
    <i r="1">
      <x v="7"/>
    </i>
    <i r="1">
      <x v="8"/>
    </i>
    <i r="1">
      <x v="9"/>
    </i>
    <i r="1">
      <x v="11"/>
    </i>
    <i r="1">
      <x v="15"/>
    </i>
    <i r="1">
      <x v="19"/>
    </i>
    <i r="1">
      <x v="22"/>
    </i>
    <i r="1">
      <x v="25"/>
    </i>
    <i r="1">
      <x v="29"/>
    </i>
    <i r="1">
      <x v="30"/>
    </i>
    <i r="1">
      <x v="31"/>
    </i>
    <i>
      <x v="2"/>
    </i>
    <i r="1">
      <x v="1"/>
    </i>
    <i r="1">
      <x v="10"/>
    </i>
    <i r="1">
      <x v="20"/>
    </i>
    <i r="1">
      <x v="28"/>
    </i>
    <i t="grand">
      <x/>
    </i>
  </rowItems>
  <colFields count="1">
    <field x="74"/>
  </colFields>
  <colItems count="14"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pageFields count="1">
    <pageField fld="0" item="11"/>
  </pageFields>
  <dataFields count="1">
    <dataField name=" Cost $$$" fld="9" baseField="0" baseItem="0"/>
  </dataFields>
  <pivotTableStyleInfo name="PivotStyleLight8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preserveFormatting="0" useAutoFormatting="1" indent="0" outline="1" outlineData="1" showDrill="1" multipleFieldFilters="0" enableDrill="0" rowHeaderCaption=" " colHeaderCaption=" ">
  <location ref="A100:O123" firstHeaderRow="1" firstDataRow="2" firstDataCol="1" rowPageCount="1" colPageCount="1"/>
  <pivotFields count="95">
    <pivotField axis="axisPage" showAll="0">
      <items count="34">
        <item x="7"/>
        <item x="11"/>
        <item x="24"/>
        <item x="22"/>
        <item x="23"/>
        <item x="17"/>
        <item x="13"/>
        <item x="9"/>
        <item x="15"/>
        <item x="5"/>
        <item x="25"/>
        <item x="1"/>
        <item x="2"/>
        <item m="1" x="29"/>
        <item x="0"/>
        <item x="4"/>
        <item x="12"/>
        <item x="10"/>
        <item x="6"/>
        <item x="8"/>
        <item x="16"/>
        <item m="1" x="30"/>
        <item x="3"/>
        <item x="28"/>
        <item x="14"/>
        <item m="1" x="31"/>
        <item x="18"/>
        <item m="1" x="32"/>
        <item x="19"/>
        <item x="20"/>
        <item x="21"/>
        <item x="26"/>
        <item x="27"/>
        <item t="default"/>
      </items>
    </pivotField>
    <pivotField dataField="1" showAll="0"/>
    <pivotField showAll="0"/>
    <pivotField showAll="0"/>
    <pivotField numFmtId="177" showAll="0"/>
    <pivotField showAll="0"/>
    <pivotField showAll="0"/>
    <pivotField numFmtId="177" showAll="0"/>
    <pivotField numFmtId="177" showAll="0"/>
    <pivotField numFmtId="180" showAll="0"/>
    <pivotField numFmtId="180" showAll="0"/>
    <pivotField numFmtId="3" showAll="0"/>
    <pivotField numFmtId="177" showAll="0"/>
    <pivotField numFmtId="3" showAll="0"/>
    <pivotField numFmtId="177" showAll="0"/>
    <pivotField showAll="0"/>
    <pivotField showAll="0"/>
    <pivotField showAll="0"/>
    <pivotField showAll="0"/>
    <pivotField numFmtId="3" showAll="0"/>
    <pivotField numFmtId="177" showAll="0"/>
    <pivotField numFmtId="177" showAll="0"/>
    <pivotField showAll="0"/>
    <pivotField showAll="0"/>
    <pivotField showAll="0"/>
    <pivotField showAll="0"/>
    <pivotField showAll="0"/>
    <pivotField showAll="0"/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m="1" x="32"/>
        <item t="default"/>
      </items>
    </pivotField>
    <pivotField showAll="0"/>
    <pivotField showAll="0"/>
    <pivotField showAll="0"/>
    <pivotField numFmtId="177" showAll="0"/>
    <pivotField showAll="0"/>
    <pivotField numFmtId="177" showAll="0"/>
    <pivotField showAll="0"/>
    <pivotField numFmtId="177" showAll="0"/>
    <pivotField showAll="0"/>
    <pivotField showAll="0"/>
    <pivotField showAll="0"/>
    <pivotField numFmtId="177" showAll="0"/>
    <pivotField showAll="0"/>
    <pivotField showAll="0"/>
    <pivotField showAll="0"/>
    <pivotField showAll="0"/>
    <pivotField showAll="0"/>
    <pivotField numFmtId="180" showAll="0"/>
    <pivotField numFmtId="180" showAll="0"/>
    <pivotField numFmtId="180" showAll="0"/>
    <pivotField numFmtId="180" showAll="0"/>
    <pivotField numFmtId="180" showAll="0"/>
    <pivotField numFmtId="195" showAll="0"/>
    <pivotField numFmtId="180" showAll="0"/>
    <pivotField numFmtId="3" showAll="0"/>
    <pivotField showAll="0"/>
    <pivotField numFmtId="177" showAll="0"/>
    <pivotField showAll="0"/>
    <pivotField showAll="0"/>
    <pivotField showAll="0"/>
    <pivotField showAll="0"/>
    <pivotField showAll="0"/>
    <pivotField numFmtId="3" showAll="0"/>
    <pivotField numFmtId="180" showAll="0"/>
    <pivotField numFmtId="199" showAll="0"/>
    <pivotField numFmtId="199" showAll="0"/>
    <pivotField numFmtId="199" showAll="0"/>
    <pivotField showAll="0"/>
    <pivotField numFmtId="3" showAll="0"/>
    <pivotField axis="axisRow" showAll="0">
      <items count="4">
        <item x="0"/>
        <item x="2"/>
        <item x="1"/>
        <item t="default"/>
      </items>
    </pivotField>
    <pivotField showAll="0"/>
    <pivotField numFmtId="180" showAll="0"/>
    <pivotField numFmtId="180" showAll="0"/>
    <pivotField numFmtId="199" showAll="0"/>
    <pivotField showAll="0"/>
    <pivotField axis="axisCol" sortType="ascending" numFmtId="176" showAll="0">
      <items count="29"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x="5"/>
        <item x="2"/>
        <item x="8"/>
        <item x="11"/>
        <item x="1"/>
        <item x="4"/>
        <item x="6"/>
        <item x="0"/>
        <item x="12"/>
        <item x="9"/>
        <item x="3"/>
        <item x="7"/>
        <item x="10"/>
        <item t="default"/>
      </items>
    </pivotField>
    <pivotField numFmtId="3" showAll="0"/>
    <pivotField numFmtId="3" showAll="0"/>
    <pivotField showAll="0"/>
    <pivotField showAll="0"/>
    <pivotField showAll="0"/>
    <pivotField showAll="0"/>
    <pivotField showAll="0"/>
    <pivotField numFmtId="205" showAll="0"/>
    <pivotField numFmtId="20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8"/>
    <field x="28"/>
  </rowFields>
  <rowItems count="22">
    <i>
      <x/>
    </i>
    <i r="1">
      <x/>
    </i>
    <i r="1">
      <x v="2"/>
    </i>
    <i r="1">
      <x v="3"/>
    </i>
    <i r="1">
      <x v="5"/>
    </i>
    <i r="1">
      <x v="7"/>
    </i>
    <i r="1">
      <x v="8"/>
    </i>
    <i r="1">
      <x v="9"/>
    </i>
    <i r="1">
      <x v="11"/>
    </i>
    <i r="1">
      <x v="15"/>
    </i>
    <i r="1">
      <x v="19"/>
    </i>
    <i r="1">
      <x v="22"/>
    </i>
    <i r="1">
      <x v="25"/>
    </i>
    <i r="1">
      <x v="29"/>
    </i>
    <i r="1">
      <x v="30"/>
    </i>
    <i r="1">
      <x v="31"/>
    </i>
    <i>
      <x v="2"/>
    </i>
    <i r="1">
      <x v="1"/>
    </i>
    <i r="1">
      <x v="10"/>
    </i>
    <i r="1">
      <x v="20"/>
    </i>
    <i r="1">
      <x v="28"/>
    </i>
    <i t="grand">
      <x/>
    </i>
  </rowItems>
  <colFields count="1">
    <field x="74"/>
  </colFields>
  <colItems count="14"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pageFields count="1">
    <pageField fld="0" item="11"/>
  </pageFields>
  <dataFields count="1">
    <dataField name="Weights (Tns) " fld="1" baseField="0" baseItem="0"/>
  </dataFields>
  <pivotTableStyleInfo name="PivotStyleLight8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preserveFormatting="0" useAutoFormatting="1" indent="0" outline="1" outlineData="1" showDrill="1" multipleFieldFilters="0" enableDrill="0" rowHeaderCaption=" " colHeaderCaption=" ">
  <location ref="A54:O77" firstHeaderRow="1" firstDataRow="2" firstDataCol="1" rowPageCount="1" colPageCount="1"/>
  <pivotFields count="95">
    <pivotField axis="axisPage" showAll="0">
      <items count="34">
        <item x="7"/>
        <item x="11"/>
        <item x="24"/>
        <item x="22"/>
        <item x="23"/>
        <item x="17"/>
        <item x="13"/>
        <item x="9"/>
        <item x="15"/>
        <item x="5"/>
        <item x="25"/>
        <item x="1"/>
        <item x="2"/>
        <item m="1" x="29"/>
        <item x="0"/>
        <item x="4"/>
        <item x="12"/>
        <item x="10"/>
        <item x="6"/>
        <item x="8"/>
        <item x="16"/>
        <item m="1" x="30"/>
        <item x="3"/>
        <item x="28"/>
        <item x="14"/>
        <item m="1" x="31"/>
        <item x="18"/>
        <item m="1" x="32"/>
        <item x="19"/>
        <item x="20"/>
        <item x="21"/>
        <item x="26"/>
        <item x="27"/>
        <item t="default"/>
      </items>
    </pivotField>
    <pivotField showAll="0"/>
    <pivotField showAll="0"/>
    <pivotField showAll="0"/>
    <pivotField numFmtId="177" showAll="0"/>
    <pivotField showAll="0"/>
    <pivotField showAll="0"/>
    <pivotField numFmtId="177" showAll="0"/>
    <pivotField numFmtId="177" showAll="0"/>
    <pivotField numFmtId="180" showAll="0"/>
    <pivotField dataField="1" numFmtId="180" showAll="0"/>
    <pivotField numFmtId="3" showAll="0"/>
    <pivotField numFmtId="177" showAll="0"/>
    <pivotField numFmtId="3" showAll="0"/>
    <pivotField numFmtId="177" showAll="0"/>
    <pivotField showAll="0"/>
    <pivotField showAll="0"/>
    <pivotField showAll="0"/>
    <pivotField showAll="0"/>
    <pivotField numFmtId="3" showAll="0"/>
    <pivotField numFmtId="177" showAll="0"/>
    <pivotField numFmtId="177" showAll="0"/>
    <pivotField showAll="0"/>
    <pivotField showAll="0"/>
    <pivotField showAll="0"/>
    <pivotField showAll="0"/>
    <pivotField showAll="0"/>
    <pivotField showAll="0"/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m="1" x="32"/>
        <item t="default"/>
      </items>
    </pivotField>
    <pivotField showAll="0"/>
    <pivotField showAll="0"/>
    <pivotField showAll="0"/>
    <pivotField numFmtId="177" showAll="0"/>
    <pivotField showAll="0"/>
    <pivotField numFmtId="177" showAll="0"/>
    <pivotField showAll="0"/>
    <pivotField numFmtId="177" showAll="0"/>
    <pivotField showAll="0"/>
    <pivotField showAll="0"/>
    <pivotField showAll="0"/>
    <pivotField numFmtId="177" showAll="0"/>
    <pivotField showAll="0"/>
    <pivotField showAll="0"/>
    <pivotField showAll="0"/>
    <pivotField showAll="0"/>
    <pivotField showAll="0"/>
    <pivotField numFmtId="180" showAll="0"/>
    <pivotField numFmtId="180" showAll="0"/>
    <pivotField numFmtId="180" showAll="0"/>
    <pivotField numFmtId="180" showAll="0"/>
    <pivotField numFmtId="180" showAll="0"/>
    <pivotField numFmtId="195" showAll="0"/>
    <pivotField numFmtId="180" showAll="0"/>
    <pivotField numFmtId="3" showAll="0"/>
    <pivotField showAll="0"/>
    <pivotField numFmtId="177" showAll="0"/>
    <pivotField showAll="0"/>
    <pivotField showAll="0"/>
    <pivotField showAll="0"/>
    <pivotField showAll="0"/>
    <pivotField showAll="0"/>
    <pivotField numFmtId="3" showAll="0"/>
    <pivotField numFmtId="180" showAll="0"/>
    <pivotField numFmtId="199" showAll="0"/>
    <pivotField numFmtId="199" showAll="0"/>
    <pivotField numFmtId="199" showAll="0"/>
    <pivotField showAll="0"/>
    <pivotField numFmtId="3" showAll="0"/>
    <pivotField axis="axisRow" showAll="0">
      <items count="4">
        <item x="0"/>
        <item x="2"/>
        <item x="1"/>
        <item t="default"/>
      </items>
    </pivotField>
    <pivotField showAll="0"/>
    <pivotField numFmtId="180" showAll="0"/>
    <pivotField numFmtId="180" showAll="0"/>
    <pivotField numFmtId="199" showAll="0"/>
    <pivotField showAll="0"/>
    <pivotField axis="axisCol" sortType="ascending" numFmtId="176" showAll="0">
      <items count="29">
        <item m="1" x="27"/>
        <item m="1" x="26"/>
        <item m="1" x="25"/>
        <item m="1" x="24"/>
        <item m="1" x="23"/>
        <item m="1" x="21"/>
        <item m="1" x="22"/>
        <item m="1" x="20"/>
        <item m="1" x="19"/>
        <item m="1" x="18"/>
        <item m="1" x="17"/>
        <item m="1" x="16"/>
        <item m="1" x="15"/>
        <item m="1" x="14"/>
        <item m="1" x="13"/>
        <item x="5"/>
        <item x="2"/>
        <item x="8"/>
        <item x="11"/>
        <item x="1"/>
        <item x="4"/>
        <item x="6"/>
        <item x="0"/>
        <item x="12"/>
        <item x="9"/>
        <item x="3"/>
        <item x="7"/>
        <item x="10"/>
        <item t="default"/>
      </items>
    </pivotField>
    <pivotField numFmtId="3" showAll="0"/>
    <pivotField numFmtId="3" showAll="0"/>
    <pivotField showAll="0"/>
    <pivotField showAll="0"/>
    <pivotField showAll="0"/>
    <pivotField showAll="0"/>
    <pivotField showAll="0"/>
    <pivotField numFmtId="205" showAll="0"/>
    <pivotField numFmtId="20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8"/>
    <field x="28"/>
  </rowFields>
  <rowItems count="22">
    <i>
      <x/>
    </i>
    <i r="1">
      <x/>
    </i>
    <i r="1">
      <x v="2"/>
    </i>
    <i r="1">
      <x v="3"/>
    </i>
    <i r="1">
      <x v="5"/>
    </i>
    <i r="1">
      <x v="7"/>
    </i>
    <i r="1">
      <x v="8"/>
    </i>
    <i r="1">
      <x v="9"/>
    </i>
    <i r="1">
      <x v="11"/>
    </i>
    <i r="1">
      <x v="15"/>
    </i>
    <i r="1">
      <x v="19"/>
    </i>
    <i r="1">
      <x v="22"/>
    </i>
    <i r="1">
      <x v="25"/>
    </i>
    <i r="1">
      <x v="29"/>
    </i>
    <i r="1">
      <x v="30"/>
    </i>
    <i r="1">
      <x v="31"/>
    </i>
    <i>
      <x v="2"/>
    </i>
    <i r="1">
      <x v="1"/>
    </i>
    <i r="1">
      <x v="10"/>
    </i>
    <i r="1">
      <x v="20"/>
    </i>
    <i r="1">
      <x v="28"/>
    </i>
    <i t="grand">
      <x/>
    </i>
  </rowItems>
  <colFields count="1">
    <field x="74"/>
  </colFields>
  <colItems count="14"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pageFields count="1">
    <pageField fld="0" item="11"/>
  </pageFields>
  <dataFields count="1">
    <dataField name="Volume (M3)" fld="10" baseField="0" baseItem="0"/>
  </dataFields>
  <pivotTableStyleInfo name="PivotStyleLight8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9"/>
  <sheetViews>
    <sheetView tabSelected="1" zoomScale="80" zoomScaleNormal="80" workbookViewId="0">
      <selection activeCell="K13" sqref="K13"/>
    </sheetView>
  </sheetViews>
  <sheetFormatPr defaultColWidth="9" defaultRowHeight="13.2"/>
  <cols>
    <col min="1" max="1" width="39.712962962963" customWidth="1"/>
    <col min="2" max="2" width="38.4259259259259" customWidth="1"/>
    <col min="3" max="14" width="11.287037037037" customWidth="1"/>
    <col min="15" max="15" width="13" customWidth="1"/>
    <col min="16" max="16" width="38.1388888888889" customWidth="1"/>
    <col min="17" max="17" width="12" customWidth="1"/>
    <col min="18" max="19" width="10.712962962963" customWidth="1"/>
    <col min="20" max="20" width="12" customWidth="1"/>
    <col min="21" max="22" width="13.287037037037" customWidth="1"/>
  </cols>
  <sheetData>
    <row r="1" ht="13.95" spans="1:19">
      <c r="A1" s="1"/>
      <c r="B1" s="2">
        <f>B9</f>
        <v>45352</v>
      </c>
      <c r="C1" s="2">
        <f t="shared" ref="C1:O1" si="0">C9</f>
        <v>45383</v>
      </c>
      <c r="D1" s="2">
        <f t="shared" si="0"/>
        <v>45413</v>
      </c>
      <c r="E1" s="2">
        <f t="shared" si="0"/>
        <v>45444</v>
      </c>
      <c r="F1" s="2">
        <f t="shared" si="0"/>
        <v>45474</v>
      </c>
      <c r="G1" s="2">
        <f t="shared" si="0"/>
        <v>45505</v>
      </c>
      <c r="H1" s="2">
        <f t="shared" si="0"/>
        <v>45536</v>
      </c>
      <c r="I1" s="2">
        <f t="shared" si="0"/>
        <v>45566</v>
      </c>
      <c r="J1" s="2">
        <f t="shared" si="0"/>
        <v>45597</v>
      </c>
      <c r="K1" s="2">
        <f t="shared" si="0"/>
        <v>45627</v>
      </c>
      <c r="L1" s="2">
        <f t="shared" si="0"/>
        <v>45658</v>
      </c>
      <c r="M1" s="2">
        <f t="shared" si="0"/>
        <v>45689</v>
      </c>
      <c r="N1" s="2">
        <f t="shared" si="0"/>
        <v>45717</v>
      </c>
      <c r="O1" s="2" t="str">
        <f t="shared" si="0"/>
        <v>Grand Total</v>
      </c>
      <c r="P1" s="2"/>
      <c r="Q1" s="2"/>
      <c r="R1" s="2"/>
      <c r="S1" s="21"/>
    </row>
    <row r="2" ht="21.75" customHeight="1" spans="1:19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2"/>
    </row>
    <row r="3" spans="1:19">
      <c r="A3" s="5" t="s">
        <v>1</v>
      </c>
      <c r="S3" s="23"/>
    </row>
    <row r="4" ht="13.95" spans="1:19">
      <c r="A4" s="6"/>
      <c r="B4" s="7"/>
      <c r="C4" s="7"/>
      <c r="D4" s="7"/>
      <c r="E4" s="7"/>
      <c r="F4" s="7"/>
      <c r="G4" s="8" t="s">
        <v>2</v>
      </c>
      <c r="H4" s="7"/>
      <c r="I4" s="7"/>
      <c r="J4" s="7"/>
      <c r="K4" s="7"/>
      <c r="L4" s="7"/>
      <c r="M4" s="19" t="s">
        <v>3</v>
      </c>
      <c r="N4" s="19"/>
      <c r="O4" s="19"/>
      <c r="P4" s="7" t="str">
        <f>_xlfn.XLOOKUP(B6,'[1]Address Lookup '!C:C,'[1]Address Lookup '!B:B)</f>
        <v>1 CLAYTON ST MIDLAND                        </v>
      </c>
      <c r="Q4" s="7"/>
      <c r="R4" s="7"/>
      <c r="S4" s="24"/>
    </row>
    <row r="5" spans="1:19">
      <c r="A5" s="9"/>
      <c r="G5" s="10"/>
      <c r="M5" s="20"/>
      <c r="N5" s="20"/>
      <c r="O5" s="20"/>
      <c r="S5" s="23"/>
    </row>
    <row r="6" spans="1:19">
      <c r="A6" t="s">
        <v>4</v>
      </c>
      <c r="B6" t="s">
        <v>5</v>
      </c>
      <c r="S6" s="23"/>
    </row>
    <row r="7" spans="1:19">
      <c r="A7" s="11"/>
      <c r="S7" s="23"/>
    </row>
    <row r="8" spans="1:19">
      <c r="A8" t="s">
        <v>6</v>
      </c>
      <c r="B8" t="s">
        <v>7</v>
      </c>
      <c r="S8" s="23"/>
    </row>
    <row r="9" spans="1:19">
      <c r="A9" t="s">
        <v>7</v>
      </c>
      <c r="B9" s="12">
        <v>45352</v>
      </c>
      <c r="C9" s="12">
        <v>45383</v>
      </c>
      <c r="D9" s="12">
        <v>45413</v>
      </c>
      <c r="E9" s="12">
        <v>45444</v>
      </c>
      <c r="F9" s="12">
        <v>45474</v>
      </c>
      <c r="G9" s="12">
        <v>45505</v>
      </c>
      <c r="H9" s="12">
        <v>45536</v>
      </c>
      <c r="I9" s="12">
        <v>45566</v>
      </c>
      <c r="J9" s="12">
        <v>45597</v>
      </c>
      <c r="K9" s="12">
        <v>45627</v>
      </c>
      <c r="L9" s="12">
        <v>45658</v>
      </c>
      <c r="M9" s="12">
        <v>45689</v>
      </c>
      <c r="N9" s="12">
        <v>45717</v>
      </c>
      <c r="O9" s="12" t="s">
        <v>8</v>
      </c>
      <c r="S9" s="23"/>
    </row>
    <row r="10" spans="1:19">
      <c r="A10" s="13" t="s">
        <v>9</v>
      </c>
      <c r="B10">
        <v>7282.53</v>
      </c>
      <c r="C10">
        <v>4983.81</v>
      </c>
      <c r="D10">
        <v>6488.03</v>
      </c>
      <c r="E10">
        <v>4830.19</v>
      </c>
      <c r="F10">
        <v>8180.74</v>
      </c>
      <c r="G10">
        <v>9676.03</v>
      </c>
      <c r="H10">
        <v>6828.7</v>
      </c>
      <c r="I10">
        <v>5991.69</v>
      </c>
      <c r="J10">
        <v>8130.23</v>
      </c>
      <c r="K10">
        <v>7301.1</v>
      </c>
      <c r="L10">
        <v>5497.26</v>
      </c>
      <c r="M10">
        <v>7485.51</v>
      </c>
      <c r="N10">
        <v>4894.32</v>
      </c>
      <c r="O10">
        <v>87570.14</v>
      </c>
      <c r="S10" s="23"/>
    </row>
    <row r="11" spans="1:19">
      <c r="A11" s="14" t="s">
        <v>10</v>
      </c>
      <c r="G11">
        <v>1722.11</v>
      </c>
      <c r="O11">
        <v>1722.11</v>
      </c>
      <c r="S11" s="23"/>
    </row>
    <row r="12" spans="1:19">
      <c r="A12" s="14" t="s">
        <v>11</v>
      </c>
      <c r="B12">
        <v>93.17</v>
      </c>
      <c r="C12">
        <v>93.17</v>
      </c>
      <c r="D12">
        <v>116.46</v>
      </c>
      <c r="E12">
        <v>93.17</v>
      </c>
      <c r="F12">
        <v>120.66</v>
      </c>
      <c r="G12">
        <v>96.53</v>
      </c>
      <c r="H12">
        <v>96.53</v>
      </c>
      <c r="I12">
        <v>120.66</v>
      </c>
      <c r="J12">
        <v>96.53</v>
      </c>
      <c r="K12">
        <v>120.66</v>
      </c>
      <c r="L12">
        <v>72.4</v>
      </c>
      <c r="M12">
        <v>96.53</v>
      </c>
      <c r="N12">
        <v>96.53</v>
      </c>
      <c r="O12">
        <v>1313</v>
      </c>
      <c r="S12" s="23"/>
    </row>
    <row r="13" spans="1:19">
      <c r="A13" s="14" t="s">
        <v>12</v>
      </c>
      <c r="B13">
        <v>2159.52</v>
      </c>
      <c r="C13">
        <v>2365.73</v>
      </c>
      <c r="D13">
        <v>1958.48</v>
      </c>
      <c r="E13">
        <v>1176.66</v>
      </c>
      <c r="F13">
        <v>2902.81</v>
      </c>
      <c r="G13">
        <v>2986.89</v>
      </c>
      <c r="H13">
        <v>2240.32</v>
      </c>
      <c r="I13">
        <v>2612.39</v>
      </c>
      <c r="J13">
        <v>2301</v>
      </c>
      <c r="K13">
        <v>2213.32</v>
      </c>
      <c r="L13">
        <v>2456.22</v>
      </c>
      <c r="M13">
        <v>2329.24</v>
      </c>
      <c r="N13">
        <v>2329.23</v>
      </c>
      <c r="O13">
        <v>30031.81</v>
      </c>
      <c r="S13" s="23"/>
    </row>
    <row r="14" spans="1:19">
      <c r="A14" s="14" t="s">
        <v>13</v>
      </c>
      <c r="B14">
        <v>19.31</v>
      </c>
      <c r="O14">
        <v>19.31</v>
      </c>
      <c r="S14" s="23"/>
    </row>
    <row r="15" spans="1:19">
      <c r="A15" s="14" t="s">
        <v>14</v>
      </c>
      <c r="B15">
        <v>941.97</v>
      </c>
      <c r="E15">
        <v>850.1</v>
      </c>
      <c r="G15">
        <v>224.31</v>
      </c>
      <c r="J15">
        <v>1406.83</v>
      </c>
      <c r="K15">
        <v>1327.99</v>
      </c>
      <c r="M15">
        <v>944.1</v>
      </c>
      <c r="O15">
        <v>5695.3</v>
      </c>
      <c r="S15" s="23"/>
    </row>
    <row r="16" spans="1:19">
      <c r="A16" s="14" t="s">
        <v>15</v>
      </c>
      <c r="F16">
        <v>448.62</v>
      </c>
      <c r="G16">
        <v>897.24</v>
      </c>
      <c r="I16">
        <v>448.62</v>
      </c>
      <c r="O16">
        <v>1794.48</v>
      </c>
      <c r="S16" s="23"/>
    </row>
    <row r="17" spans="1:19">
      <c r="A17" s="14" t="s">
        <v>16</v>
      </c>
      <c r="B17">
        <v>1992.86</v>
      </c>
      <c r="C17">
        <v>1747.62</v>
      </c>
      <c r="D17">
        <v>2187.06</v>
      </c>
      <c r="E17">
        <v>1226.38</v>
      </c>
      <c r="F17">
        <v>2518.33</v>
      </c>
      <c r="G17">
        <v>1524.64</v>
      </c>
      <c r="H17">
        <v>2085.78</v>
      </c>
      <c r="I17">
        <v>1630.52</v>
      </c>
      <c r="J17">
        <v>1746.95</v>
      </c>
      <c r="K17">
        <v>2032.84</v>
      </c>
      <c r="L17">
        <v>1821.09</v>
      </c>
      <c r="M17">
        <v>1609.32</v>
      </c>
      <c r="N17">
        <v>1842.25</v>
      </c>
      <c r="O17">
        <v>23965.64</v>
      </c>
      <c r="S17" s="23"/>
    </row>
    <row r="18" spans="1:19">
      <c r="A18" s="14" t="s">
        <v>17</v>
      </c>
      <c r="B18">
        <v>1213.11</v>
      </c>
      <c r="D18">
        <v>1617.48</v>
      </c>
      <c r="E18">
        <v>404.37</v>
      </c>
      <c r="F18">
        <v>1756.23</v>
      </c>
      <c r="G18">
        <v>450.62</v>
      </c>
      <c r="H18">
        <v>1351.87</v>
      </c>
      <c r="I18">
        <v>450.62</v>
      </c>
      <c r="J18">
        <v>1802.49</v>
      </c>
      <c r="K18">
        <v>450.62</v>
      </c>
      <c r="L18">
        <v>450.62</v>
      </c>
      <c r="M18">
        <v>1802.49</v>
      </c>
      <c r="O18">
        <v>11750.52</v>
      </c>
      <c r="S18" s="23"/>
    </row>
    <row r="19" spans="1:19">
      <c r="A19" s="14" t="s">
        <v>18</v>
      </c>
      <c r="C19">
        <v>21.3</v>
      </c>
      <c r="F19">
        <v>22.07</v>
      </c>
      <c r="G19">
        <v>22.07</v>
      </c>
      <c r="J19">
        <v>44.13</v>
      </c>
      <c r="O19">
        <v>109.57</v>
      </c>
      <c r="S19" s="23"/>
    </row>
    <row r="20" spans="1:19">
      <c r="A20" s="14" t="s">
        <v>19</v>
      </c>
      <c r="B20">
        <v>216.51</v>
      </c>
      <c r="C20">
        <v>216.51</v>
      </c>
      <c r="D20">
        <v>216.51</v>
      </c>
      <c r="E20">
        <v>216.51</v>
      </c>
      <c r="G20">
        <v>448.62</v>
      </c>
      <c r="H20">
        <v>224.31</v>
      </c>
      <c r="K20">
        <v>224.31</v>
      </c>
      <c r="L20">
        <v>224.31</v>
      </c>
      <c r="M20">
        <v>224.31</v>
      </c>
      <c r="O20">
        <v>2211.9</v>
      </c>
      <c r="S20" s="23"/>
    </row>
    <row r="21" spans="1:19">
      <c r="A21" s="14" t="s">
        <v>20</v>
      </c>
      <c r="B21">
        <v>166.41</v>
      </c>
      <c r="C21">
        <v>225.14</v>
      </c>
      <c r="D21">
        <v>176.19</v>
      </c>
      <c r="E21">
        <v>166.41</v>
      </c>
      <c r="F21">
        <v>161.51</v>
      </c>
      <c r="G21">
        <v>172.27</v>
      </c>
      <c r="H21">
        <v>258.41</v>
      </c>
      <c r="I21">
        <v>193.81</v>
      </c>
      <c r="J21">
        <v>193.81</v>
      </c>
      <c r="K21">
        <v>193.81</v>
      </c>
      <c r="L21">
        <v>129.21</v>
      </c>
      <c r="M21">
        <v>193.81</v>
      </c>
      <c r="N21">
        <v>269.18</v>
      </c>
      <c r="O21">
        <v>2499.97</v>
      </c>
      <c r="S21" s="23"/>
    </row>
    <row r="22" spans="1:19">
      <c r="A22" s="14" t="s">
        <v>21</v>
      </c>
      <c r="B22">
        <v>0</v>
      </c>
      <c r="C22">
        <v>117.58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117.58</v>
      </c>
      <c r="S22" s="23"/>
    </row>
    <row r="23" spans="1:19">
      <c r="A23" s="14" t="s">
        <v>22</v>
      </c>
      <c r="B23">
        <v>10.13</v>
      </c>
      <c r="C23">
        <v>7.23</v>
      </c>
      <c r="F23">
        <v>15</v>
      </c>
      <c r="G23">
        <v>19.49</v>
      </c>
      <c r="J23">
        <v>25.49</v>
      </c>
      <c r="O23">
        <v>77.34</v>
      </c>
      <c r="S23" s="23"/>
    </row>
    <row r="24" spans="1:19">
      <c r="A24" s="14" t="s">
        <v>23</v>
      </c>
      <c r="B24">
        <v>235.15</v>
      </c>
      <c r="C24">
        <v>189.53</v>
      </c>
      <c r="D24">
        <v>215.85</v>
      </c>
      <c r="E24">
        <v>210.58</v>
      </c>
      <c r="F24">
        <v>235.51</v>
      </c>
      <c r="G24">
        <v>250.96</v>
      </c>
      <c r="H24">
        <v>320.45</v>
      </c>
      <c r="I24">
        <v>289.56</v>
      </c>
      <c r="J24">
        <v>270.25</v>
      </c>
      <c r="K24">
        <v>254.81</v>
      </c>
      <c r="L24">
        <v>106.18</v>
      </c>
      <c r="M24">
        <v>285.71</v>
      </c>
      <c r="N24">
        <v>357.13</v>
      </c>
      <c r="O24">
        <v>3221.67</v>
      </c>
      <c r="S24" s="23"/>
    </row>
    <row r="25" spans="1:19">
      <c r="A25" s="14" t="s">
        <v>24</v>
      </c>
      <c r="B25">
        <v>234.39</v>
      </c>
      <c r="E25">
        <v>486.01</v>
      </c>
      <c r="G25">
        <v>860.28</v>
      </c>
      <c r="H25">
        <v>251.03</v>
      </c>
      <c r="I25">
        <v>245.51</v>
      </c>
      <c r="J25">
        <v>242.75</v>
      </c>
      <c r="K25">
        <v>482.74</v>
      </c>
      <c r="L25">
        <v>237.23</v>
      </c>
      <c r="O25">
        <v>3039.94</v>
      </c>
      <c r="S25" s="23"/>
    </row>
    <row r="26" spans="1:19">
      <c r="A26" s="13" t="s">
        <v>25</v>
      </c>
      <c r="B26">
        <v>15304.99</v>
      </c>
      <c r="C26">
        <v>15916.22</v>
      </c>
      <c r="D26">
        <v>18424.31</v>
      </c>
      <c r="E26">
        <v>14474.48</v>
      </c>
      <c r="F26">
        <v>21450.42</v>
      </c>
      <c r="G26">
        <v>22440</v>
      </c>
      <c r="H26">
        <v>19102.38</v>
      </c>
      <c r="I26">
        <v>20974.94</v>
      </c>
      <c r="J26">
        <v>20496.84</v>
      </c>
      <c r="K26">
        <v>22038.39</v>
      </c>
      <c r="L26">
        <v>19384.46</v>
      </c>
      <c r="M26">
        <v>18976.38</v>
      </c>
      <c r="N26">
        <v>18059.04</v>
      </c>
      <c r="O26">
        <v>247042.85</v>
      </c>
      <c r="S26" s="23"/>
    </row>
    <row r="27" spans="1:19">
      <c r="A27" s="14" t="s">
        <v>26</v>
      </c>
      <c r="H27">
        <v>0</v>
      </c>
      <c r="I27">
        <v>586.41</v>
      </c>
      <c r="M27">
        <v>586.41</v>
      </c>
      <c r="O27">
        <v>1172.82</v>
      </c>
      <c r="S27" s="23"/>
    </row>
    <row r="28" spans="1:19">
      <c r="A28" s="14" t="s">
        <v>27</v>
      </c>
      <c r="B28">
        <v>14077.81</v>
      </c>
      <c r="C28">
        <v>14297.74</v>
      </c>
      <c r="D28">
        <v>17197.13</v>
      </c>
      <c r="E28">
        <v>13247.3</v>
      </c>
      <c r="F28">
        <v>16254.53</v>
      </c>
      <c r="G28">
        <v>19003.13</v>
      </c>
      <c r="H28">
        <v>15570.81</v>
      </c>
      <c r="I28">
        <v>16423.96</v>
      </c>
      <c r="J28">
        <v>16978.79</v>
      </c>
      <c r="K28">
        <v>17667.89</v>
      </c>
      <c r="L28">
        <v>15866.41</v>
      </c>
      <c r="M28">
        <v>14871.92</v>
      </c>
      <c r="N28">
        <v>14540.99</v>
      </c>
      <c r="O28">
        <v>205998.41</v>
      </c>
      <c r="S28" s="23"/>
    </row>
    <row r="29" spans="1:19">
      <c r="A29" s="14" t="s">
        <v>28</v>
      </c>
      <c r="B29">
        <v>188.04</v>
      </c>
      <c r="C29">
        <v>235.05</v>
      </c>
      <c r="D29">
        <v>188.04</v>
      </c>
      <c r="E29">
        <v>188.04</v>
      </c>
      <c r="F29">
        <v>338.3</v>
      </c>
      <c r="G29">
        <v>270.64</v>
      </c>
      <c r="H29">
        <v>270.64</v>
      </c>
      <c r="I29">
        <v>338.3</v>
      </c>
      <c r="J29">
        <v>270.64</v>
      </c>
      <c r="K29">
        <v>338.3</v>
      </c>
      <c r="L29">
        <v>270.64</v>
      </c>
      <c r="M29">
        <v>270.64</v>
      </c>
      <c r="N29">
        <v>270.64</v>
      </c>
      <c r="O29">
        <v>3437.91</v>
      </c>
      <c r="S29" s="23"/>
    </row>
    <row r="30" spans="1:19">
      <c r="A30" s="14" t="s">
        <v>29</v>
      </c>
      <c r="B30">
        <v>1039.14</v>
      </c>
      <c r="C30">
        <v>1383.43</v>
      </c>
      <c r="D30">
        <v>1039.14</v>
      </c>
      <c r="E30">
        <v>1039.14</v>
      </c>
      <c r="F30">
        <v>4857.59</v>
      </c>
      <c r="G30">
        <v>3166.23</v>
      </c>
      <c r="H30">
        <v>3260.93</v>
      </c>
      <c r="I30">
        <v>3626.27</v>
      </c>
      <c r="J30">
        <v>3247.41</v>
      </c>
      <c r="K30">
        <v>4032.2</v>
      </c>
      <c r="L30">
        <v>3247.41</v>
      </c>
      <c r="M30">
        <v>3247.41</v>
      </c>
      <c r="N30">
        <v>3247.41</v>
      </c>
      <c r="O30">
        <v>36433.71</v>
      </c>
      <c r="S30" s="23"/>
    </row>
    <row r="31" spans="1:19">
      <c r="A31" s="13" t="s">
        <v>8</v>
      </c>
      <c r="B31">
        <v>22587.52</v>
      </c>
      <c r="C31">
        <v>20900.03</v>
      </c>
      <c r="D31">
        <v>24912.34</v>
      </c>
      <c r="E31">
        <v>19304.67</v>
      </c>
      <c r="F31">
        <v>29631.16</v>
      </c>
      <c r="G31">
        <v>32116.03</v>
      </c>
      <c r="H31">
        <v>25931.08</v>
      </c>
      <c r="I31">
        <v>26966.63</v>
      </c>
      <c r="J31">
        <v>28627.07</v>
      </c>
      <c r="K31">
        <v>29339.49</v>
      </c>
      <c r="L31">
        <v>24881.72</v>
      </c>
      <c r="M31">
        <v>26461.89</v>
      </c>
      <c r="N31">
        <v>22953.36</v>
      </c>
      <c r="O31">
        <v>334612.99</v>
      </c>
      <c r="S31" s="23"/>
    </row>
    <row r="32" hidden="1" spans="19:19">
      <c r="S32" s="23"/>
    </row>
    <row r="33" hidden="1" spans="19:19">
      <c r="S33" s="23"/>
    </row>
    <row r="34" hidden="1" spans="19:19">
      <c r="S34" s="23"/>
    </row>
    <row r="35" hidden="1" spans="19:19">
      <c r="S35" s="23"/>
    </row>
    <row r="36" hidden="1" spans="19:19">
      <c r="S36" s="23"/>
    </row>
    <row r="37" hidden="1" spans="19:19">
      <c r="S37" s="23"/>
    </row>
    <row r="38" hidden="1" spans="19:19">
      <c r="S38" s="23"/>
    </row>
    <row r="39" hidden="1" spans="19:19">
      <c r="S39" s="23"/>
    </row>
    <row r="40" hidden="1" spans="19:19">
      <c r="S40" s="23"/>
    </row>
    <row r="41" hidden="1" spans="19:19">
      <c r="S41" s="23"/>
    </row>
    <row r="42" hidden="1" spans="19:19">
      <c r="S42" s="23"/>
    </row>
    <row r="43" hidden="1" spans="19:19">
      <c r="S43" s="23"/>
    </row>
    <row r="44" hidden="1" spans="19:19">
      <c r="S44" s="23"/>
    </row>
    <row r="45" hidden="1" spans="19:20">
      <c r="S45" s="23"/>
      <c r="T45" s="25"/>
    </row>
    <row r="46" spans="1:19">
      <c r="A46" s="15" t="s">
        <v>30</v>
      </c>
      <c r="B46" s="16">
        <f>IFERROR(GETPIVOTDATA("Billing $",$A$9,"Waste Stream","DIVERSION                     ","Period MMYY",B$1)/GETPIVOTDATA("Billing $",$A$9,"Period MMYY",B$1)," ")</f>
        <v>0.322413881647919</v>
      </c>
      <c r="C46" s="16">
        <f t="shared" ref="C46:N46" si="1">IFERROR(GETPIVOTDATA("Billing $",$A$9,"Waste Stream","DIVERSION                     ","Period MMYY",C$1)/GETPIVOTDATA("Billing $",$A$9,"Period MMYY",C$1)," ")</f>
        <v>0.238459466326125</v>
      </c>
      <c r="D46" s="16">
        <f t="shared" si="1"/>
        <v>0.26043438713505</v>
      </c>
      <c r="E46" s="16">
        <f t="shared" si="1"/>
        <v>0.250208369270234</v>
      </c>
      <c r="F46" s="16">
        <f t="shared" si="1"/>
        <v>0.276085715172811</v>
      </c>
      <c r="G46" s="16">
        <f t="shared" si="1"/>
        <v>0.301283502350695</v>
      </c>
      <c r="H46" s="16">
        <f t="shared" si="1"/>
        <v>0.263340362221705</v>
      </c>
      <c r="I46" s="16">
        <f t="shared" si="1"/>
        <v>0.222189053656315</v>
      </c>
      <c r="J46" s="16">
        <f t="shared" si="1"/>
        <v>0.284004964531823</v>
      </c>
      <c r="K46" s="16">
        <f t="shared" si="1"/>
        <v>0.248848906371583</v>
      </c>
      <c r="L46" s="16">
        <f t="shared" si="1"/>
        <v>0.22093569094098</v>
      </c>
      <c r="M46" s="16">
        <f t="shared" si="1"/>
        <v>0.282878887335712</v>
      </c>
      <c r="N46" s="16">
        <f t="shared" si="1"/>
        <v>0.213228912891185</v>
      </c>
      <c r="O46" s="16">
        <f>IFERROR(IF(ISBLANK(O1)," ",GETPIVOTDATA(" Cost $$$",$A$9,"Waste Stream","DIVERSION                     ")/GETPIVOTDATA(" Cost $$$",$A$9)),"")</f>
        <v>0.261705739517166</v>
      </c>
      <c r="P46" s="16" t="str">
        <f>IFERROR(GETPIVOTDATA("Billing $",$A$9,"Waste Stream","DIVERSION                     ","Period MMYY",P$1)/GETPIVOTDATA("Billing $",$A$9,"Period MMYY",P$1)," ")</f>
        <v> </v>
      </c>
      <c r="R46" s="16"/>
      <c r="S46" s="23"/>
    </row>
    <row r="47" spans="1:19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26"/>
    </row>
    <row r="48" spans="1:19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26"/>
    </row>
    <row r="49" spans="1:19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26"/>
    </row>
    <row r="50" spans="1:19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26"/>
    </row>
    <row r="51" spans="1:19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26"/>
    </row>
    <row r="52" hidden="1" spans="1:19">
      <c r="A52" t="s">
        <v>4</v>
      </c>
      <c r="B52" t="s">
        <v>5</v>
      </c>
      <c r="S52" s="23"/>
    </row>
    <row r="53" spans="1:19">
      <c r="A53" s="11"/>
      <c r="S53" s="23"/>
    </row>
    <row r="54" spans="1:19">
      <c r="A54" t="s">
        <v>31</v>
      </c>
      <c r="B54" t="s">
        <v>7</v>
      </c>
      <c r="S54" s="23"/>
    </row>
    <row r="55" spans="1:19">
      <c r="A55" t="s">
        <v>7</v>
      </c>
      <c r="B55" s="12">
        <v>45352</v>
      </c>
      <c r="C55" s="12">
        <v>45383</v>
      </c>
      <c r="D55" s="12">
        <v>45413</v>
      </c>
      <c r="E55" s="12">
        <v>45444</v>
      </c>
      <c r="F55" s="12">
        <v>45474</v>
      </c>
      <c r="G55" s="12">
        <v>45505</v>
      </c>
      <c r="H55" s="12">
        <v>45536</v>
      </c>
      <c r="I55" s="12">
        <v>45566</v>
      </c>
      <c r="J55" s="12">
        <v>45597</v>
      </c>
      <c r="K55" s="12">
        <v>45627</v>
      </c>
      <c r="L55" s="12">
        <v>45658</v>
      </c>
      <c r="M55" s="12">
        <v>45689</v>
      </c>
      <c r="N55" s="12">
        <v>45717</v>
      </c>
      <c r="O55" s="12" t="s">
        <v>8</v>
      </c>
      <c r="S55" s="23"/>
    </row>
    <row r="56" spans="1:19">
      <c r="A56" s="13" t="s">
        <v>9</v>
      </c>
      <c r="B56">
        <v>237.41296</v>
      </c>
      <c r="C56">
        <v>208.27846</v>
      </c>
      <c r="D56">
        <v>237.51096</v>
      </c>
      <c r="E56">
        <v>205.22496</v>
      </c>
      <c r="F56">
        <v>245.24896</v>
      </c>
      <c r="G56">
        <v>241.36246</v>
      </c>
      <c r="H56">
        <v>216.3072</v>
      </c>
      <c r="I56">
        <v>274.76196</v>
      </c>
      <c r="J56">
        <v>223.19046</v>
      </c>
      <c r="K56">
        <v>252.17196</v>
      </c>
      <c r="L56">
        <v>182.21898</v>
      </c>
      <c r="M56">
        <v>244.91796</v>
      </c>
      <c r="N56">
        <v>180.61694</v>
      </c>
      <c r="O56">
        <v>2949.22422</v>
      </c>
      <c r="S56" s="23"/>
    </row>
    <row r="57" spans="1:19">
      <c r="A57" s="14" t="s">
        <v>10</v>
      </c>
      <c r="G57">
        <v>0.294</v>
      </c>
      <c r="O57">
        <v>0.294</v>
      </c>
      <c r="S57" s="23"/>
    </row>
    <row r="58" spans="1:19">
      <c r="A58" s="14" t="s">
        <v>11</v>
      </c>
      <c r="B58">
        <v>104.643</v>
      </c>
      <c r="C58">
        <v>87.2025</v>
      </c>
      <c r="D58">
        <v>116.27</v>
      </c>
      <c r="E58">
        <v>116.27</v>
      </c>
      <c r="F58">
        <v>104.643</v>
      </c>
      <c r="G58">
        <v>87.2025</v>
      </c>
      <c r="H58">
        <v>93.016</v>
      </c>
      <c r="I58">
        <v>151.151</v>
      </c>
      <c r="J58">
        <v>98.8295</v>
      </c>
      <c r="K58">
        <v>127.897</v>
      </c>
      <c r="L58">
        <v>63.9485</v>
      </c>
      <c r="M58">
        <v>127.897</v>
      </c>
      <c r="N58">
        <v>75.5755</v>
      </c>
      <c r="O58">
        <v>1354.5455</v>
      </c>
      <c r="S58" s="23"/>
    </row>
    <row r="59" spans="1:19">
      <c r="A59" s="14" t="s">
        <v>12</v>
      </c>
      <c r="B59">
        <v>85.6</v>
      </c>
      <c r="C59">
        <v>88.88</v>
      </c>
      <c r="D59">
        <v>77.68</v>
      </c>
      <c r="E59">
        <v>51.36</v>
      </c>
      <c r="F59">
        <v>98.08</v>
      </c>
      <c r="G59">
        <v>94.52</v>
      </c>
      <c r="H59">
        <v>78.24</v>
      </c>
      <c r="I59">
        <v>92.64</v>
      </c>
      <c r="J59">
        <v>80.4</v>
      </c>
      <c r="K59">
        <v>76.68</v>
      </c>
      <c r="L59">
        <v>84.12</v>
      </c>
      <c r="M59">
        <v>76.72</v>
      </c>
      <c r="N59">
        <v>76.96</v>
      </c>
      <c r="O59">
        <v>1061.88</v>
      </c>
      <c r="S59" s="23"/>
    </row>
    <row r="60" spans="1:19">
      <c r="A60" s="14" t="s">
        <v>13</v>
      </c>
      <c r="B60">
        <v>0.02</v>
      </c>
      <c r="O60">
        <v>0.02</v>
      </c>
      <c r="S60" s="23"/>
    </row>
    <row r="61" spans="1:19">
      <c r="A61" s="14" t="s">
        <v>14</v>
      </c>
      <c r="B61">
        <v>4.004</v>
      </c>
      <c r="E61">
        <v>4.004</v>
      </c>
      <c r="G61">
        <v>4</v>
      </c>
      <c r="J61">
        <v>4.69</v>
      </c>
      <c r="K61">
        <v>4.644</v>
      </c>
      <c r="M61">
        <v>4.42</v>
      </c>
      <c r="O61">
        <v>25.762</v>
      </c>
      <c r="S61" s="23"/>
    </row>
    <row r="62" spans="1:19">
      <c r="A62" s="14" t="s">
        <v>15</v>
      </c>
      <c r="F62">
        <v>0.25</v>
      </c>
      <c r="G62">
        <v>0.2</v>
      </c>
      <c r="I62">
        <v>0.1</v>
      </c>
      <c r="O62">
        <v>0.55</v>
      </c>
      <c r="S62" s="23"/>
    </row>
    <row r="63" spans="1:19">
      <c r="A63" s="14" t="s">
        <v>16</v>
      </c>
      <c r="B63">
        <v>23.4</v>
      </c>
      <c r="C63">
        <v>20.52</v>
      </c>
      <c r="D63">
        <v>25.68</v>
      </c>
      <c r="E63">
        <v>14.4</v>
      </c>
      <c r="F63">
        <v>28.68</v>
      </c>
      <c r="G63">
        <v>17.28</v>
      </c>
      <c r="H63">
        <v>23.64</v>
      </c>
      <c r="I63">
        <v>18.48</v>
      </c>
      <c r="J63">
        <v>19.8</v>
      </c>
      <c r="K63">
        <v>23.04</v>
      </c>
      <c r="L63">
        <v>20.64</v>
      </c>
      <c r="M63">
        <v>18.24</v>
      </c>
      <c r="N63">
        <v>20.88</v>
      </c>
      <c r="O63">
        <v>274.68</v>
      </c>
      <c r="S63" s="23"/>
    </row>
    <row r="64" spans="1:19">
      <c r="A64" s="14" t="s">
        <v>17</v>
      </c>
      <c r="B64">
        <v>6.45</v>
      </c>
      <c r="D64">
        <v>8.6</v>
      </c>
      <c r="E64">
        <v>2.15</v>
      </c>
      <c r="F64">
        <v>8.6</v>
      </c>
      <c r="G64">
        <v>2.15</v>
      </c>
      <c r="H64">
        <v>6.45</v>
      </c>
      <c r="I64">
        <v>2.15</v>
      </c>
      <c r="J64">
        <v>8.6</v>
      </c>
      <c r="K64">
        <v>2.15</v>
      </c>
      <c r="L64">
        <v>2.15</v>
      </c>
      <c r="M64">
        <v>8.6</v>
      </c>
      <c r="O64">
        <v>58.05</v>
      </c>
      <c r="S64" s="23"/>
    </row>
    <row r="65" spans="1:19">
      <c r="A65" s="14" t="s">
        <v>18</v>
      </c>
      <c r="C65">
        <v>0.66</v>
      </c>
      <c r="F65">
        <v>0.66</v>
      </c>
      <c r="G65">
        <v>0.66</v>
      </c>
      <c r="J65">
        <v>1.32</v>
      </c>
      <c r="O65">
        <v>3.3</v>
      </c>
      <c r="S65" s="23"/>
    </row>
    <row r="66" spans="1:19">
      <c r="A66" s="14" t="s">
        <v>19</v>
      </c>
      <c r="B66">
        <v>4</v>
      </c>
      <c r="C66">
        <v>4</v>
      </c>
      <c r="D66">
        <v>4</v>
      </c>
      <c r="E66">
        <v>4</v>
      </c>
      <c r="G66">
        <v>8</v>
      </c>
      <c r="H66">
        <v>4</v>
      </c>
      <c r="K66">
        <v>4</v>
      </c>
      <c r="L66">
        <v>4</v>
      </c>
      <c r="M66">
        <v>4</v>
      </c>
      <c r="O66">
        <v>40</v>
      </c>
      <c r="S66" s="23"/>
    </row>
    <row r="67" spans="1:19">
      <c r="A67" s="14" t="s">
        <v>20</v>
      </c>
      <c r="B67">
        <v>4.08</v>
      </c>
      <c r="C67">
        <v>5.52</v>
      </c>
      <c r="D67">
        <v>4.32</v>
      </c>
      <c r="E67">
        <v>4.08</v>
      </c>
      <c r="F67">
        <v>3.6</v>
      </c>
      <c r="G67">
        <v>3.84</v>
      </c>
      <c r="H67">
        <v>5.76</v>
      </c>
      <c r="I67">
        <v>4.32</v>
      </c>
      <c r="J67">
        <v>4.32</v>
      </c>
      <c r="K67">
        <v>4.32</v>
      </c>
      <c r="L67">
        <v>2.88</v>
      </c>
      <c r="M67">
        <v>4.32</v>
      </c>
      <c r="N67">
        <v>6</v>
      </c>
      <c r="O67">
        <v>57.36</v>
      </c>
      <c r="S67" s="23"/>
    </row>
    <row r="68" spans="1:19">
      <c r="A68" s="14" t="s">
        <v>21</v>
      </c>
      <c r="B68">
        <v>1.2</v>
      </c>
      <c r="C68">
        <v>1.48</v>
      </c>
      <c r="D68">
        <v>0.96</v>
      </c>
      <c r="E68">
        <v>0.96</v>
      </c>
      <c r="F68">
        <v>0.72</v>
      </c>
      <c r="G68">
        <v>1.2</v>
      </c>
      <c r="H68">
        <v>1.2</v>
      </c>
      <c r="I68">
        <v>1.92</v>
      </c>
      <c r="J68">
        <v>1.2</v>
      </c>
      <c r="K68">
        <v>1.44</v>
      </c>
      <c r="L68">
        <v>0.48</v>
      </c>
      <c r="M68">
        <v>0.72</v>
      </c>
      <c r="N68">
        <v>1.2</v>
      </c>
      <c r="O68">
        <v>14.68</v>
      </c>
      <c r="S68" s="23"/>
    </row>
    <row r="69" spans="1:19">
      <c r="A69" s="14" t="s">
        <v>22</v>
      </c>
      <c r="B69">
        <v>0.015</v>
      </c>
      <c r="C69">
        <v>0.015</v>
      </c>
      <c r="F69">
        <v>0.015</v>
      </c>
      <c r="G69">
        <v>0.015</v>
      </c>
      <c r="J69">
        <v>0.03</v>
      </c>
      <c r="O69">
        <v>0.09</v>
      </c>
      <c r="S69" s="23"/>
    </row>
    <row r="70" spans="1:19">
      <c r="A70" s="14" t="s">
        <v>23</v>
      </c>
      <c r="B70">
        <v>0.00096</v>
      </c>
      <c r="C70">
        <v>0.00096</v>
      </c>
      <c r="D70">
        <v>0.00096</v>
      </c>
      <c r="E70">
        <v>0.00096</v>
      </c>
      <c r="F70">
        <v>0.00096</v>
      </c>
      <c r="G70">
        <v>0.00096</v>
      </c>
      <c r="H70">
        <v>0.0012</v>
      </c>
      <c r="I70">
        <v>0.00096</v>
      </c>
      <c r="J70">
        <v>0.00096</v>
      </c>
      <c r="K70">
        <v>0.00096</v>
      </c>
      <c r="L70">
        <v>0.00048</v>
      </c>
      <c r="M70">
        <v>0.00096</v>
      </c>
      <c r="N70">
        <v>0.00144</v>
      </c>
      <c r="O70">
        <v>0.01272</v>
      </c>
      <c r="S70" s="23"/>
    </row>
    <row r="71" spans="1:19">
      <c r="A71" s="14" t="s">
        <v>24</v>
      </c>
      <c r="B71">
        <v>4</v>
      </c>
      <c r="E71">
        <v>8</v>
      </c>
      <c r="G71">
        <v>22</v>
      </c>
      <c r="H71">
        <v>4</v>
      </c>
      <c r="I71">
        <v>4</v>
      </c>
      <c r="J71">
        <v>4</v>
      </c>
      <c r="K71">
        <v>8</v>
      </c>
      <c r="L71">
        <v>4</v>
      </c>
      <c r="O71">
        <v>58</v>
      </c>
      <c r="S71" s="23"/>
    </row>
    <row r="72" spans="1:19">
      <c r="A72" s="13" t="s">
        <v>25</v>
      </c>
      <c r="B72">
        <v>635.08</v>
      </c>
      <c r="C72">
        <v>663.7</v>
      </c>
      <c r="D72">
        <v>807.64</v>
      </c>
      <c r="E72">
        <v>626.08</v>
      </c>
      <c r="F72">
        <v>734.22</v>
      </c>
      <c r="G72">
        <v>764.08</v>
      </c>
      <c r="H72">
        <v>707.04</v>
      </c>
      <c r="I72">
        <v>712.74</v>
      </c>
      <c r="J72">
        <v>717.76</v>
      </c>
      <c r="K72">
        <v>755.14</v>
      </c>
      <c r="L72">
        <v>631.76</v>
      </c>
      <c r="M72">
        <v>653.76</v>
      </c>
      <c r="N72">
        <v>627.76</v>
      </c>
      <c r="O72">
        <v>9036.76</v>
      </c>
      <c r="S72" s="23"/>
    </row>
    <row r="73" spans="1:19">
      <c r="A73" s="14" t="s">
        <v>26</v>
      </c>
      <c r="H73">
        <v>0</v>
      </c>
      <c r="I73">
        <v>8</v>
      </c>
      <c r="M73">
        <v>8</v>
      </c>
      <c r="O73">
        <v>16</v>
      </c>
      <c r="S73" s="23"/>
    </row>
    <row r="74" spans="1:19">
      <c r="A74" s="14" t="s">
        <v>27</v>
      </c>
      <c r="B74">
        <v>569</v>
      </c>
      <c r="C74">
        <v>572</v>
      </c>
      <c r="D74">
        <v>741.56</v>
      </c>
      <c r="E74">
        <v>560</v>
      </c>
      <c r="F74">
        <v>633</v>
      </c>
      <c r="G74">
        <v>698</v>
      </c>
      <c r="H74">
        <v>639</v>
      </c>
      <c r="I74">
        <v>629</v>
      </c>
      <c r="J74">
        <v>650</v>
      </c>
      <c r="K74">
        <v>671</v>
      </c>
      <c r="L74">
        <v>564</v>
      </c>
      <c r="M74">
        <v>578</v>
      </c>
      <c r="N74">
        <v>560</v>
      </c>
      <c r="O74">
        <v>8064.56</v>
      </c>
      <c r="S74" s="23"/>
    </row>
    <row r="75" spans="1:19">
      <c r="A75" s="14" t="s">
        <v>28</v>
      </c>
      <c r="B75">
        <v>0.56</v>
      </c>
      <c r="C75">
        <v>0.7</v>
      </c>
      <c r="D75">
        <v>0.56</v>
      </c>
      <c r="E75">
        <v>0.56</v>
      </c>
      <c r="F75">
        <v>0.7</v>
      </c>
      <c r="G75">
        <v>0.56</v>
      </c>
      <c r="H75">
        <v>0.56</v>
      </c>
      <c r="I75">
        <v>0.7</v>
      </c>
      <c r="J75">
        <v>0.56</v>
      </c>
      <c r="K75">
        <v>0.7</v>
      </c>
      <c r="L75">
        <v>0.56</v>
      </c>
      <c r="M75">
        <v>0.56</v>
      </c>
      <c r="N75">
        <v>0.56</v>
      </c>
      <c r="O75">
        <v>7.84</v>
      </c>
      <c r="S75" s="23"/>
    </row>
    <row r="76" spans="1:19">
      <c r="A76" s="14" t="s">
        <v>29</v>
      </c>
      <c r="B76">
        <v>65.52</v>
      </c>
      <c r="C76">
        <v>91</v>
      </c>
      <c r="D76">
        <v>65.52</v>
      </c>
      <c r="E76">
        <v>65.52</v>
      </c>
      <c r="F76">
        <v>100.52</v>
      </c>
      <c r="G76">
        <v>65.52</v>
      </c>
      <c r="H76">
        <v>67.48</v>
      </c>
      <c r="I76">
        <v>75.04</v>
      </c>
      <c r="J76">
        <v>67.2</v>
      </c>
      <c r="K76">
        <v>83.44</v>
      </c>
      <c r="L76">
        <v>67.2</v>
      </c>
      <c r="M76">
        <v>67.2</v>
      </c>
      <c r="N76">
        <v>67.2</v>
      </c>
      <c r="O76">
        <v>948.36</v>
      </c>
      <c r="S76" s="23"/>
    </row>
    <row r="77" spans="1:19">
      <c r="A77" s="13" t="s">
        <v>8</v>
      </c>
      <c r="B77">
        <v>872.49296</v>
      </c>
      <c r="C77">
        <v>871.97846</v>
      </c>
      <c r="D77">
        <v>1045.15096</v>
      </c>
      <c r="E77">
        <v>831.30496</v>
      </c>
      <c r="F77">
        <v>979.46896</v>
      </c>
      <c r="G77">
        <v>1005.44246</v>
      </c>
      <c r="H77">
        <v>923.3472</v>
      </c>
      <c r="I77">
        <v>987.50196</v>
      </c>
      <c r="J77">
        <v>940.95046</v>
      </c>
      <c r="K77">
        <v>1007.31196</v>
      </c>
      <c r="L77">
        <v>813.97898</v>
      </c>
      <c r="M77">
        <v>898.67796</v>
      </c>
      <c r="N77">
        <v>808.37694</v>
      </c>
      <c r="O77">
        <v>11985.98422</v>
      </c>
      <c r="S77" s="23"/>
    </row>
    <row r="78" hidden="1" spans="19:19">
      <c r="S78" s="23"/>
    </row>
    <row r="79" hidden="1" spans="19:19">
      <c r="S79" s="23"/>
    </row>
    <row r="80" hidden="1" spans="19:19">
      <c r="S80" s="23"/>
    </row>
    <row r="81" hidden="1" spans="19:19">
      <c r="S81" s="23"/>
    </row>
    <row r="82" hidden="1" spans="19:19">
      <c r="S82" s="23"/>
    </row>
    <row r="83" hidden="1" spans="19:19">
      <c r="S83" s="23"/>
    </row>
    <row r="84" hidden="1" spans="19:19">
      <c r="S84" s="23"/>
    </row>
    <row r="85" hidden="1" spans="19:19">
      <c r="S85" s="23"/>
    </row>
    <row r="86" hidden="1" spans="19:19">
      <c r="S86" s="23"/>
    </row>
    <row r="87" hidden="1" spans="19:19">
      <c r="S87" s="23"/>
    </row>
    <row r="88" hidden="1" spans="19:19">
      <c r="S88" s="23"/>
    </row>
    <row r="89" hidden="1" spans="19:19">
      <c r="S89" s="23"/>
    </row>
    <row r="90" hidden="1" spans="19:19">
      <c r="S90" s="23"/>
    </row>
    <row r="91" hidden="1" spans="19:19">
      <c r="S91" s="23"/>
    </row>
    <row r="92" spans="1:19">
      <c r="A92" s="15" t="s">
        <v>30</v>
      </c>
      <c r="B92" s="16">
        <f t="shared" ref="B92:N92" si="2">IFERROR(GETPIVOTDATA("Volume M3",$A$55,"Waste Stream","DIVERSION                     ","Period MMYY",B$1)/GETPIVOTDATA("Volume M3",$A$55,"Period MMYY",B$1),"")</f>
        <v>0.272108739994876</v>
      </c>
      <c r="C92" s="16">
        <f t="shared" si="2"/>
        <v>0.238857345168824</v>
      </c>
      <c r="D92" s="16">
        <f t="shared" si="2"/>
        <v>0.227250386872342</v>
      </c>
      <c r="E92" s="16">
        <f t="shared" si="2"/>
        <v>0.246870847492598</v>
      </c>
      <c r="F92" s="16">
        <f t="shared" si="2"/>
        <v>0.250389721385351</v>
      </c>
      <c r="G92" s="16">
        <f t="shared" si="2"/>
        <v>0.240055965012657</v>
      </c>
      <c r="H92" s="16">
        <f t="shared" si="2"/>
        <v>0.234264207440062</v>
      </c>
      <c r="I92" s="16">
        <f t="shared" si="2"/>
        <v>0.278239407241278</v>
      </c>
      <c r="J92" s="16">
        <f t="shared" si="2"/>
        <v>0.23719682330566</v>
      </c>
      <c r="K92" s="16">
        <f t="shared" si="2"/>
        <v>0.250341473161899</v>
      </c>
      <c r="L92" s="16">
        <f t="shared" si="2"/>
        <v>0.223862021596676</v>
      </c>
      <c r="M92" s="16">
        <f t="shared" si="2"/>
        <v>0.272531397120277</v>
      </c>
      <c r="N92" s="16">
        <f t="shared" si="2"/>
        <v>0.223431583785653</v>
      </c>
      <c r="O92" s="27">
        <f>IFERROR(GETPIVOTDATA("Volume M3",$A$54,"Waste Stream","DIVERSION                     ")/GETPIVOTDATA("Volume M3",$A$54),"")</f>
        <v>0.246056073983385</v>
      </c>
      <c r="P92" s="16" t="str">
        <f t="shared" ref="P92" si="3">IFERROR(GETPIVOTDATA("Volume M3",$A$70,"Waste Stream","DIVERSION                     ","Period MMYY",P$1)/GETPIVOTDATA("Volume M3",$A$70,"Period MMYY",P$1),"")</f>
        <v/>
      </c>
      <c r="R92" s="16"/>
      <c r="S92" s="23"/>
    </row>
    <row r="93" spans="1:19">
      <c r="A93" s="17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26"/>
    </row>
    <row r="94" spans="1:19">
      <c r="A94" s="17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26"/>
    </row>
    <row r="95" spans="1:19">
      <c r="A95" s="17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26"/>
    </row>
    <row r="96" spans="1:19">
      <c r="A96" s="17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26"/>
    </row>
    <row r="97" spans="1:19">
      <c r="A97" s="17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26"/>
    </row>
    <row r="98" hidden="1" spans="1:19">
      <c r="A98" t="s">
        <v>4</v>
      </c>
      <c r="B98" t="s">
        <v>5</v>
      </c>
      <c r="S98" s="23"/>
    </row>
    <row r="99" spans="1:19">
      <c r="A99" s="11"/>
      <c r="S99" s="23"/>
    </row>
    <row r="100" spans="1:19">
      <c r="A100" t="s">
        <v>32</v>
      </c>
      <c r="B100" t="s">
        <v>7</v>
      </c>
      <c r="S100" s="23"/>
    </row>
    <row r="101" spans="1:19">
      <c r="A101" t="s">
        <v>7</v>
      </c>
      <c r="B101" s="12">
        <v>45352</v>
      </c>
      <c r="C101" s="12">
        <v>45383</v>
      </c>
      <c r="D101" s="12">
        <v>45413</v>
      </c>
      <c r="E101" s="12">
        <v>45444</v>
      </c>
      <c r="F101" s="12">
        <v>45474</v>
      </c>
      <c r="G101" s="12">
        <v>45505</v>
      </c>
      <c r="H101" s="12">
        <v>45536</v>
      </c>
      <c r="I101" s="12">
        <v>45566</v>
      </c>
      <c r="J101" s="12">
        <v>45597</v>
      </c>
      <c r="K101" s="12">
        <v>45627</v>
      </c>
      <c r="L101" s="12">
        <v>45658</v>
      </c>
      <c r="M101" s="12">
        <v>45689</v>
      </c>
      <c r="N101" s="12">
        <v>45717</v>
      </c>
      <c r="O101" s="12" t="s">
        <v>8</v>
      </c>
      <c r="S101" s="23"/>
    </row>
    <row r="102" spans="1:19">
      <c r="A102" s="13" t="s">
        <v>9</v>
      </c>
      <c r="B102">
        <v>91.207</v>
      </c>
      <c r="C102">
        <v>119.955</v>
      </c>
      <c r="D102">
        <v>99.73</v>
      </c>
      <c r="E102">
        <v>66.301</v>
      </c>
      <c r="F102">
        <v>110.376</v>
      </c>
      <c r="G102">
        <v>110.038</v>
      </c>
      <c r="H102">
        <v>110.728</v>
      </c>
      <c r="I102">
        <v>119.004</v>
      </c>
      <c r="J102">
        <v>113.114</v>
      </c>
      <c r="K102">
        <v>115.492</v>
      </c>
      <c r="L102">
        <v>43.831</v>
      </c>
      <c r="M102">
        <v>74.293</v>
      </c>
      <c r="N102">
        <v>95.356</v>
      </c>
      <c r="O102">
        <v>1269.425</v>
      </c>
      <c r="S102" s="23"/>
    </row>
    <row r="103" spans="1:19">
      <c r="A103" s="14" t="s">
        <v>10</v>
      </c>
      <c r="G103">
        <v>0</v>
      </c>
      <c r="O103">
        <v>0</v>
      </c>
      <c r="S103" s="23"/>
    </row>
    <row r="104" spans="1:19">
      <c r="A104" s="14" t="s">
        <v>11</v>
      </c>
      <c r="B104">
        <v>4.185</v>
      </c>
      <c r="C104">
        <v>3.198</v>
      </c>
      <c r="D104">
        <v>3.563</v>
      </c>
      <c r="E104">
        <v>2.18</v>
      </c>
      <c r="F104">
        <v>4.187</v>
      </c>
      <c r="G104">
        <v>3.488</v>
      </c>
      <c r="H104">
        <v>3.721</v>
      </c>
      <c r="I104">
        <v>6.046</v>
      </c>
      <c r="J104">
        <v>3.954</v>
      </c>
      <c r="K104">
        <v>5.116</v>
      </c>
      <c r="L104">
        <v>2.559</v>
      </c>
      <c r="M104">
        <v>5.116</v>
      </c>
      <c r="N104">
        <v>3.023</v>
      </c>
      <c r="O104">
        <v>50.336</v>
      </c>
      <c r="S104" s="23"/>
    </row>
    <row r="105" spans="1:19">
      <c r="A105" s="14" t="s">
        <v>12</v>
      </c>
      <c r="B105">
        <v>7.507</v>
      </c>
      <c r="C105">
        <v>7.5</v>
      </c>
      <c r="D105">
        <v>6.871</v>
      </c>
      <c r="E105">
        <v>4.622</v>
      </c>
      <c r="F105">
        <v>8.769</v>
      </c>
      <c r="G105">
        <v>8.169</v>
      </c>
      <c r="H105">
        <v>7.044</v>
      </c>
      <c r="I105">
        <v>8.339</v>
      </c>
      <c r="J105">
        <v>7.236</v>
      </c>
      <c r="K105">
        <v>6.905</v>
      </c>
      <c r="L105">
        <v>7.571</v>
      </c>
      <c r="M105">
        <v>6.648</v>
      </c>
      <c r="N105">
        <v>6.667</v>
      </c>
      <c r="O105">
        <v>93.848</v>
      </c>
      <c r="S105" s="23"/>
    </row>
    <row r="106" spans="1:19">
      <c r="A106" s="14" t="s">
        <v>13</v>
      </c>
      <c r="B106">
        <v>0.02</v>
      </c>
      <c r="O106">
        <v>0.02</v>
      </c>
      <c r="S106" s="23"/>
    </row>
    <row r="107" spans="1:19">
      <c r="A107" s="14" t="s">
        <v>14</v>
      </c>
      <c r="B107">
        <v>0.458</v>
      </c>
      <c r="E107">
        <v>0.4</v>
      </c>
      <c r="G107">
        <v>0.4</v>
      </c>
      <c r="J107">
        <v>0.69</v>
      </c>
      <c r="K107">
        <v>0.644</v>
      </c>
      <c r="M107">
        <v>0.42</v>
      </c>
      <c r="O107">
        <v>3.012</v>
      </c>
      <c r="S107" s="23"/>
    </row>
    <row r="108" spans="1:19">
      <c r="A108" s="14" t="s">
        <v>15</v>
      </c>
      <c r="F108">
        <v>0.025</v>
      </c>
      <c r="G108">
        <v>0.02</v>
      </c>
      <c r="I108">
        <v>0.01</v>
      </c>
      <c r="O108">
        <v>0.055</v>
      </c>
      <c r="S108" s="23"/>
    </row>
    <row r="109" spans="1:19">
      <c r="A109" s="14" t="s">
        <v>16</v>
      </c>
      <c r="B109">
        <v>5.138</v>
      </c>
      <c r="C109">
        <v>4.406</v>
      </c>
      <c r="D109">
        <v>4.879</v>
      </c>
      <c r="E109">
        <v>3.667</v>
      </c>
      <c r="F109">
        <v>8.418</v>
      </c>
      <c r="G109">
        <v>7.152</v>
      </c>
      <c r="H109">
        <v>7.289</v>
      </c>
      <c r="I109">
        <v>2.772</v>
      </c>
      <c r="J109">
        <v>2.97</v>
      </c>
      <c r="K109">
        <v>3.456</v>
      </c>
      <c r="L109">
        <v>3.096</v>
      </c>
      <c r="M109">
        <v>2.736</v>
      </c>
      <c r="N109">
        <v>3.132</v>
      </c>
      <c r="O109">
        <v>59.111</v>
      </c>
      <c r="S109" s="23"/>
    </row>
    <row r="110" spans="1:19">
      <c r="A110" s="14" t="s">
        <v>17</v>
      </c>
      <c r="B110">
        <v>6.45</v>
      </c>
      <c r="D110">
        <v>8.6</v>
      </c>
      <c r="E110">
        <v>2.15</v>
      </c>
      <c r="F110">
        <v>8.6</v>
      </c>
      <c r="G110">
        <v>2.15</v>
      </c>
      <c r="H110">
        <v>6.45</v>
      </c>
      <c r="I110">
        <v>2.15</v>
      </c>
      <c r="J110">
        <v>8.6</v>
      </c>
      <c r="K110">
        <v>2.15</v>
      </c>
      <c r="L110">
        <v>2.15</v>
      </c>
      <c r="M110">
        <v>8.6</v>
      </c>
      <c r="O110">
        <v>58.05</v>
      </c>
      <c r="S110" s="23"/>
    </row>
    <row r="111" spans="1:19">
      <c r="A111" s="14" t="s">
        <v>18</v>
      </c>
      <c r="C111">
        <v>0.007</v>
      </c>
      <c r="F111">
        <v>0.007</v>
      </c>
      <c r="G111">
        <v>0.007</v>
      </c>
      <c r="J111">
        <v>0.014</v>
      </c>
      <c r="O111">
        <v>0.035</v>
      </c>
      <c r="S111" s="23"/>
    </row>
    <row r="112" spans="1:19">
      <c r="A112" s="14" t="s">
        <v>19</v>
      </c>
      <c r="B112">
        <v>0.8</v>
      </c>
      <c r="C112">
        <v>0.32</v>
      </c>
      <c r="D112">
        <v>0.46</v>
      </c>
      <c r="E112">
        <v>0.29</v>
      </c>
      <c r="G112">
        <v>0.51</v>
      </c>
      <c r="H112">
        <v>0.38</v>
      </c>
      <c r="K112">
        <v>0.37</v>
      </c>
      <c r="L112">
        <v>0.04</v>
      </c>
      <c r="M112">
        <v>0.36</v>
      </c>
      <c r="O112">
        <v>3.53</v>
      </c>
      <c r="S112" s="23"/>
    </row>
    <row r="113" spans="1:19">
      <c r="A113" s="14" t="s">
        <v>20</v>
      </c>
      <c r="B113">
        <v>0.248</v>
      </c>
      <c r="C113">
        <v>0.371</v>
      </c>
      <c r="D113">
        <v>0.234</v>
      </c>
      <c r="E113">
        <v>0.212</v>
      </c>
      <c r="F113">
        <v>0.238</v>
      </c>
      <c r="G113">
        <v>0.259</v>
      </c>
      <c r="H113">
        <v>0.378</v>
      </c>
      <c r="I113">
        <v>0.277</v>
      </c>
      <c r="J113">
        <v>0.253</v>
      </c>
      <c r="K113">
        <v>0.259</v>
      </c>
      <c r="L113">
        <v>0.16</v>
      </c>
      <c r="M113">
        <v>0.265</v>
      </c>
      <c r="N113">
        <v>0.349</v>
      </c>
      <c r="O113">
        <v>3.503</v>
      </c>
      <c r="S113" s="23"/>
    </row>
    <row r="114" spans="1:19">
      <c r="A114" s="14" t="s">
        <v>21</v>
      </c>
      <c r="B114">
        <v>66</v>
      </c>
      <c r="C114">
        <v>104.04</v>
      </c>
      <c r="D114">
        <v>75</v>
      </c>
      <c r="E114">
        <v>52</v>
      </c>
      <c r="F114">
        <v>80</v>
      </c>
      <c r="G114">
        <v>86</v>
      </c>
      <c r="H114">
        <v>85</v>
      </c>
      <c r="I114">
        <v>99</v>
      </c>
      <c r="J114">
        <v>89</v>
      </c>
      <c r="K114">
        <v>96</v>
      </c>
      <c r="L114">
        <v>28</v>
      </c>
      <c r="M114">
        <v>50</v>
      </c>
      <c r="N114">
        <v>82</v>
      </c>
      <c r="O114">
        <v>992.04</v>
      </c>
      <c r="S114" s="23"/>
    </row>
    <row r="115" spans="1:19">
      <c r="A115" s="14" t="s">
        <v>22</v>
      </c>
      <c r="B115">
        <v>0.007</v>
      </c>
      <c r="C115">
        <v>0.005</v>
      </c>
      <c r="F115">
        <v>0.01</v>
      </c>
      <c r="G115">
        <v>0.013</v>
      </c>
      <c r="J115">
        <v>0.017</v>
      </c>
      <c r="O115">
        <v>0.052</v>
      </c>
      <c r="S115" s="23"/>
    </row>
    <row r="116" spans="1:19">
      <c r="A116" s="14" t="s">
        <v>23</v>
      </c>
      <c r="B116">
        <v>0.134</v>
      </c>
      <c r="C116">
        <v>0.108</v>
      </c>
      <c r="D116">
        <v>0.123</v>
      </c>
      <c r="E116">
        <v>0.12</v>
      </c>
      <c r="F116">
        <v>0.122</v>
      </c>
      <c r="G116">
        <v>0.13</v>
      </c>
      <c r="H116">
        <v>0.166</v>
      </c>
      <c r="I116">
        <v>0.15</v>
      </c>
      <c r="J116">
        <v>0.14</v>
      </c>
      <c r="K116">
        <v>0.132</v>
      </c>
      <c r="L116">
        <v>0.055</v>
      </c>
      <c r="M116">
        <v>0.148</v>
      </c>
      <c r="N116">
        <v>0.185</v>
      </c>
      <c r="O116">
        <v>1.713</v>
      </c>
      <c r="S116" s="23"/>
    </row>
    <row r="117" spans="1:19">
      <c r="A117" s="14" t="s">
        <v>24</v>
      </c>
      <c r="B117">
        <v>0.26</v>
      </c>
      <c r="E117">
        <v>0.66</v>
      </c>
      <c r="G117">
        <v>1.74</v>
      </c>
      <c r="H117">
        <v>0.3</v>
      </c>
      <c r="I117">
        <v>0.26</v>
      </c>
      <c r="J117">
        <v>0.24</v>
      </c>
      <c r="K117">
        <v>0.46</v>
      </c>
      <c r="L117">
        <v>0.2</v>
      </c>
      <c r="O117">
        <v>4.12</v>
      </c>
      <c r="S117" s="23"/>
    </row>
    <row r="118" spans="1:19">
      <c r="A118" s="13" t="s">
        <v>25</v>
      </c>
      <c r="B118">
        <v>55.337</v>
      </c>
      <c r="C118">
        <v>67.746</v>
      </c>
      <c r="D118">
        <v>69.653</v>
      </c>
      <c r="E118">
        <v>56.787</v>
      </c>
      <c r="F118">
        <v>68.448</v>
      </c>
      <c r="G118">
        <v>70.647</v>
      </c>
      <c r="H118">
        <v>56.623</v>
      </c>
      <c r="I118">
        <v>68.021</v>
      </c>
      <c r="J118">
        <v>63.649</v>
      </c>
      <c r="K118">
        <v>64.739</v>
      </c>
      <c r="L118">
        <v>55.029</v>
      </c>
      <c r="M118">
        <v>59.809</v>
      </c>
      <c r="N118">
        <v>58.289</v>
      </c>
      <c r="O118">
        <v>814.777</v>
      </c>
      <c r="S118" s="23"/>
    </row>
    <row r="119" spans="1:19">
      <c r="A119" s="14" t="s">
        <v>26</v>
      </c>
      <c r="H119">
        <v>0</v>
      </c>
      <c r="I119">
        <v>2</v>
      </c>
      <c r="M119">
        <v>2</v>
      </c>
      <c r="O119">
        <v>4</v>
      </c>
      <c r="S119" s="23"/>
    </row>
    <row r="120" spans="1:19">
      <c r="A120" s="14" t="s">
        <v>27</v>
      </c>
      <c r="B120">
        <v>47.47</v>
      </c>
      <c r="C120">
        <v>56.82</v>
      </c>
      <c r="D120">
        <v>61.786</v>
      </c>
      <c r="E120">
        <v>48.92</v>
      </c>
      <c r="F120">
        <v>56.38</v>
      </c>
      <c r="G120">
        <v>62.78</v>
      </c>
      <c r="H120">
        <v>48.52</v>
      </c>
      <c r="I120">
        <v>57.01</v>
      </c>
      <c r="J120">
        <v>55.58</v>
      </c>
      <c r="K120">
        <v>54.72</v>
      </c>
      <c r="L120">
        <v>46.96</v>
      </c>
      <c r="M120">
        <v>49.74</v>
      </c>
      <c r="N120">
        <v>50.22</v>
      </c>
      <c r="O120">
        <v>696.906</v>
      </c>
      <c r="S120" s="23"/>
    </row>
    <row r="121" spans="1:19">
      <c r="A121" s="14" t="s">
        <v>28</v>
      </c>
      <c r="B121">
        <v>0.004</v>
      </c>
      <c r="C121">
        <v>0.005</v>
      </c>
      <c r="D121">
        <v>0.004</v>
      </c>
      <c r="E121">
        <v>0.004</v>
      </c>
      <c r="F121">
        <v>0.005</v>
      </c>
      <c r="G121">
        <v>0.004</v>
      </c>
      <c r="H121">
        <v>0.004</v>
      </c>
      <c r="I121">
        <v>0.005</v>
      </c>
      <c r="J121">
        <v>0.004</v>
      </c>
      <c r="K121">
        <v>0.005</v>
      </c>
      <c r="L121">
        <v>0.004</v>
      </c>
      <c r="M121">
        <v>0.004</v>
      </c>
      <c r="N121">
        <v>0.004</v>
      </c>
      <c r="O121">
        <v>0.056</v>
      </c>
      <c r="S121" s="23"/>
    </row>
    <row r="122" spans="1:19">
      <c r="A122" s="14" t="s">
        <v>29</v>
      </c>
      <c r="B122">
        <v>7.863</v>
      </c>
      <c r="C122">
        <v>10.921</v>
      </c>
      <c r="D122">
        <v>7.863</v>
      </c>
      <c r="E122">
        <v>7.863</v>
      </c>
      <c r="F122">
        <v>12.063</v>
      </c>
      <c r="G122">
        <v>7.863</v>
      </c>
      <c r="H122">
        <v>8.099</v>
      </c>
      <c r="I122">
        <v>9.006</v>
      </c>
      <c r="J122">
        <v>8.065</v>
      </c>
      <c r="K122">
        <v>10.014</v>
      </c>
      <c r="L122">
        <v>8.065</v>
      </c>
      <c r="M122">
        <v>8.065</v>
      </c>
      <c r="N122">
        <v>8.065</v>
      </c>
      <c r="O122">
        <v>113.815</v>
      </c>
      <c r="S122" s="23"/>
    </row>
    <row r="123" spans="1:19">
      <c r="A123" s="13" t="s">
        <v>8</v>
      </c>
      <c r="B123">
        <v>146.544</v>
      </c>
      <c r="C123">
        <v>187.701</v>
      </c>
      <c r="D123">
        <v>169.383</v>
      </c>
      <c r="E123">
        <v>123.088</v>
      </c>
      <c r="F123">
        <v>178.824</v>
      </c>
      <c r="G123">
        <v>180.685</v>
      </c>
      <c r="H123">
        <v>167.351</v>
      </c>
      <c r="I123">
        <v>187.025</v>
      </c>
      <c r="J123">
        <v>176.763</v>
      </c>
      <c r="K123">
        <v>180.231</v>
      </c>
      <c r="L123">
        <v>98.86</v>
      </c>
      <c r="M123">
        <v>134.102</v>
      </c>
      <c r="N123">
        <v>153.645</v>
      </c>
      <c r="O123">
        <v>2084.202</v>
      </c>
      <c r="S123" s="23"/>
    </row>
    <row r="124" hidden="1" spans="19:19">
      <c r="S124" s="23"/>
    </row>
    <row r="125" hidden="1" spans="19:19">
      <c r="S125" s="23"/>
    </row>
    <row r="126" hidden="1" spans="19:19">
      <c r="S126" s="23"/>
    </row>
    <row r="127" hidden="1" spans="19:19">
      <c r="S127" s="23"/>
    </row>
    <row r="128" hidden="1" spans="19:19">
      <c r="S128" s="23"/>
    </row>
    <row r="129" hidden="1" spans="19:19">
      <c r="S129" s="23"/>
    </row>
    <row r="130" hidden="1" spans="19:19">
      <c r="S130" s="23"/>
    </row>
    <row r="131" hidden="1" spans="19:19">
      <c r="S131" s="23"/>
    </row>
    <row r="132" hidden="1" spans="19:19">
      <c r="S132" s="23"/>
    </row>
    <row r="133" hidden="1" spans="19:19">
      <c r="S133" s="23"/>
    </row>
    <row r="134" hidden="1" spans="19:19">
      <c r="S134" s="23"/>
    </row>
    <row r="135" hidden="1" spans="19:19">
      <c r="S135" s="23"/>
    </row>
    <row r="136" hidden="1" spans="19:19">
      <c r="S136" s="23"/>
    </row>
    <row r="137" hidden="1" spans="19:19">
      <c r="S137" s="23"/>
    </row>
    <row r="138" spans="1:19">
      <c r="A138" s="15" t="s">
        <v>30</v>
      </c>
      <c r="B138" s="27">
        <f>IFERROR(GETPIVOTDATA("Reviewed Weights ",$A$100,"Waste Stream","DIVERSION                     ")/GETPIVOTDATA("Reviewed Weights ",$A$100),"")</f>
        <v>0.609070042155223</v>
      </c>
      <c r="C138" s="27">
        <f>IFERROR(GETPIVOTDATA("Reviewed Weights ",$A$100,"Waste Stream","DIVERSION                     ")/GETPIVOTDATA("Reviewed Weights ",$A$100),"")</f>
        <v>0.609070042155223</v>
      </c>
      <c r="D138" s="16">
        <f t="shared" ref="D138:N138" si="4">IFERROR(GETPIVOTDATA("Weights (Tns) ",$A$101,"Waste Stream","DIVERSION                     ","Period MMYY",D$1)/GETPIVOTDATA("Weights (Tns) ",$A$101,"Period MMYY",D$1),"")</f>
        <v>0.588783998394172</v>
      </c>
      <c r="E138" s="16">
        <f t="shared" si="4"/>
        <v>0.538647146756792</v>
      </c>
      <c r="F138" s="16">
        <f t="shared" si="4"/>
        <v>0.617232586230036</v>
      </c>
      <c r="G138" s="16">
        <f t="shared" si="4"/>
        <v>0.609004621302266</v>
      </c>
      <c r="H138" s="16">
        <f t="shared" si="4"/>
        <v>0.661651259926741</v>
      </c>
      <c r="I138" s="16">
        <f t="shared" si="4"/>
        <v>0.636299959898409</v>
      </c>
      <c r="J138" s="16">
        <f t="shared" si="4"/>
        <v>0.639918987570928</v>
      </c>
      <c r="K138" s="16">
        <f t="shared" si="4"/>
        <v>0.64079986239881</v>
      </c>
      <c r="L138" s="16">
        <f t="shared" si="4"/>
        <v>0.443364353631398</v>
      </c>
      <c r="M138" s="16">
        <f t="shared" si="4"/>
        <v>0.554003668849085</v>
      </c>
      <c r="N138" s="16">
        <f t="shared" si="4"/>
        <v>0.620625467799147</v>
      </c>
      <c r="O138" s="16">
        <f>IFERROR(IF(ISBLANK(N1)," ",GETPIVOTDATA("Weights (Tns) ",$A$101,"Waste Stream","DIVERSION                     ")/GETPIVOTDATA("Weights (Tns) ",$A$101)),"")</f>
        <v>0.609070042155223</v>
      </c>
      <c r="P138" s="16" t="str">
        <f t="shared" ref="P138" si="5">IFERROR(GETPIVOTDATA("Volume M3",$A$70,"Waste Stream","DIVERSION                     ","Period MMYY",P$1)/GETPIVOTDATA("Volume M3",$A$70,"Period MMYY",P$1),"")</f>
        <v/>
      </c>
      <c r="R138" s="16"/>
      <c r="S138" s="23"/>
    </row>
    <row r="139" spans="1:19">
      <c r="A139" s="17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26"/>
    </row>
    <row r="140" spans="1:19">
      <c r="A140" s="1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26"/>
    </row>
    <row r="141" spans="1:19">
      <c r="A141" s="17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26"/>
    </row>
    <row r="142" spans="1:19">
      <c r="A142" s="17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26"/>
    </row>
    <row r="143" spans="1:19">
      <c r="A143" s="17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26"/>
    </row>
    <row r="144" ht="12.75" customHeight="1" spans="1:19">
      <c r="A144" s="11"/>
      <c r="S144" s="23"/>
    </row>
    <row r="145" ht="12.75" customHeight="1" spans="1:19">
      <c r="A145" s="11"/>
      <c r="S145" s="23"/>
    </row>
    <row r="146" ht="12.75" customHeight="1" spans="1:19">
      <c r="A146" s="11"/>
      <c r="S146" s="23"/>
    </row>
    <row r="147" ht="12.75" customHeight="1" spans="1:19">
      <c r="A147" s="11"/>
      <c r="S147" s="23"/>
    </row>
    <row r="148" spans="1:19">
      <c r="A148" s="28" t="s">
        <v>33</v>
      </c>
      <c r="S148" s="23"/>
    </row>
    <row r="149" ht="12.75" customHeight="1" spans="1:19">
      <c r="A149" s="29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1"/>
    </row>
  </sheetData>
  <mergeCells count="23">
    <mergeCell ref="A2:S2"/>
    <mergeCell ref="A3:F3"/>
    <mergeCell ref="G3:L3"/>
    <mergeCell ref="M3:S3"/>
    <mergeCell ref="G4:L4"/>
    <mergeCell ref="M4:O4"/>
    <mergeCell ref="A47:S47"/>
    <mergeCell ref="A48:S48"/>
    <mergeCell ref="A49:S49"/>
    <mergeCell ref="A50:S50"/>
    <mergeCell ref="A51:S51"/>
    <mergeCell ref="A93:S93"/>
    <mergeCell ref="A94:S94"/>
    <mergeCell ref="A95:S95"/>
    <mergeCell ref="A96:S96"/>
    <mergeCell ref="A97:S97"/>
    <mergeCell ref="A139:S139"/>
    <mergeCell ref="A140:S140"/>
    <mergeCell ref="A141:S141"/>
    <mergeCell ref="A142:S142"/>
    <mergeCell ref="A143:S143"/>
    <mergeCell ref="A144:S147"/>
    <mergeCell ref="A148:S149"/>
  </mergeCells>
  <pageMargins left="0.7" right="0.7" top="0.75" bottom="0.75" header="0.3" footer="0.3"/>
  <headerFooter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 JOHN OF GOD MIDLAND HOSPITAL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Guruge</dc:creator>
  <cp:lastModifiedBy>Shane</cp:lastModifiedBy>
  <dcterms:created xsi:type="dcterms:W3CDTF">2025-04-15T10:56:00Z</dcterms:created>
  <dcterms:modified xsi:type="dcterms:W3CDTF">2025-04-22T08:12:57Z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47AD0D7AD1424B7F8B6BC0CC26648322_12</vt:lpwstr>
  </property>
  <property fmtid="{D5CDD505-2E9C-101B-9397-08002B2CF9AE}" pid="3" name="KSOProductBuildVer">
    <vt:lpwstr>1033-12.2.0.20795</vt:lpwstr>
  </property>
</Properties>
</file>