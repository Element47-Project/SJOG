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jiang/Library/CloudStorage/Box-Box/Element47/0001 - Projects/0120 - Witchcliffe Ecovillage/14. 2025 billing and export/"/>
    </mc:Choice>
  </mc:AlternateContent>
  <xr:revisionPtr revIDLastSave="0" documentId="13_ncr:1_{1BEF2E69-0A85-A846-9CEB-047CF249CAD3}" xr6:coauthVersionLast="47" xr6:coauthVersionMax="47" xr10:uidLastSave="{00000000-0000-0000-0000-000000000000}"/>
  <bookViews>
    <workbookView xWindow="1340" yWindow="920" windowWidth="28060" windowHeight="18060" xr2:uid="{28E7001D-CE16-2942-8A9A-CBC515E55801}"/>
  </bookViews>
  <sheets>
    <sheet name="1A" sheetId="5" r:id="rId1"/>
    <sheet name="1B" sheetId="4" r:id="rId2"/>
    <sheet name="1C" sheetId="6" r:id="rId3"/>
    <sheet name="2A" sheetId="7" r:id="rId4"/>
    <sheet name="2B" sheetId="3" r:id="rId5"/>
    <sheet name="3A" sheetId="1" r:id="rId6"/>
    <sheet name="3B" sheetId="2" r:id="rId7"/>
  </sheets>
  <definedNames>
    <definedName name="Limit_Percentage">'1B'!$O$3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3" l="1"/>
  <c r="P21" i="3"/>
  <c r="P18" i="3"/>
  <c r="P17" i="3"/>
  <c r="P16" i="3"/>
  <c r="P14" i="3"/>
  <c r="P13" i="3"/>
  <c r="P11" i="3"/>
  <c r="P10" i="3"/>
  <c r="P9" i="3"/>
  <c r="P8" i="3"/>
  <c r="P7" i="3"/>
  <c r="P6" i="3"/>
  <c r="P5" i="3"/>
  <c r="P4" i="3"/>
  <c r="P3" i="3"/>
  <c r="P2" i="3"/>
  <c r="F4" i="3"/>
  <c r="F14" i="3"/>
  <c r="O3" i="5"/>
  <c r="F3" i="5"/>
  <c r="F6" i="5"/>
  <c r="O5" i="5" s="1"/>
  <c r="F7" i="5"/>
  <c r="O6" i="5" s="1"/>
  <c r="F8" i="5"/>
  <c r="O7" i="5" s="1"/>
  <c r="F9" i="5"/>
  <c r="O8" i="5" s="1"/>
  <c r="F10" i="5"/>
  <c r="O9" i="5" s="1"/>
  <c r="F11" i="5"/>
  <c r="O10" i="5" s="1"/>
  <c r="F12" i="5"/>
  <c r="O11" i="5" s="1"/>
  <c r="O12" i="5"/>
  <c r="F14" i="5"/>
  <c r="O13" i="5" s="1"/>
  <c r="F15" i="5"/>
  <c r="O14" i="5" s="1"/>
  <c r="F16" i="5"/>
  <c r="O15" i="5" s="1"/>
  <c r="F17" i="5"/>
  <c r="O16" i="5" s="1"/>
  <c r="F18" i="5"/>
  <c r="O17" i="5" s="1"/>
  <c r="F19" i="5"/>
  <c r="O18" i="5" s="1"/>
  <c r="F20" i="5"/>
  <c r="O19" i="5" s="1"/>
  <c r="F21" i="5"/>
  <c r="O20" i="5" s="1"/>
  <c r="F22" i="5"/>
  <c r="O21" i="5" s="1"/>
  <c r="F23" i="5"/>
  <c r="O22" i="5" s="1"/>
  <c r="F24" i="5"/>
  <c r="O23" i="5" s="1"/>
  <c r="F25" i="5"/>
  <c r="O24" i="5" s="1"/>
  <c r="F26" i="5"/>
  <c r="O25" i="5" s="1"/>
  <c r="F5" i="5"/>
  <c r="O4" i="5" s="1"/>
  <c r="F2" i="6"/>
  <c r="O8" i="6"/>
  <c r="F21" i="6"/>
  <c r="O21" i="6" s="1"/>
  <c r="F10" i="6"/>
  <c r="O10" i="6" s="1"/>
  <c r="F11" i="6"/>
  <c r="O11" i="6" s="1"/>
  <c r="F12" i="6"/>
  <c r="O12" i="6" s="1"/>
  <c r="F13" i="6"/>
  <c r="O13" i="6" s="1"/>
  <c r="F14" i="6"/>
  <c r="O14" i="6" s="1"/>
  <c r="F15" i="6"/>
  <c r="O15" i="6" s="1"/>
  <c r="F16" i="6"/>
  <c r="O16" i="6" s="1"/>
  <c r="F17" i="6"/>
  <c r="O17" i="6" s="1"/>
  <c r="F18" i="6"/>
  <c r="O18" i="6" s="1"/>
  <c r="F19" i="6"/>
  <c r="O19" i="6" s="1"/>
  <c r="F20" i="6"/>
  <c r="O20" i="6" s="1"/>
  <c r="F9" i="6"/>
  <c r="O9" i="6" s="1"/>
  <c r="F4" i="6"/>
  <c r="O4" i="6" s="1"/>
  <c r="F5" i="6"/>
  <c r="O5" i="6" s="1"/>
  <c r="F6" i="6"/>
  <c r="O6" i="6" s="1"/>
  <c r="F7" i="6"/>
  <c r="O7" i="6" s="1"/>
  <c r="F3" i="6"/>
  <c r="O3" i="6" s="1"/>
  <c r="K28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6" i="4"/>
  <c r="K27" i="4"/>
  <c r="L23" i="4"/>
  <c r="O23" i="4" s="1"/>
  <c r="F26" i="3"/>
  <c r="E2" i="3"/>
  <c r="F6" i="3"/>
  <c r="F7" i="3"/>
  <c r="F9" i="3"/>
  <c r="F10" i="3"/>
  <c r="F11" i="3"/>
  <c r="F12" i="3"/>
  <c r="F13" i="3"/>
  <c r="F16" i="3"/>
  <c r="F17" i="3"/>
  <c r="F18" i="3"/>
  <c r="F19" i="3"/>
  <c r="F20" i="3"/>
  <c r="F21" i="3"/>
  <c r="F23" i="3"/>
  <c r="F5" i="3"/>
  <c r="F3" i="3"/>
  <c r="E2" i="6"/>
  <c r="E2" i="5"/>
  <c r="H6" i="4"/>
  <c r="I6" i="4"/>
  <c r="J6" i="4"/>
  <c r="L6" i="4"/>
  <c r="O6" i="4" s="1"/>
  <c r="H7" i="4"/>
  <c r="I7" i="4"/>
  <c r="J7" i="4"/>
  <c r="L7" i="4"/>
  <c r="O7" i="4" s="1"/>
  <c r="H8" i="4"/>
  <c r="I8" i="4"/>
  <c r="J8" i="4"/>
  <c r="L8" i="4"/>
  <c r="H9" i="4"/>
  <c r="I9" i="4"/>
  <c r="J9" i="4"/>
  <c r="O9" i="4"/>
  <c r="H10" i="4"/>
  <c r="I10" i="4"/>
  <c r="J10" i="4"/>
  <c r="L10" i="4"/>
  <c r="O10" i="4" s="1"/>
  <c r="H11" i="4"/>
  <c r="I11" i="4"/>
  <c r="J11" i="4"/>
  <c r="L11" i="4"/>
  <c r="O11" i="4" s="1"/>
  <c r="H12" i="4"/>
  <c r="I12" i="4"/>
  <c r="J12" i="4"/>
  <c r="L12" i="4"/>
  <c r="O12" i="4" s="1"/>
  <c r="H13" i="4"/>
  <c r="I13" i="4"/>
  <c r="J13" i="4"/>
  <c r="L13" i="4"/>
  <c r="O13" i="4"/>
  <c r="I14" i="4"/>
  <c r="J14" i="4"/>
  <c r="L14" i="4"/>
  <c r="H15" i="4"/>
  <c r="I15" i="4"/>
  <c r="J15" i="4"/>
  <c r="L15" i="4"/>
  <c r="O15" i="4"/>
  <c r="H16" i="4"/>
  <c r="I16" i="4"/>
  <c r="J16" i="4"/>
  <c r="L16" i="4"/>
  <c r="O16" i="4" s="1"/>
  <c r="H17" i="4"/>
  <c r="I17" i="4"/>
  <c r="J17" i="4"/>
  <c r="L17" i="4"/>
  <c r="O17" i="4" s="1"/>
  <c r="H18" i="4"/>
  <c r="I18" i="4"/>
  <c r="J18" i="4"/>
  <c r="L18" i="4"/>
  <c r="O18" i="4" s="1"/>
  <c r="H19" i="4"/>
  <c r="I19" i="4"/>
  <c r="J19" i="4"/>
  <c r="L19" i="4"/>
  <c r="O19" i="4" s="1"/>
  <c r="H20" i="4"/>
  <c r="I20" i="4"/>
  <c r="J20" i="4"/>
  <c r="L20" i="4"/>
  <c r="O20" i="4" s="1"/>
  <c r="H21" i="4"/>
  <c r="I21" i="4"/>
  <c r="J21" i="4"/>
  <c r="L21" i="4"/>
  <c r="O21" i="4" s="1"/>
  <c r="H22" i="4"/>
  <c r="I22" i="4"/>
  <c r="J22" i="4"/>
  <c r="L22" i="4"/>
  <c r="O22" i="4" s="1"/>
  <c r="H23" i="4"/>
  <c r="J23" i="4"/>
  <c r="H24" i="4"/>
  <c r="J24" i="4"/>
  <c r="L24" i="4"/>
  <c r="O24" i="4" s="1"/>
  <c r="H25" i="4"/>
  <c r="I25" i="4"/>
  <c r="J25" i="4"/>
  <c r="L25" i="4"/>
  <c r="O25" i="4" s="1"/>
  <c r="H26" i="4"/>
  <c r="J26" i="4"/>
  <c r="O26" i="4"/>
  <c r="J27" i="4"/>
  <c r="L27" i="4"/>
  <c r="D28" i="4"/>
  <c r="F28" i="4"/>
  <c r="G28" i="4"/>
  <c r="M28" i="4"/>
  <c r="E30" i="1"/>
  <c r="F2" i="3" l="1"/>
  <c r="F2" i="5"/>
  <c r="J28" i="4"/>
  <c r="L28" i="4"/>
  <c r="I28" i="4"/>
  <c r="O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Qi Jiang</author>
  </authors>
  <commentList>
    <comment ref="F2" authorId="0" shapeId="0" xr:uid="{8AE5F014-809C-BF44-8B54-470A4AECCF35}">
      <text>
        <r>
          <rPr>
            <b/>
            <sz val="10"/>
            <color rgb="FF000000"/>
            <rFont val="Tahoma"/>
            <family val="2"/>
          </rPr>
          <t>Qi Jiang: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Make sure total export is not over </t>
        </r>
        <r>
          <rPr>
            <sz val="10"/>
            <color rgb="FF000000"/>
            <rFont val="Tahoma"/>
            <family val="2"/>
          </rPr>
          <t xml:space="preserve">95kW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</author>
  </authors>
  <commentList>
    <comment ref="D5" authorId="0" shapeId="0" xr:uid="{CFB08F37-55FA-B742-83A5-79E2E56BEA1D}">
      <text>
        <r>
          <rPr>
            <b/>
            <sz val="10"/>
            <color rgb="FF000000"/>
            <rFont val="Tahoma"/>
            <family val="2"/>
          </rPr>
          <t>Craig: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Updated based on MH email 16/8/24 in Google Drive (battery bulletin)</t>
        </r>
      </text>
    </comment>
    <comment ref="G5" authorId="0" shapeId="0" xr:uid="{529E1AED-8227-1548-95EC-2D9F244C5EF0}">
      <text>
        <r>
          <rPr>
            <b/>
            <sz val="10"/>
            <color rgb="FF000000"/>
            <rFont val="Tahoma"/>
            <family val="2"/>
          </rPr>
          <t>Craig: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Info from Bodhi 9 Sep 2024 (Email)</t>
        </r>
      </text>
    </comment>
    <comment ref="B14" authorId="0" shapeId="0" xr:uid="{10E622C2-9DEA-3742-BB90-7C603B125A96}">
      <text>
        <r>
          <rPr>
            <sz val="10"/>
            <color rgb="FF000000"/>
            <rFont val="Tahoma"/>
            <family val="2"/>
          </rPr>
          <t>Not yet installed</t>
        </r>
      </text>
    </comment>
    <comment ref="B23" authorId="0" shapeId="0" xr:uid="{D25BFF53-6633-AC4A-BDA7-B8C976C151EC}">
      <text>
        <r>
          <rPr>
            <sz val="10"/>
            <color rgb="FF000000"/>
            <rFont val="Tahoma"/>
            <family val="2"/>
          </rPr>
          <t>Installed Nov 2024 - Awaiting droplet</t>
        </r>
      </text>
    </comment>
  </commentList>
</comments>
</file>

<file path=xl/sharedStrings.xml><?xml version="1.0" encoding="utf-8"?>
<sst xmlns="http://schemas.openxmlformats.org/spreadsheetml/2006/main" count="334" uniqueCount="107">
  <si>
    <t>3A Min: 5kva - Max: Groupies: 5kva | Cottage: 8.2kva | Family: 8.2kva | Comm Shed: 5kva</t>
  </si>
  <si>
    <t>3A</t>
  </si>
  <si>
    <t>15 IEC did prewire client not responding, IEC did not install </t>
  </si>
  <si>
    <t>18 IEC not installing.</t>
  </si>
  <si>
    <t>-</t>
  </si>
  <si>
    <t>Cluster</t>
  </si>
  <si>
    <t>Lot</t>
  </si>
  <si>
    <t>Solar Quote Accepted KVA</t>
  </si>
  <si>
    <t>Installed Solar KVA</t>
  </si>
  <si>
    <t>Export Limited to:</t>
  </si>
  <si>
    <t>Installed PV Array KW</t>
  </si>
  <si>
    <t>Installed Battery KWH</t>
  </si>
  <si>
    <t>Solar Install Date</t>
  </si>
  <si>
    <t>NMI Revenue meter install date</t>
  </si>
  <si>
    <t>Droplet Install Date</t>
  </si>
  <si>
    <t>SwitchDIn droplet installed</t>
  </si>
  <si>
    <t>Jey Submitted</t>
  </si>
  <si>
    <t>3B Min: 5kva - Max: Groupies: 5kva | Cottage: 10kva | Family: 15kva | Comm Shed: 5kva</t>
  </si>
  <si>
    <t>3B</t>
  </si>
  <si>
    <t>2B</t>
  </si>
  <si>
    <t>10 - IEC did not install. Brendan Kelly (panels are installed). // Found data for inverter since March 2024, Jennie-E47</t>
  </si>
  <si>
    <t>2B Min: 5kva - Max: Groupies: 5kva | Cottage: 8.2kva | Family: 12.5kva | Comm Shed: 5kva</t>
  </si>
  <si>
    <t>Common</t>
  </si>
  <si>
    <t>7.3 offline 18 hours</t>
  </si>
  <si>
    <t>Symo 10.0</t>
  </si>
  <si>
    <t>Fam ily</t>
  </si>
  <si>
    <t>Nicholas Mead</t>
  </si>
  <si>
    <t>Lot 21</t>
  </si>
  <si>
    <t>Family</t>
  </si>
  <si>
    <t>Nathan Stone</t>
  </si>
  <si>
    <t>Lot 20</t>
  </si>
  <si>
    <t>Symo 5.0</t>
  </si>
  <si>
    <t>Groupie</t>
  </si>
  <si>
    <t>Alex Jolly</t>
  </si>
  <si>
    <t>Lot 19</t>
  </si>
  <si>
    <t>Chloe Adam</t>
  </si>
  <si>
    <t>Lot 18</t>
  </si>
  <si>
    <t>Candice Papalia</t>
  </si>
  <si>
    <t>Lot 17</t>
  </si>
  <si>
    <t>Colin Dear</t>
  </si>
  <si>
    <t>Lot 16</t>
  </si>
  <si>
    <t>Jema McCabe</t>
  </si>
  <si>
    <t>Lot 15</t>
  </si>
  <si>
    <t>Craig Headford</t>
  </si>
  <si>
    <t>Lot 14</t>
  </si>
  <si>
    <t>Stephen Hall</t>
  </si>
  <si>
    <t>Lot 13</t>
  </si>
  <si>
    <t>Paul Wilkinson</t>
  </si>
  <si>
    <t>Lot 12</t>
  </si>
  <si>
    <t>Symo 6.0</t>
  </si>
  <si>
    <t>Hannah Flack</t>
  </si>
  <si>
    <t>Lot 11</t>
  </si>
  <si>
    <t>3.65 offline 18 mins</t>
  </si>
  <si>
    <t>Jennifer Widmer</t>
  </si>
  <si>
    <t>Lot 10</t>
  </si>
  <si>
    <t>Phillip Crockford</t>
  </si>
  <si>
    <t>Lot 9</t>
  </si>
  <si>
    <t>Hamish Jolly</t>
  </si>
  <si>
    <t>Lot 8</t>
  </si>
  <si>
    <t>Cottage</t>
  </si>
  <si>
    <t>Bridget Bolitho</t>
  </si>
  <si>
    <t>Lot 7</t>
  </si>
  <si>
    <t>Symo 8.2</t>
  </si>
  <si>
    <t>Toni Aslett</t>
  </si>
  <si>
    <t>Lot 6</t>
  </si>
  <si>
    <t>Michael Sorensen</t>
  </si>
  <si>
    <t>Lot 5</t>
  </si>
  <si>
    <t>3.65 offline an hour</t>
  </si>
  <si>
    <t>Jennie McCormack</t>
  </si>
  <si>
    <t>Lot 4</t>
  </si>
  <si>
    <t>Sue Hardy</t>
  </si>
  <si>
    <t>Lot 3</t>
  </si>
  <si>
    <t>Karen Majer</t>
  </si>
  <si>
    <t>Lot 2</t>
  </si>
  <si>
    <t>Susan Gibson</t>
  </si>
  <si>
    <t>Lot 1</t>
  </si>
  <si>
    <t>Proposed Limited Export %</t>
  </si>
  <si>
    <t>notes</t>
  </si>
  <si>
    <t>current</t>
  </si>
  <si>
    <t>Updated Limited Exp kWh 250128</t>
  </si>
  <si>
    <t>Updated Limited Exp kWh 241217</t>
  </si>
  <si>
    <t>Updated Limited Exp kWh 241213</t>
  </si>
  <si>
    <t>Calc %</t>
  </si>
  <si>
    <t>Current Limited Exp kWh</t>
  </si>
  <si>
    <t>Max Export Capacity (kW)</t>
  </si>
  <si>
    <t>Inverter Model Installed</t>
  </si>
  <si>
    <t>Battery Allocation (kWh)</t>
  </si>
  <si>
    <t>Block Type</t>
  </si>
  <si>
    <t>System Owner</t>
  </si>
  <si>
    <t>Limit %:</t>
  </si>
  <si>
    <t>1A Min: 5kva - Max: Groupies: 5kva | Cottage: 8.2kva | Family: 10kva | Comm Shed: 5kva</t>
  </si>
  <si>
    <t>1A</t>
  </si>
  <si>
    <t>9 IEC did not install solar </t>
  </si>
  <si>
    <t>1C Min: 5kva - Max: Groupies: 5kva | Cottage: 10kva | Family: 15kva | Comm Shed: 5kva</t>
  </si>
  <si>
    <t>1C</t>
  </si>
  <si>
    <t>3 - Brendan Kelly Inst</t>
  </si>
  <si>
    <t>4 - Brendan Kelly Inst</t>
  </si>
  <si>
    <t>5 - Offline 19/09/24</t>
  </si>
  <si>
    <t>7 - Dex E (Waiting on Tate/Not Running/No Droplet Yet)</t>
  </si>
  <si>
    <t>18 - (Waiting on PQA/Not Running/Export Limit has been updated to 8.86kW on 14/01/2025)</t>
  </si>
  <si>
    <t>2A Min: 5kva - Max: Groupies: 5kva | Cottage: 8.2kva | Family: 12.5kva | Comm Shed: 5kva</t>
  </si>
  <si>
    <t>2A</t>
  </si>
  <si>
    <t>6 - IEC did NOT install</t>
  </si>
  <si>
    <t>9 - IEC did not install solar or droplet. </t>
  </si>
  <si>
    <t>Updated Limited Exp kWh 250201</t>
  </si>
  <si>
    <t>proposed %</t>
  </si>
  <si>
    <t>actual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</si>
</sst>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1F1F1F"/>
      <name val="Google Sans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1" fillId="0" borderId="0" xfId="0" applyNumberFormat="1" applyFont="1"/>
    <xf numFmtId="0" fontId="3" fillId="0" borderId="0" xfId="0" applyFont="1"/>
    <xf numFmtId="164" fontId="0" fillId="2" borderId="0" xfId="0" applyNumberFormat="1" applyFill="1"/>
    <xf numFmtId="164" fontId="0" fillId="0" borderId="0" xfId="0" applyNumberFormat="1"/>
    <xf numFmtId="164" fontId="0" fillId="3" borderId="0" xfId="0" applyNumberFormat="1" applyFill="1"/>
    <xf numFmtId="9" fontId="0" fillId="4" borderId="0" xfId="1" applyFont="1" applyFill="1"/>
    <xf numFmtId="2" fontId="0" fillId="5" borderId="0" xfId="0" applyNumberFormat="1" applyFill="1"/>
    <xf numFmtId="2" fontId="0" fillId="0" borderId="0" xfId="0" applyNumberFormat="1"/>
    <xf numFmtId="2" fontId="0" fillId="4" borderId="0" xfId="0" applyNumberFormat="1" applyFill="1"/>
    <xf numFmtId="9" fontId="0" fillId="3" borderId="0" xfId="1" applyFont="1" applyFill="1"/>
    <xf numFmtId="164" fontId="0" fillId="5" borderId="0" xfId="0" applyNumberFormat="1" applyFill="1"/>
    <xf numFmtId="0" fontId="0" fillId="5" borderId="0" xfId="0" applyFill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9" fontId="0" fillId="0" borderId="0" xfId="1" applyFont="1"/>
    <xf numFmtId="165" fontId="6" fillId="4" borderId="0" xfId="1" applyNumberFormat="1" applyFont="1" applyFill="1"/>
    <xf numFmtId="0" fontId="6" fillId="4" borderId="0" xfId="0" applyFont="1" applyFill="1" applyAlignment="1">
      <alignment horizontal="right"/>
    </xf>
    <xf numFmtId="0" fontId="9" fillId="0" borderId="0" xfId="0" applyFont="1"/>
    <xf numFmtId="0" fontId="1" fillId="5" borderId="0" xfId="0" applyFont="1" applyFill="1"/>
    <xf numFmtId="165" fontId="0" fillId="0" borderId="0" xfId="1" applyNumberFormat="1" applyFont="1"/>
    <xf numFmtId="9" fontId="0" fillId="0" borderId="0" xfId="0" applyNumberFormat="1"/>
    <xf numFmtId="0" fontId="1" fillId="6" borderId="0" xfId="0" applyFont="1" applyFill="1"/>
    <xf numFmtId="0" fontId="2" fillId="6" borderId="0" xfId="0" applyFont="1" applyFill="1"/>
    <xf numFmtId="0" fontId="0" fillId="6" borderId="0" xfId="0" applyFill="1"/>
    <xf numFmtId="165" fontId="0" fillId="6" borderId="0" xfId="1" applyNumberFormat="1" applyFont="1" applyFill="1"/>
  </cellXfs>
  <cellStyles count="2">
    <cellStyle name="Normal" xfId="0" builtinId="0"/>
    <cellStyle name="Per cent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"/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2" formatCode="0.00"/>
    </dxf>
    <dxf>
      <numFmt numFmtId="164" formatCode="0.0"/>
      <fill>
        <patternFill patternType="solid">
          <fgColor indexed="64"/>
          <bgColor theme="0"/>
        </patternFill>
      </fill>
    </dxf>
    <dxf>
      <numFmt numFmtId="2" formatCode="0.00"/>
    </dxf>
    <dxf>
      <numFmt numFmtId="164" formatCode="0.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rgb="FFFFC00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</dxf>
    <dxf>
      <numFmt numFmtId="164" formatCode="0.0"/>
      <fill>
        <patternFill>
          <fgColor indexed="64"/>
          <bgColor theme="0" tint="-0.14999847407452621"/>
        </patternFill>
      </fill>
    </dxf>
    <dxf>
      <numFmt numFmtId="164" formatCode="0.0"/>
    </dxf>
    <dxf>
      <numFmt numFmtId="164" formatCode="0.0"/>
      <fill>
        <patternFill>
          <fgColor indexed="64"/>
          <bgColor theme="0" tint="-0.14999847407452621"/>
        </patternFill>
      </fill>
    </dxf>
    <dxf>
      <numFmt numFmtId="164" formatCode="0.0"/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ED256-4FC5-E241-83C4-C728A97C05E9}" name="Table1" displayName="Table1" ref="A5:O28" totalsRowCount="1" headerRowDxfId="18">
  <autoFilter ref="A5:O27" xr:uid="{146009B5-8DAC-3D4B-B895-3D00662F26BE}"/>
  <tableColumns count="15">
    <tableColumn id="1" xr3:uid="{099DE3F5-1C3D-5442-92EB-D9ECC856F977}" name="Lot"/>
    <tableColumn id="2" xr3:uid="{3FC83CC7-68E9-D544-926C-34823F355AE6}" name="System Owner"/>
    <tableColumn id="3" xr3:uid="{27EBFCB5-9E3C-6443-AF27-CD26DE644727}" name="Block Type"/>
    <tableColumn id="4" xr3:uid="{4437E69A-68A9-9E48-8EE7-42CFA5CE430D}" name="Battery Allocation (kWh)" totalsRowFunction="sum"/>
    <tableColumn id="5" xr3:uid="{E3CEBE28-ED55-2C44-B3A8-CB5658B548D1}" name="Inverter Model Installed"/>
    <tableColumn id="6" xr3:uid="{5CEBE309-1290-0A4D-88EF-FB741545519B}" name="Max Export Capacity (kW)" totalsRowFunction="custom" dataDxfId="17" totalsRowDxfId="16">
      <totalsRowFormula>SUM(Table1[Max Export Capacity (kW)])</totalsRowFormula>
    </tableColumn>
    <tableColumn id="10" xr3:uid="{02222121-21E3-5942-B639-C1D782E58165}" name="Current Limited Exp kWh" totalsRowFunction="sum" dataDxfId="15" totalsRowDxfId="14"/>
    <tableColumn id="11" xr3:uid="{27104484-7CA5-504D-BC4B-1C230B3D7B84}" name="Calc %" dataDxfId="13" totalsRowDxfId="12">
      <calculatedColumnFormula>Table1[[#This Row],[Current Limited Exp kWh]]/Table1[[#This Row],[Max Export Capacity (kW)]]</calculatedColumnFormula>
    </tableColumn>
    <tableColumn id="7" xr3:uid="{906340D8-D30D-EC4B-A72B-0F9E79B8E5C3}" name="Updated Limited Exp kWh 241213" totalsRowFunction="custom" totalsRowDxfId="11">
      <calculatedColumnFormula>Table1[[#This Row],[Max Export Capacity (kW)]]*Limit_Percentage</calculatedColumnFormula>
      <totalsRowFormula>SUM(Table1[Updated Limited Exp kWh 241213])</totalsRowFormula>
    </tableColumn>
    <tableColumn id="9" xr3:uid="{6EDCB100-6C63-EC42-9E0D-271C376DBE4A}" name="Updated Limited Exp kWh 241217" totalsRowFunction="custom" dataDxfId="10" totalsRowDxfId="9">
      <calculatedColumnFormula>Table1[[#This Row],[Max Export Capacity (kW)]]*$O$3</calculatedColumnFormula>
      <totalsRowFormula>SUM(Table1[Updated Limited Exp kWh 241217])</totalsRowFormula>
    </tableColumn>
    <tableColumn id="15" xr3:uid="{F7C1E794-6718-F145-994B-4324F27C00F4}" name="Updated Limited Exp kWh 250128" totalsRowFunction="custom" dataDxfId="8" totalsRowDxfId="7">
      <totalsRowFormula>SUM(Table1[Updated Limited Exp kWh 250128])</totalsRowFormula>
    </tableColumn>
    <tableColumn id="12" xr3:uid="{7843EBB6-BC74-0647-86B2-7E7F85EBF59E}" name="Updated Limited Exp kWh 250201" totalsRowFunction="custom" dataDxfId="6" totalsRowDxfId="5">
      <calculatedColumnFormula>ROUND(Table1[[#This Row],[Max Export Capacity (kW)]]*$P$3,1)</calculatedColumnFormula>
      <totalsRowFormula>SUM(Table1[Updated Limited Exp kWh 250201])</totalsRowFormula>
    </tableColumn>
    <tableColumn id="13" xr3:uid="{FC301EBB-D532-BC48-9313-A56B60DA1B07}" name="current" totalsRowFunction="custom" totalsRowDxfId="4">
      <totalsRowFormula>SUM(Table1[current])</totalsRowFormula>
    </tableColumn>
    <tableColumn id="14" xr3:uid="{5012371D-7F23-7B4D-80EA-6C70BF89A431}" name="notes" totalsRowDxfId="3"/>
    <tableColumn id="8" xr3:uid="{5E9C22F2-121F-2D49-8C9D-EBD6D104AFCB}" name="Proposed Limited Export %" dataDxfId="2">
      <calculatedColumnFormula>Table1[[#This Row],[Updated Limited Exp kWh 241213]]/Table1[[#This Row],[Max Export Capacity (kW)]]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EDAC-6DB1-BC4D-B7AA-D208A9729FED}">
  <dimension ref="A1:O72"/>
  <sheetViews>
    <sheetView tabSelected="1" workbookViewId="0">
      <selection activeCell="H25" sqref="H25"/>
    </sheetView>
  </sheetViews>
  <sheetFormatPr baseColWidth="10" defaultRowHeight="16"/>
  <cols>
    <col min="5" max="5" width="17.1640625" bestFit="1" customWidth="1"/>
    <col min="6" max="6" width="17.83203125" customWidth="1"/>
  </cols>
  <sheetData>
    <row r="1" spans="1:15">
      <c r="A1" s="1"/>
      <c r="B1" s="1" t="s">
        <v>5</v>
      </c>
      <c r="C1" s="1" t="s">
        <v>6</v>
      </c>
      <c r="D1" s="1" t="s">
        <v>7</v>
      </c>
      <c r="E1" s="23" t="s">
        <v>8</v>
      </c>
      <c r="F1" s="23" t="s">
        <v>9</v>
      </c>
      <c r="G1" s="5" t="s">
        <v>10</v>
      </c>
      <c r="H1" s="5" t="s">
        <v>11</v>
      </c>
      <c r="I1" s="5" t="s">
        <v>12</v>
      </c>
      <c r="J1" s="1" t="s">
        <v>13</v>
      </c>
      <c r="K1" s="1" t="s">
        <v>14</v>
      </c>
      <c r="L1" s="5" t="s">
        <v>15</v>
      </c>
      <c r="M1" s="1" t="s">
        <v>16</v>
      </c>
    </row>
    <row r="2" spans="1:15" s="28" customFormat="1">
      <c r="A2" s="26"/>
      <c r="B2" s="27"/>
      <c r="C2" s="26" t="s">
        <v>90</v>
      </c>
      <c r="D2" s="26">
        <v>23.2</v>
      </c>
      <c r="E2" s="26">
        <f>SUM(E3:E26)</f>
        <v>101.4</v>
      </c>
      <c r="F2" s="26">
        <f>SUM(F3:F26)</f>
        <v>93.999999999999986</v>
      </c>
      <c r="G2" s="26">
        <v>120.92</v>
      </c>
      <c r="H2" s="27"/>
      <c r="I2" s="27"/>
      <c r="J2" s="27"/>
      <c r="K2" s="27"/>
      <c r="L2" s="26">
        <v>16</v>
      </c>
      <c r="M2" s="26">
        <v>76.400000000000006</v>
      </c>
      <c r="O2" s="29">
        <v>0.92</v>
      </c>
    </row>
    <row r="3" spans="1:15">
      <c r="A3" s="2"/>
      <c r="B3" s="1" t="s">
        <v>91</v>
      </c>
      <c r="C3" s="1">
        <v>1</v>
      </c>
      <c r="D3" s="2"/>
      <c r="E3" s="2"/>
      <c r="F3" s="1">
        <f t="shared" ref="F3" si="0">ROUND(E3*$O$2,1)</f>
        <v>0</v>
      </c>
      <c r="G3" s="2"/>
      <c r="H3" s="2"/>
      <c r="I3" s="2"/>
      <c r="J3" s="2"/>
      <c r="K3" s="2"/>
      <c r="L3" s="2"/>
      <c r="M3" s="2"/>
      <c r="O3" s="24">
        <f>IFERROR(F4/E4,0)</f>
        <v>1</v>
      </c>
    </row>
    <row r="4" spans="1:15">
      <c r="A4" s="2"/>
      <c r="B4" s="1" t="s">
        <v>91</v>
      </c>
      <c r="C4" s="1">
        <v>2</v>
      </c>
      <c r="D4" s="1">
        <v>5</v>
      </c>
      <c r="E4" s="1">
        <v>5</v>
      </c>
      <c r="F4" s="23">
        <v>5</v>
      </c>
      <c r="G4" s="1">
        <v>6.6</v>
      </c>
      <c r="H4" s="2"/>
      <c r="I4" s="4">
        <v>45677</v>
      </c>
      <c r="J4" s="4">
        <v>44992</v>
      </c>
      <c r="K4" s="2"/>
      <c r="L4" s="2"/>
      <c r="M4" s="2"/>
      <c r="O4" s="24">
        <f t="shared" ref="O4:O25" si="1">IFERROR(F5/E5,0)</f>
        <v>0</v>
      </c>
    </row>
    <row r="5" spans="1:15">
      <c r="A5" s="1"/>
      <c r="B5" s="1" t="s">
        <v>91</v>
      </c>
      <c r="C5" s="1">
        <v>3</v>
      </c>
      <c r="D5" s="2"/>
      <c r="E5" s="2"/>
      <c r="F5" s="1">
        <f>ROUND(E5*$O$2,1)</f>
        <v>0</v>
      </c>
      <c r="G5" s="2"/>
      <c r="H5" s="2"/>
      <c r="I5" s="2"/>
      <c r="J5" s="4">
        <v>44372</v>
      </c>
      <c r="K5" s="4">
        <v>45566</v>
      </c>
      <c r="L5" s="1">
        <v>1</v>
      </c>
      <c r="M5" s="2"/>
      <c r="O5" s="24">
        <f t="shared" si="1"/>
        <v>0.91999999999999993</v>
      </c>
    </row>
    <row r="6" spans="1:15">
      <c r="A6" s="2"/>
      <c r="B6" s="1" t="s">
        <v>91</v>
      </c>
      <c r="C6" s="1">
        <v>4</v>
      </c>
      <c r="D6" s="2"/>
      <c r="E6" s="1">
        <v>5</v>
      </c>
      <c r="F6" s="1">
        <f t="shared" ref="F6:F26" si="2">ROUND(E6*$O$2,1)</f>
        <v>4.5999999999999996</v>
      </c>
      <c r="G6" s="1">
        <v>6.64</v>
      </c>
      <c r="H6" s="2"/>
      <c r="I6" s="4">
        <v>45218</v>
      </c>
      <c r="J6" s="4">
        <v>44570</v>
      </c>
      <c r="K6" s="4">
        <v>45230</v>
      </c>
      <c r="L6" s="1">
        <v>1</v>
      </c>
      <c r="M6" s="1">
        <v>5</v>
      </c>
      <c r="O6" s="24">
        <f t="shared" si="1"/>
        <v>0.91999999999999993</v>
      </c>
    </row>
    <row r="7" spans="1:15">
      <c r="A7" s="2"/>
      <c r="B7" s="1" t="s">
        <v>91</v>
      </c>
      <c r="C7" s="1">
        <v>5</v>
      </c>
      <c r="D7" s="2"/>
      <c r="E7" s="1">
        <v>5</v>
      </c>
      <c r="F7" s="1">
        <f t="shared" si="2"/>
        <v>4.5999999999999996</v>
      </c>
      <c r="G7" s="1">
        <v>6.4</v>
      </c>
      <c r="H7" s="2"/>
      <c r="I7" s="4">
        <v>44909</v>
      </c>
      <c r="J7" s="4">
        <v>44365</v>
      </c>
      <c r="K7" s="4">
        <v>45210</v>
      </c>
      <c r="L7" s="1">
        <v>1</v>
      </c>
      <c r="M7" s="1">
        <v>5</v>
      </c>
      <c r="O7" s="24">
        <f t="shared" si="1"/>
        <v>0.91463414634146345</v>
      </c>
    </row>
    <row r="8" spans="1:15">
      <c r="A8" s="2"/>
      <c r="B8" s="1" t="s">
        <v>91</v>
      </c>
      <c r="C8" s="1">
        <v>6</v>
      </c>
      <c r="D8" s="2"/>
      <c r="E8" s="1">
        <v>8.1999999999999993</v>
      </c>
      <c r="F8" s="1">
        <f t="shared" si="2"/>
        <v>7.5</v>
      </c>
      <c r="G8" s="1">
        <v>10.88</v>
      </c>
      <c r="H8" s="2"/>
      <c r="I8" s="4">
        <v>44904</v>
      </c>
      <c r="J8" s="4">
        <v>44364</v>
      </c>
      <c r="K8" s="4">
        <v>45212</v>
      </c>
      <c r="L8" s="1">
        <v>1</v>
      </c>
      <c r="M8" s="1">
        <v>8.1999999999999993</v>
      </c>
      <c r="O8" s="24">
        <f t="shared" si="1"/>
        <v>0</v>
      </c>
    </row>
    <row r="9" spans="1:15">
      <c r="A9" s="1"/>
      <c r="B9" s="1" t="s">
        <v>91</v>
      </c>
      <c r="C9" s="1">
        <v>7</v>
      </c>
      <c r="D9" s="2"/>
      <c r="E9" s="2"/>
      <c r="F9" s="1">
        <f t="shared" si="2"/>
        <v>0</v>
      </c>
      <c r="G9" s="2"/>
      <c r="H9" s="2"/>
      <c r="I9" s="2"/>
      <c r="J9" s="4">
        <v>44364</v>
      </c>
      <c r="K9" s="2"/>
      <c r="L9" s="2"/>
      <c r="M9" s="2"/>
      <c r="O9" s="24">
        <f t="shared" si="1"/>
        <v>0.91999999999999993</v>
      </c>
    </row>
    <row r="10" spans="1:15">
      <c r="A10" s="2"/>
      <c r="B10" s="1" t="s">
        <v>91</v>
      </c>
      <c r="C10" s="1">
        <v>8</v>
      </c>
      <c r="D10" s="2"/>
      <c r="E10" s="1">
        <v>5</v>
      </c>
      <c r="F10" s="1">
        <f t="shared" si="2"/>
        <v>4.5999999999999996</v>
      </c>
      <c r="G10" s="1">
        <v>6.6</v>
      </c>
      <c r="H10" s="2"/>
      <c r="I10" s="4">
        <v>45567</v>
      </c>
      <c r="J10" s="4">
        <v>45260</v>
      </c>
      <c r="K10" s="4">
        <v>45568</v>
      </c>
      <c r="L10" s="1">
        <v>1</v>
      </c>
      <c r="M10" s="2"/>
      <c r="O10" s="24">
        <f t="shared" si="1"/>
        <v>0</v>
      </c>
    </row>
    <row r="11" spans="1:15">
      <c r="A11" s="2"/>
      <c r="B11" s="1" t="s">
        <v>91</v>
      </c>
      <c r="C11" s="1" t="s">
        <v>92</v>
      </c>
      <c r="D11" s="2"/>
      <c r="E11" s="2"/>
      <c r="F11" s="1">
        <f t="shared" si="2"/>
        <v>0</v>
      </c>
      <c r="G11" s="2"/>
      <c r="H11" s="2"/>
      <c r="I11" s="2"/>
      <c r="J11" s="4">
        <v>44354</v>
      </c>
      <c r="K11" s="2"/>
      <c r="L11" s="2"/>
      <c r="M11" s="2"/>
      <c r="O11" s="24">
        <f t="shared" si="1"/>
        <v>0.91999999999999993</v>
      </c>
    </row>
    <row r="12" spans="1:15">
      <c r="A12" s="2"/>
      <c r="B12" s="1" t="s">
        <v>91</v>
      </c>
      <c r="C12" s="1">
        <v>10</v>
      </c>
      <c r="D12" s="2"/>
      <c r="E12" s="1">
        <v>5</v>
      </c>
      <c r="F12" s="1">
        <f t="shared" si="2"/>
        <v>4.5999999999999996</v>
      </c>
      <c r="G12" s="1">
        <v>6.4</v>
      </c>
      <c r="H12" s="2"/>
      <c r="I12" s="4">
        <v>44802</v>
      </c>
      <c r="J12" s="4">
        <v>44641</v>
      </c>
      <c r="K12" s="4">
        <v>45339</v>
      </c>
      <c r="L12" s="1">
        <v>1</v>
      </c>
      <c r="M12" s="1">
        <v>5</v>
      </c>
      <c r="O12" s="24">
        <f t="shared" si="1"/>
        <v>1</v>
      </c>
    </row>
    <row r="13" spans="1:15">
      <c r="A13" s="1"/>
      <c r="B13" s="1" t="s">
        <v>91</v>
      </c>
      <c r="C13" s="1">
        <v>11</v>
      </c>
      <c r="D13" s="2"/>
      <c r="E13" s="1">
        <v>5</v>
      </c>
      <c r="F13" s="23">
        <v>5</v>
      </c>
      <c r="G13" s="1">
        <v>6.4</v>
      </c>
      <c r="H13" s="2"/>
      <c r="I13" s="4">
        <v>44803</v>
      </c>
      <c r="J13" s="4">
        <v>44356</v>
      </c>
      <c r="K13" s="4">
        <v>45260</v>
      </c>
      <c r="L13" s="1">
        <v>1</v>
      </c>
      <c r="M13" s="1">
        <v>5</v>
      </c>
      <c r="O13" s="24">
        <f t="shared" si="1"/>
        <v>0</v>
      </c>
    </row>
    <row r="14" spans="1:15">
      <c r="A14" s="2"/>
      <c r="B14" s="1" t="s">
        <v>91</v>
      </c>
      <c r="C14" s="1">
        <v>12</v>
      </c>
      <c r="D14" s="1">
        <v>8.1999999999999993</v>
      </c>
      <c r="E14" s="2"/>
      <c r="F14" s="1">
        <f t="shared" si="2"/>
        <v>0</v>
      </c>
      <c r="G14" s="2"/>
      <c r="H14" s="2"/>
      <c r="I14" s="2"/>
      <c r="J14" s="4">
        <v>45555</v>
      </c>
      <c r="K14" s="2"/>
      <c r="L14" s="2"/>
      <c r="M14" s="2"/>
      <c r="O14" s="24">
        <f t="shared" si="1"/>
        <v>0.91999999999999993</v>
      </c>
    </row>
    <row r="15" spans="1:15">
      <c r="A15" s="2"/>
      <c r="B15" s="1" t="s">
        <v>91</v>
      </c>
      <c r="C15" s="1">
        <v>13</v>
      </c>
      <c r="D15" s="2"/>
      <c r="E15" s="1">
        <v>10</v>
      </c>
      <c r="F15" s="1">
        <f t="shared" si="2"/>
        <v>9.1999999999999993</v>
      </c>
      <c r="G15" s="1">
        <v>12.8</v>
      </c>
      <c r="H15" s="2"/>
      <c r="I15" s="4">
        <v>44796</v>
      </c>
      <c r="J15" s="4">
        <v>44622</v>
      </c>
      <c r="K15" s="4">
        <v>45057</v>
      </c>
      <c r="L15" s="1">
        <v>1</v>
      </c>
      <c r="M15" s="1">
        <v>10</v>
      </c>
      <c r="O15" s="24">
        <f t="shared" si="1"/>
        <v>0.91999999999999993</v>
      </c>
    </row>
    <row r="16" spans="1:15">
      <c r="A16" s="2"/>
      <c r="B16" s="1" t="s">
        <v>91</v>
      </c>
      <c r="C16" s="1">
        <v>14</v>
      </c>
      <c r="D16" s="2"/>
      <c r="E16" s="1">
        <v>10</v>
      </c>
      <c r="F16" s="1">
        <f t="shared" si="2"/>
        <v>9.1999999999999993</v>
      </c>
      <c r="G16" s="1">
        <v>13.2</v>
      </c>
      <c r="H16" s="2"/>
      <c r="I16" s="4">
        <v>45594</v>
      </c>
      <c r="J16" s="4">
        <v>45341</v>
      </c>
      <c r="K16" s="4">
        <v>45674</v>
      </c>
      <c r="L16" s="1">
        <v>1</v>
      </c>
      <c r="M16" s="2"/>
      <c r="O16" s="24">
        <f t="shared" si="1"/>
        <v>0</v>
      </c>
    </row>
    <row r="17" spans="1:15">
      <c r="A17" s="1"/>
      <c r="B17" s="1" t="s">
        <v>91</v>
      </c>
      <c r="C17" s="1">
        <v>15</v>
      </c>
      <c r="D17" s="1">
        <v>10</v>
      </c>
      <c r="E17" s="2"/>
      <c r="F17" s="1">
        <f t="shared" si="2"/>
        <v>0</v>
      </c>
      <c r="G17" s="2"/>
      <c r="H17" s="2"/>
      <c r="I17" s="2"/>
      <c r="J17" s="4">
        <v>44372</v>
      </c>
      <c r="K17" s="2"/>
      <c r="L17" s="2"/>
      <c r="M17" s="2"/>
      <c r="O17" s="24">
        <f t="shared" si="1"/>
        <v>0.91999999999999993</v>
      </c>
    </row>
    <row r="18" spans="1:15">
      <c r="A18" s="2"/>
      <c r="B18" s="1" t="s">
        <v>91</v>
      </c>
      <c r="C18" s="1">
        <v>16</v>
      </c>
      <c r="D18" s="2"/>
      <c r="E18" s="1">
        <v>5</v>
      </c>
      <c r="F18" s="1">
        <f t="shared" si="2"/>
        <v>4.5999999999999996</v>
      </c>
      <c r="G18" s="1">
        <v>6.6</v>
      </c>
      <c r="H18" s="2"/>
      <c r="I18" s="4">
        <v>45316</v>
      </c>
      <c r="J18" s="4">
        <v>44928</v>
      </c>
      <c r="K18" s="4">
        <v>45329</v>
      </c>
      <c r="L18" s="1">
        <v>1</v>
      </c>
      <c r="M18" s="2"/>
      <c r="O18" s="24">
        <f t="shared" si="1"/>
        <v>0.91463414634146345</v>
      </c>
    </row>
    <row r="19" spans="1:15">
      <c r="A19" s="2"/>
      <c r="B19" s="1" t="s">
        <v>91</v>
      </c>
      <c r="C19" s="1">
        <v>17</v>
      </c>
      <c r="D19" s="2"/>
      <c r="E19" s="1">
        <v>8.1999999999999993</v>
      </c>
      <c r="F19" s="1">
        <f t="shared" si="2"/>
        <v>7.5</v>
      </c>
      <c r="G19" s="2"/>
      <c r="H19" s="2"/>
      <c r="I19" s="4">
        <v>45216</v>
      </c>
      <c r="J19" s="4">
        <v>44641</v>
      </c>
      <c r="K19" s="4">
        <v>45224</v>
      </c>
      <c r="L19" s="1">
        <v>1</v>
      </c>
      <c r="M19" s="1">
        <v>8.1999999999999993</v>
      </c>
      <c r="O19" s="24">
        <f t="shared" si="1"/>
        <v>0</v>
      </c>
    </row>
    <row r="20" spans="1:15">
      <c r="A20" s="2"/>
      <c r="B20" s="1" t="s">
        <v>91</v>
      </c>
      <c r="C20" s="1">
        <v>18</v>
      </c>
      <c r="D20" s="2"/>
      <c r="E20" s="2"/>
      <c r="F20" s="1">
        <f t="shared" si="2"/>
        <v>0</v>
      </c>
      <c r="G20" s="2"/>
      <c r="H20" s="2"/>
      <c r="I20" s="2"/>
      <c r="J20" s="2"/>
      <c r="K20" s="2"/>
      <c r="L20" s="2"/>
      <c r="M20" s="2"/>
      <c r="O20" s="24">
        <f t="shared" si="1"/>
        <v>0.91999999999999993</v>
      </c>
    </row>
    <row r="21" spans="1:15">
      <c r="A21" s="1"/>
      <c r="B21" s="1" t="s">
        <v>91</v>
      </c>
      <c r="C21" s="1">
        <v>19</v>
      </c>
      <c r="D21" s="2"/>
      <c r="E21" s="1">
        <v>10</v>
      </c>
      <c r="F21" s="1">
        <f t="shared" si="2"/>
        <v>9.1999999999999993</v>
      </c>
      <c r="G21" s="1">
        <v>12.8</v>
      </c>
      <c r="H21" s="2"/>
      <c r="I21" s="4">
        <v>44805</v>
      </c>
      <c r="J21" s="4">
        <v>44468</v>
      </c>
      <c r="K21" s="4">
        <v>45056</v>
      </c>
      <c r="L21" s="1">
        <v>1</v>
      </c>
      <c r="M21" s="1">
        <v>10</v>
      </c>
      <c r="O21" s="24">
        <f t="shared" si="1"/>
        <v>0.91999999999999993</v>
      </c>
    </row>
    <row r="22" spans="1:15">
      <c r="A22" s="2"/>
      <c r="B22" s="1" t="s">
        <v>91</v>
      </c>
      <c r="C22" s="1">
        <v>20</v>
      </c>
      <c r="D22" s="2"/>
      <c r="E22" s="1">
        <v>5</v>
      </c>
      <c r="F22" s="1">
        <f t="shared" si="2"/>
        <v>4.5999999999999996</v>
      </c>
      <c r="G22" s="1">
        <v>6.4</v>
      </c>
      <c r="H22" s="2"/>
      <c r="I22" s="4">
        <v>44904</v>
      </c>
      <c r="J22" s="4">
        <v>44414</v>
      </c>
      <c r="K22" s="4">
        <v>45118</v>
      </c>
      <c r="L22" s="1">
        <v>1</v>
      </c>
      <c r="M22" s="1">
        <v>5</v>
      </c>
      <c r="O22" s="24">
        <f t="shared" si="1"/>
        <v>0.91999999999999993</v>
      </c>
    </row>
    <row r="23" spans="1:15">
      <c r="A23" s="2"/>
      <c r="B23" s="1" t="s">
        <v>91</v>
      </c>
      <c r="C23" s="1">
        <v>21</v>
      </c>
      <c r="D23" s="2"/>
      <c r="E23" s="1">
        <v>5</v>
      </c>
      <c r="F23" s="1">
        <f t="shared" si="2"/>
        <v>4.5999999999999996</v>
      </c>
      <c r="G23" s="1">
        <v>6.4</v>
      </c>
      <c r="H23" s="2"/>
      <c r="I23" s="4">
        <v>44970</v>
      </c>
      <c r="J23" s="4">
        <v>44693</v>
      </c>
      <c r="K23" s="4">
        <v>45055</v>
      </c>
      <c r="L23" s="1">
        <v>1</v>
      </c>
      <c r="M23" s="1">
        <v>5</v>
      </c>
      <c r="O23" s="24">
        <f t="shared" si="1"/>
        <v>0.91999999999999993</v>
      </c>
    </row>
    <row r="24" spans="1:15">
      <c r="A24" s="2"/>
      <c r="B24" s="1" t="s">
        <v>91</v>
      </c>
      <c r="C24" s="1">
        <v>22</v>
      </c>
      <c r="D24" s="2"/>
      <c r="E24" s="1">
        <v>5</v>
      </c>
      <c r="F24" s="1">
        <f t="shared" si="2"/>
        <v>4.5999999999999996</v>
      </c>
      <c r="G24" s="1">
        <v>6.4</v>
      </c>
      <c r="H24" s="2"/>
      <c r="I24" s="4">
        <v>44903</v>
      </c>
      <c r="J24" s="4">
        <v>44330</v>
      </c>
      <c r="K24" s="4">
        <v>45055</v>
      </c>
      <c r="L24" s="1">
        <v>1</v>
      </c>
      <c r="M24" s="1">
        <v>5</v>
      </c>
      <c r="O24" s="24">
        <f t="shared" si="1"/>
        <v>0.91999999999999993</v>
      </c>
    </row>
    <row r="25" spans="1:15">
      <c r="A25" s="1"/>
      <c r="B25" s="1" t="s">
        <v>91</v>
      </c>
      <c r="C25" s="1">
        <v>23</v>
      </c>
      <c r="D25" s="2"/>
      <c r="E25" s="1">
        <v>5</v>
      </c>
      <c r="F25" s="1">
        <f t="shared" si="2"/>
        <v>4.5999999999999996</v>
      </c>
      <c r="G25" s="1">
        <v>6.4</v>
      </c>
      <c r="H25" s="2"/>
      <c r="I25" s="4">
        <v>44897</v>
      </c>
      <c r="J25" s="4">
        <v>44414</v>
      </c>
      <c r="K25" s="4">
        <v>45108</v>
      </c>
      <c r="L25" s="1">
        <v>1</v>
      </c>
      <c r="M25" s="1">
        <v>5</v>
      </c>
      <c r="O25" s="24">
        <f t="shared" si="1"/>
        <v>0</v>
      </c>
    </row>
    <row r="26" spans="1:15">
      <c r="A26" s="2"/>
      <c r="B26" s="1" t="s">
        <v>91</v>
      </c>
      <c r="C26" s="1">
        <v>24</v>
      </c>
      <c r="D26" s="2"/>
      <c r="E26" s="2"/>
      <c r="F26" s="1">
        <f t="shared" si="2"/>
        <v>0</v>
      </c>
      <c r="G26" s="2"/>
      <c r="H26" s="2"/>
      <c r="I26" s="2"/>
      <c r="J26" s="4">
        <v>45499</v>
      </c>
      <c r="K26" s="2"/>
      <c r="L26" s="2"/>
      <c r="M26" s="2"/>
    </row>
    <row r="27" spans="1:15">
      <c r="A27" s="1"/>
      <c r="B27" s="2"/>
      <c r="C27" s="1"/>
      <c r="D27" s="1"/>
      <c r="E27" s="1"/>
      <c r="F27" s="1"/>
      <c r="G27" s="1"/>
      <c r="H27" s="2"/>
      <c r="I27" s="2"/>
      <c r="J27" s="2"/>
      <c r="K27" s="2"/>
      <c r="L27" s="1"/>
      <c r="M27" s="1"/>
    </row>
    <row r="28" spans="1:15">
      <c r="A28" s="2"/>
      <c r="B28" s="1"/>
      <c r="C28" s="1"/>
      <c r="D28" s="2"/>
      <c r="E28" s="1"/>
      <c r="H28" s="2"/>
      <c r="I28" s="4"/>
      <c r="J28" s="4"/>
      <c r="K28" s="4"/>
      <c r="L28" s="1"/>
      <c r="M28" s="1"/>
    </row>
    <row r="29" spans="1:15">
      <c r="A29" s="2"/>
      <c r="B29" s="1"/>
      <c r="C29" s="1"/>
      <c r="D29" s="2"/>
      <c r="E29" s="1"/>
      <c r="F29" s="1"/>
      <c r="G29" s="1"/>
      <c r="H29" s="2"/>
      <c r="I29" s="4"/>
      <c r="J29" s="4"/>
      <c r="K29" s="4"/>
      <c r="L29" s="1"/>
      <c r="M29" s="1"/>
    </row>
    <row r="30" spans="1:15">
      <c r="A30" s="2"/>
      <c r="B30" s="1"/>
      <c r="C30" s="22"/>
      <c r="D30" s="2"/>
      <c r="E30" s="1"/>
      <c r="F30" s="1"/>
      <c r="G30" s="1"/>
      <c r="H30" s="2"/>
      <c r="I30" s="2"/>
      <c r="J30" s="4"/>
      <c r="K30" s="4"/>
      <c r="L30" s="1"/>
      <c r="M30" s="1"/>
    </row>
    <row r="31" spans="1:15">
      <c r="A31" s="1"/>
      <c r="B31" s="1"/>
      <c r="C31" s="22"/>
      <c r="D31" s="2"/>
      <c r="E31" s="1"/>
      <c r="F31" s="1"/>
      <c r="G31" s="1"/>
      <c r="H31" s="2"/>
      <c r="I31" s="2"/>
      <c r="J31" s="4"/>
      <c r="K31" s="4"/>
      <c r="L31" s="1"/>
      <c r="M31" s="1"/>
    </row>
    <row r="32" spans="1:15">
      <c r="A32" s="2"/>
      <c r="B32" s="1"/>
      <c r="C32" s="1"/>
      <c r="D32" s="2"/>
      <c r="E32" s="1"/>
      <c r="F32" s="1"/>
      <c r="G32" s="1"/>
      <c r="H32" s="2"/>
      <c r="I32" s="4"/>
      <c r="J32" s="4"/>
      <c r="K32" s="4"/>
      <c r="L32" s="1"/>
      <c r="M32" s="1"/>
    </row>
    <row r="33" spans="1:13">
      <c r="A33" s="2"/>
      <c r="B33" s="1"/>
      <c r="C33" s="1"/>
      <c r="D33" s="2"/>
      <c r="E33" s="1"/>
      <c r="F33" s="1"/>
      <c r="G33" s="1"/>
      <c r="H33" s="2"/>
      <c r="I33" s="4"/>
      <c r="J33" s="4"/>
      <c r="K33" s="4"/>
      <c r="L33" s="1"/>
      <c r="M33" s="1"/>
    </row>
    <row r="34" spans="1:13">
      <c r="A34" s="2"/>
      <c r="B34" s="1"/>
      <c r="C34" s="1"/>
      <c r="D34" s="2"/>
      <c r="E34" s="1"/>
      <c r="F34" s="2"/>
      <c r="G34" s="1"/>
      <c r="H34" s="2"/>
      <c r="I34" s="4"/>
      <c r="J34" s="4"/>
      <c r="K34" s="2"/>
      <c r="L34" s="2"/>
      <c r="M34" s="1"/>
    </row>
    <row r="35" spans="1:13">
      <c r="A35" s="1"/>
      <c r="B35" s="1"/>
      <c r="C35" s="1"/>
      <c r="D35" s="2"/>
      <c r="E35" s="1"/>
      <c r="F35" s="1"/>
      <c r="G35" s="1"/>
      <c r="H35" s="2"/>
      <c r="I35" s="4"/>
      <c r="J35" s="4"/>
      <c r="K35" s="4"/>
      <c r="L35" s="1"/>
      <c r="M35" s="1"/>
    </row>
    <row r="36" spans="1:13">
      <c r="A36" s="2"/>
      <c r="B36" s="1"/>
      <c r="C36" s="1"/>
      <c r="D36" s="1"/>
      <c r="E36" s="2"/>
      <c r="F36" s="2"/>
      <c r="G36" s="2"/>
      <c r="H36" s="2"/>
      <c r="I36" s="2"/>
      <c r="J36" s="4"/>
      <c r="K36" s="2"/>
      <c r="L36" s="2"/>
      <c r="M36" s="2"/>
    </row>
    <row r="37" spans="1:13">
      <c r="A37" s="2"/>
      <c r="B37" s="1"/>
      <c r="C37" s="1"/>
      <c r="D37" s="2"/>
      <c r="E37" s="1"/>
      <c r="F37" s="1"/>
      <c r="G37" s="1"/>
      <c r="H37" s="2"/>
      <c r="I37" s="4"/>
      <c r="J37" s="4"/>
      <c r="K37" s="4"/>
      <c r="L37" s="1"/>
      <c r="M37" s="1"/>
    </row>
    <row r="38" spans="1:13">
      <c r="A38" s="2"/>
      <c r="B38" s="1"/>
      <c r="C38" s="1"/>
      <c r="D38" s="1"/>
      <c r="E38" s="2"/>
      <c r="F38" s="2"/>
      <c r="G38" s="2"/>
      <c r="H38" s="2"/>
      <c r="I38" s="2"/>
      <c r="J38" s="4"/>
      <c r="K38" s="2"/>
      <c r="L38" s="2"/>
      <c r="M38" s="2"/>
    </row>
    <row r="39" spans="1:13">
      <c r="A39" s="1"/>
      <c r="B39" s="1"/>
      <c r="C39" s="1"/>
      <c r="D39" s="2"/>
      <c r="E39" s="1"/>
      <c r="F39" s="1"/>
      <c r="G39" s="1"/>
      <c r="H39" s="2"/>
      <c r="I39" s="4"/>
      <c r="J39" s="3"/>
      <c r="K39" s="4"/>
      <c r="L39" s="1"/>
      <c r="M39" s="2"/>
    </row>
    <row r="40" spans="1:13">
      <c r="A40" s="2"/>
      <c r="B40" s="1"/>
      <c r="C40" s="1"/>
      <c r="D40" s="2"/>
      <c r="E40" s="1"/>
      <c r="F40" s="1"/>
      <c r="G40" s="1"/>
      <c r="H40" s="2"/>
      <c r="I40" s="4"/>
      <c r="J40" s="3"/>
      <c r="K40" s="4"/>
      <c r="L40" s="1"/>
      <c r="M40" s="1"/>
    </row>
    <row r="41" spans="1:13">
      <c r="A41" s="2"/>
      <c r="B41" s="1"/>
      <c r="C41" s="1"/>
      <c r="D41" s="2"/>
      <c r="E41" s="1"/>
      <c r="F41" s="1"/>
      <c r="G41" s="1"/>
      <c r="H41" s="2"/>
      <c r="I41" s="4"/>
      <c r="J41" s="3"/>
      <c r="K41" s="4"/>
      <c r="L41" s="1"/>
      <c r="M41" s="1"/>
    </row>
    <row r="42" spans="1:13">
      <c r="A42" s="2"/>
      <c r="B42" s="1"/>
      <c r="C42" s="1"/>
      <c r="D42" s="2"/>
      <c r="E42" s="1"/>
      <c r="F42" s="1"/>
      <c r="G42" s="1"/>
      <c r="H42" s="2"/>
      <c r="I42" s="4"/>
      <c r="J42" s="3"/>
      <c r="K42" s="4"/>
      <c r="L42" s="1"/>
      <c r="M42" s="1"/>
    </row>
    <row r="43" spans="1:13">
      <c r="A43" s="1"/>
      <c r="B43" s="1"/>
      <c r="C43" s="1"/>
      <c r="D43" s="2"/>
      <c r="E43" s="1"/>
      <c r="F43" s="1"/>
      <c r="G43" s="1"/>
      <c r="H43" s="2"/>
      <c r="I43" s="4"/>
      <c r="J43" s="3"/>
      <c r="K43" s="4"/>
      <c r="L43" s="1"/>
      <c r="M43" s="1"/>
    </row>
    <row r="44" spans="1:13">
      <c r="A44" s="2"/>
      <c r="B44" s="1"/>
      <c r="C44" s="1"/>
      <c r="D44" s="2"/>
      <c r="E44" s="2"/>
      <c r="F44" s="2"/>
      <c r="G44" s="2"/>
      <c r="H44" s="2"/>
      <c r="I44" s="2"/>
      <c r="J44" s="3"/>
      <c r="K44" s="2"/>
      <c r="L44" s="2"/>
      <c r="M44" s="2"/>
    </row>
    <row r="45" spans="1:13">
      <c r="A45" s="2"/>
      <c r="B45" s="1"/>
      <c r="C45" s="1"/>
      <c r="D45" s="2"/>
      <c r="E45" s="1"/>
      <c r="F45" s="1"/>
      <c r="G45" s="1"/>
      <c r="H45" s="2"/>
      <c r="I45" s="4"/>
      <c r="J45" s="3"/>
      <c r="K45" s="4"/>
      <c r="L45" s="1"/>
      <c r="M45" s="2"/>
    </row>
    <row r="46" spans="1:13">
      <c r="A46" s="2"/>
      <c r="B46" s="1"/>
      <c r="C46" s="1"/>
      <c r="D46" s="2"/>
      <c r="E46" s="1"/>
      <c r="F46" s="1"/>
      <c r="G46" s="1"/>
      <c r="H46" s="2"/>
      <c r="I46" s="4"/>
      <c r="J46" s="4"/>
      <c r="K46" s="4"/>
      <c r="L46" s="1"/>
      <c r="M46" s="1"/>
    </row>
    <row r="47" spans="1:1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1"/>
      <c r="B48" s="2"/>
      <c r="C48" s="1"/>
      <c r="D48" s="1"/>
      <c r="E48" s="1"/>
      <c r="F48" s="2"/>
      <c r="G48" s="1"/>
      <c r="H48" s="2"/>
      <c r="I48" s="2"/>
      <c r="J48" s="2"/>
      <c r="K48" s="2"/>
      <c r="L48" s="1"/>
      <c r="M48" s="1"/>
    </row>
    <row r="49" spans="1:13">
      <c r="A49" s="2"/>
      <c r="B49" s="1"/>
      <c r="C49" s="1"/>
      <c r="D49" s="1"/>
      <c r="E49" s="2"/>
      <c r="F49" s="2"/>
      <c r="G49" s="2"/>
      <c r="H49" s="2"/>
      <c r="I49" s="2"/>
      <c r="J49" s="4"/>
      <c r="K49" s="2"/>
      <c r="L49" s="2"/>
      <c r="M49" s="2"/>
    </row>
    <row r="50" spans="1:13">
      <c r="A50" s="2"/>
      <c r="B50" s="1"/>
      <c r="C50" s="1"/>
      <c r="D50" s="2"/>
      <c r="E50" s="1"/>
      <c r="F50" s="2"/>
      <c r="G50" s="1"/>
      <c r="H50" s="2"/>
      <c r="I50" s="4"/>
      <c r="J50" s="3"/>
      <c r="K50" s="4"/>
      <c r="L50" s="1"/>
      <c r="M50" s="2"/>
    </row>
    <row r="51" spans="1:13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1"/>
      <c r="C53" s="1"/>
      <c r="D53" s="2"/>
      <c r="E53" s="1"/>
      <c r="F53" s="2"/>
      <c r="G53" s="1"/>
      <c r="H53" s="2"/>
      <c r="I53" s="4"/>
      <c r="J53" s="3"/>
      <c r="K53" s="4"/>
      <c r="L53" s="1"/>
      <c r="M53" s="2"/>
    </row>
    <row r="54" spans="1:13">
      <c r="A54" s="2"/>
      <c r="B54" s="1"/>
      <c r="C54" s="1"/>
      <c r="D54" s="2"/>
      <c r="E54" s="1"/>
      <c r="F54" s="2"/>
      <c r="G54" s="1"/>
      <c r="H54" s="2"/>
      <c r="I54" s="2"/>
      <c r="J54" s="2"/>
      <c r="K54" s="2"/>
      <c r="L54" s="2"/>
      <c r="M54" s="2"/>
    </row>
    <row r="55" spans="1:13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1"/>
      <c r="C57" s="1"/>
      <c r="D57" s="2"/>
      <c r="E57" s="2"/>
      <c r="F57" s="2"/>
      <c r="G57" s="2"/>
      <c r="H57" s="2"/>
      <c r="I57" s="2"/>
      <c r="J57" s="3"/>
      <c r="K57" s="2"/>
      <c r="L57" s="2"/>
      <c r="M57" s="2"/>
    </row>
    <row r="58" spans="1:13">
      <c r="A58" s="2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1"/>
      <c r="C60" s="1"/>
      <c r="D60" s="2"/>
      <c r="E60" s="1"/>
      <c r="F60" s="2"/>
      <c r="G60" s="1"/>
      <c r="H60" s="2"/>
      <c r="I60" s="4"/>
      <c r="J60" s="3"/>
      <c r="K60" s="4"/>
      <c r="L60" s="1"/>
      <c r="M60" s="2"/>
    </row>
    <row r="61" spans="1:13">
      <c r="A61" s="2"/>
      <c r="B61" s="1"/>
      <c r="C61" s="1"/>
      <c r="D61" s="2"/>
      <c r="E61" s="1"/>
      <c r="F61" s="2"/>
      <c r="G61" s="1"/>
      <c r="H61" s="2"/>
      <c r="I61" s="4"/>
      <c r="J61" s="3"/>
      <c r="K61" s="4"/>
      <c r="L61" s="1"/>
      <c r="M61" s="2"/>
    </row>
    <row r="62" spans="1:13">
      <c r="A62" s="2"/>
      <c r="B62" s="1"/>
      <c r="C62" s="1"/>
      <c r="D62" s="2"/>
      <c r="E62" s="1"/>
      <c r="F62" s="2"/>
      <c r="G62" s="1"/>
      <c r="H62" s="2"/>
      <c r="I62" s="4"/>
      <c r="J62" s="3"/>
      <c r="K62" s="4"/>
      <c r="L62" s="1"/>
      <c r="M62" s="2"/>
    </row>
    <row r="63" spans="1:13">
      <c r="A63" s="1"/>
      <c r="B63" s="1"/>
      <c r="C63" s="1"/>
      <c r="D63" s="2"/>
      <c r="E63" s="1"/>
      <c r="F63" s="2"/>
      <c r="G63" s="1"/>
      <c r="H63" s="2"/>
      <c r="I63" s="4"/>
      <c r="J63" s="3"/>
      <c r="K63" s="4"/>
      <c r="L63" s="1"/>
      <c r="M63" s="2"/>
    </row>
    <row r="64" spans="1:13">
      <c r="A64" s="2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1"/>
      <c r="C65" s="1"/>
      <c r="D65" s="2"/>
      <c r="E65" s="1"/>
      <c r="F65" s="2"/>
      <c r="G65" s="1"/>
      <c r="H65" s="2"/>
      <c r="I65" s="4"/>
      <c r="J65" s="3"/>
      <c r="K65" s="4"/>
      <c r="L65" s="1"/>
      <c r="M65" s="2"/>
    </row>
    <row r="66" spans="1:13">
      <c r="A66" s="2"/>
      <c r="B66" s="1"/>
      <c r="C66" s="1"/>
      <c r="D66" s="2"/>
      <c r="E66" s="1"/>
      <c r="F66" s="2"/>
      <c r="G66" s="1"/>
      <c r="H66" s="2"/>
      <c r="I66" s="4"/>
      <c r="J66" s="3"/>
      <c r="K66" s="4"/>
      <c r="L66" s="1"/>
      <c r="M66" s="2"/>
    </row>
    <row r="67" spans="1:13">
      <c r="A67" s="1"/>
      <c r="B67" s="1"/>
      <c r="C67" s="1"/>
      <c r="D67" s="2"/>
      <c r="E67" s="1"/>
      <c r="F67" s="2"/>
      <c r="G67" s="1"/>
      <c r="H67" s="2"/>
      <c r="I67" s="4"/>
      <c r="J67" s="3"/>
      <c r="K67" s="4"/>
      <c r="L67" s="1"/>
      <c r="M67" s="2"/>
    </row>
    <row r="68" spans="1:13">
      <c r="A68" s="2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1"/>
      <c r="C69" s="1"/>
      <c r="D69" s="2"/>
      <c r="E69" s="1"/>
      <c r="F69" s="2"/>
      <c r="G69" s="1"/>
      <c r="H69" s="2"/>
      <c r="I69" s="4"/>
      <c r="J69" s="3"/>
      <c r="K69" s="4"/>
      <c r="L69" s="1"/>
      <c r="M69" s="2"/>
    </row>
    <row r="70" spans="1:13">
      <c r="A70" s="2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6656-8AC4-8840-AF0D-C061DCCE66A8}">
  <sheetPr>
    <pageSetUpPr fitToPage="1"/>
  </sheetPr>
  <dimension ref="A2:P28"/>
  <sheetViews>
    <sheetView showGridLines="0" topLeftCell="A3" zoomScale="125" workbookViewId="0">
      <pane xSplit="1" topLeftCell="K1" activePane="topRight" state="frozen"/>
      <selection pane="topRight" activeCell="Q16" sqref="Q16"/>
    </sheetView>
  </sheetViews>
  <sheetFormatPr baseColWidth="10" defaultRowHeight="16"/>
  <cols>
    <col min="2" max="2" width="24.6640625" customWidth="1"/>
    <col min="3" max="3" width="12.1640625" customWidth="1"/>
    <col min="4" max="5" width="21" bestFit="1" customWidth="1"/>
    <col min="6" max="6" width="27.83203125" bestFit="1" customWidth="1"/>
    <col min="7" max="7" width="27.83203125" customWidth="1"/>
    <col min="8" max="8" width="15.33203125" customWidth="1"/>
    <col min="9" max="14" width="25.83203125" customWidth="1"/>
    <col min="15" max="15" width="25.83203125" bestFit="1" customWidth="1"/>
  </cols>
  <sheetData>
    <row r="2" spans="1:16">
      <c r="O2" s="21" t="s">
        <v>89</v>
      </c>
    </row>
    <row r="3" spans="1:16">
      <c r="O3" s="20">
        <v>0.69</v>
      </c>
      <c r="P3" s="19">
        <v>0.65</v>
      </c>
    </row>
    <row r="5" spans="1:16" ht="34">
      <c r="A5" s="18" t="s">
        <v>6</v>
      </c>
      <c r="B5" s="16" t="s">
        <v>88</v>
      </c>
      <c r="C5" s="18" t="s">
        <v>87</v>
      </c>
      <c r="D5" s="16" t="s">
        <v>86</v>
      </c>
      <c r="E5" s="16" t="s">
        <v>85</v>
      </c>
      <c r="F5" s="16" t="s">
        <v>84</v>
      </c>
      <c r="G5" s="16" t="s">
        <v>83</v>
      </c>
      <c r="H5" s="16" t="s">
        <v>82</v>
      </c>
      <c r="I5" s="17" t="s">
        <v>81</v>
      </c>
      <c r="J5" s="17" t="s">
        <v>80</v>
      </c>
      <c r="K5" s="17" t="s">
        <v>79</v>
      </c>
      <c r="L5" s="17" t="s">
        <v>104</v>
      </c>
      <c r="M5" s="17" t="s">
        <v>78</v>
      </c>
      <c r="N5" s="17" t="s">
        <v>77</v>
      </c>
      <c r="O5" s="16" t="s">
        <v>76</v>
      </c>
    </row>
    <row r="6" spans="1:16">
      <c r="A6" t="s">
        <v>75</v>
      </c>
      <c r="B6" t="s">
        <v>74</v>
      </c>
      <c r="C6" t="s">
        <v>59</v>
      </c>
      <c r="D6">
        <v>9.5</v>
      </c>
      <c r="E6" t="s">
        <v>31</v>
      </c>
      <c r="F6" s="7">
        <v>5</v>
      </c>
      <c r="G6" s="8">
        <v>3</v>
      </c>
      <c r="H6" s="13">
        <f>Table1[[#This Row],[Current Limited Exp kWh]]/Table1[[#This Row],[Max Export Capacity (kW)]]</f>
        <v>0.6</v>
      </c>
      <c r="I6" s="11">
        <f>Table1[[#This Row],[Max Export Capacity (kW)]]*Limit_Percentage</f>
        <v>3.4499999999999997</v>
      </c>
      <c r="J6" s="11">
        <f>Table1[[#This Row],[Max Export Capacity (kW)]]*$O$3</f>
        <v>3.4499999999999997</v>
      </c>
      <c r="K6" s="11">
        <f>ROUND(Table1[[#This Row],[Max Export Capacity (kW)]]*$O$3,1)</f>
        <v>3.5</v>
      </c>
      <c r="L6" s="11">
        <f>ROUND(Table1[[#This Row],[Max Export Capacity (kW)]]*$P$3,1)</f>
        <v>3.3</v>
      </c>
      <c r="M6" s="11">
        <v>3.5</v>
      </c>
      <c r="N6" s="11"/>
      <c r="O6" s="9">
        <f>Table1[[#This Row],[Updated Limited Exp kWh 250201]]/Table1[[#This Row],[Max Export Capacity (kW)]]</f>
        <v>0.65999999999999992</v>
      </c>
    </row>
    <row r="7" spans="1:16">
      <c r="A7" t="s">
        <v>73</v>
      </c>
      <c r="B7" t="s">
        <v>72</v>
      </c>
      <c r="C7" t="s">
        <v>59</v>
      </c>
      <c r="D7">
        <v>9.5</v>
      </c>
      <c r="E7" t="s">
        <v>62</v>
      </c>
      <c r="F7" s="7">
        <v>8.1999999999999993</v>
      </c>
      <c r="G7" s="8">
        <v>6.2</v>
      </c>
      <c r="H7" s="13">
        <f>Table1[[#This Row],[Current Limited Exp kWh]]/Table1[[#This Row],[Max Export Capacity (kW)]]</f>
        <v>0.75609756097560987</v>
      </c>
      <c r="I7" s="11">
        <f>Table1[[#This Row],[Max Export Capacity (kW)]]*Limit_Percentage</f>
        <v>5.6579999999999995</v>
      </c>
      <c r="J7" s="11">
        <f>Table1[[#This Row],[Max Export Capacity (kW)]]*$O$3</f>
        <v>5.6579999999999995</v>
      </c>
      <c r="K7" s="11">
        <f>ROUND(Table1[[#This Row],[Max Export Capacity (kW)]]*$O$3,1)</f>
        <v>5.7</v>
      </c>
      <c r="L7" s="11">
        <f>ROUND(Table1[[#This Row],[Max Export Capacity (kW)]]*$P$3,1)</f>
        <v>5.3</v>
      </c>
      <c r="M7" s="11">
        <v>5.7</v>
      </c>
      <c r="N7" s="11"/>
      <c r="O7" s="9">
        <f>Table1[[#This Row],[Updated Limited Exp kWh 250201]]/Table1[[#This Row],[Max Export Capacity (kW)]]</f>
        <v>0.64634146341463417</v>
      </c>
    </row>
    <row r="8" spans="1:16">
      <c r="A8" t="s">
        <v>71</v>
      </c>
      <c r="B8" t="s">
        <v>70</v>
      </c>
      <c r="C8" t="s">
        <v>59</v>
      </c>
      <c r="D8">
        <v>9.5</v>
      </c>
      <c r="E8" t="s">
        <v>31</v>
      </c>
      <c r="F8" s="7">
        <v>5</v>
      </c>
      <c r="G8" s="8">
        <v>3</v>
      </c>
      <c r="H8" s="13">
        <f>Table1[[#This Row],[Current Limited Exp kWh]]/Table1[[#This Row],[Max Export Capacity (kW)]]</f>
        <v>0.6</v>
      </c>
      <c r="I8" s="11">
        <f>Table1[[#This Row],[Max Export Capacity (kW)]]*Limit_Percentage</f>
        <v>3.4499999999999997</v>
      </c>
      <c r="J8" s="11">
        <f>Table1[[#This Row],[Max Export Capacity (kW)]]*$O$3</f>
        <v>3.4499999999999997</v>
      </c>
      <c r="K8" s="11">
        <f>ROUND(Table1[[#This Row],[Max Export Capacity (kW)]]*$O$3,1)</f>
        <v>3.5</v>
      </c>
      <c r="L8" s="11">
        <f>ROUND(Table1[[#This Row],[Max Export Capacity (kW)]]*$P$3,1)</f>
        <v>3.3</v>
      </c>
      <c r="M8" s="11">
        <v>3.5</v>
      </c>
      <c r="N8" s="11"/>
      <c r="O8" s="9">
        <f>Table1[[#This Row],[Updated Limited Exp kWh 250201]]/Table1[[#This Row],[Max Export Capacity (kW)]]</f>
        <v>0.65999999999999992</v>
      </c>
    </row>
    <row r="9" spans="1:16">
      <c r="A9" t="s">
        <v>69</v>
      </c>
      <c r="B9" t="s">
        <v>68</v>
      </c>
      <c r="C9" t="s">
        <v>59</v>
      </c>
      <c r="D9">
        <v>9.5</v>
      </c>
      <c r="E9" t="s">
        <v>31</v>
      </c>
      <c r="F9" s="14">
        <v>5</v>
      </c>
      <c r="G9" s="8">
        <v>5</v>
      </c>
      <c r="H9" s="13">
        <f>Table1[[#This Row],[Current Limited Exp kWh]]/Table1[[#This Row],[Max Export Capacity (kW)]]</f>
        <v>1</v>
      </c>
      <c r="I9" s="11">
        <f>Table1[[#This Row],[Max Export Capacity (kW)]]*Limit_Percentage</f>
        <v>3.4499999999999997</v>
      </c>
      <c r="J9" s="11">
        <f>Table1[[#This Row],[Max Export Capacity (kW)]]*$O$3</f>
        <v>3.4499999999999997</v>
      </c>
      <c r="K9" s="11">
        <f>ROUND(Table1[[#This Row],[Max Export Capacity (kW)]]*$O$3,1)</f>
        <v>3.5</v>
      </c>
      <c r="L9" s="11">
        <v>3.5</v>
      </c>
      <c r="M9" s="10">
        <v>3.5</v>
      </c>
      <c r="N9" s="10" t="s">
        <v>67</v>
      </c>
      <c r="O9" s="9">
        <f>Table1[[#This Row],[Updated Limited Exp kWh 250201]]/Table1[[#This Row],[Max Export Capacity (kW)]]</f>
        <v>0.7</v>
      </c>
    </row>
    <row r="10" spans="1:16">
      <c r="A10" t="s">
        <v>66</v>
      </c>
      <c r="B10" t="s">
        <v>65</v>
      </c>
      <c r="C10" t="s">
        <v>59</v>
      </c>
      <c r="D10">
        <v>9.5</v>
      </c>
      <c r="E10" t="s">
        <v>62</v>
      </c>
      <c r="F10" s="7">
        <v>8.1999999999999993</v>
      </c>
      <c r="G10" s="8">
        <v>6.2</v>
      </c>
      <c r="H10" s="13">
        <f>Table1[[#This Row],[Current Limited Exp kWh]]/Table1[[#This Row],[Max Export Capacity (kW)]]</f>
        <v>0.75609756097560987</v>
      </c>
      <c r="I10" s="11">
        <f>Table1[[#This Row],[Max Export Capacity (kW)]]*Limit_Percentage</f>
        <v>5.6579999999999995</v>
      </c>
      <c r="J10" s="11">
        <f>Table1[[#This Row],[Max Export Capacity (kW)]]*$O$3</f>
        <v>5.6579999999999995</v>
      </c>
      <c r="K10" s="11">
        <f>ROUND(Table1[[#This Row],[Max Export Capacity (kW)]]*$O$3,1)</f>
        <v>5.7</v>
      </c>
      <c r="L10" s="11">
        <f>ROUND(Table1[[#This Row],[Max Export Capacity (kW)]]*$P$3,1)</f>
        <v>5.3</v>
      </c>
      <c r="M10" s="11">
        <v>5.7</v>
      </c>
      <c r="N10" s="11"/>
      <c r="O10" s="9">
        <f>Table1[[#This Row],[Updated Limited Exp kWh 250201]]/Table1[[#This Row],[Max Export Capacity (kW)]]</f>
        <v>0.64634146341463417</v>
      </c>
    </row>
    <row r="11" spans="1:16">
      <c r="A11" t="s">
        <v>64</v>
      </c>
      <c r="B11" t="s">
        <v>63</v>
      </c>
      <c r="C11" t="s">
        <v>59</v>
      </c>
      <c r="D11">
        <v>9.5</v>
      </c>
      <c r="E11" t="s">
        <v>62</v>
      </c>
      <c r="F11" s="7">
        <v>8.1999999999999993</v>
      </c>
      <c r="G11" s="8">
        <v>6.2</v>
      </c>
      <c r="H11" s="13">
        <f>Table1[[#This Row],[Current Limited Exp kWh]]/Table1[[#This Row],[Max Export Capacity (kW)]]</f>
        <v>0.75609756097560987</v>
      </c>
      <c r="I11" s="11">
        <f>Table1[[#This Row],[Max Export Capacity (kW)]]*Limit_Percentage</f>
        <v>5.6579999999999995</v>
      </c>
      <c r="J11" s="11">
        <f>Table1[[#This Row],[Max Export Capacity (kW)]]*$O$3</f>
        <v>5.6579999999999995</v>
      </c>
      <c r="K11" s="11">
        <f>ROUND(Table1[[#This Row],[Max Export Capacity (kW)]]*$O$3,1)</f>
        <v>5.7</v>
      </c>
      <c r="L11" s="11">
        <f>ROUND(Table1[[#This Row],[Max Export Capacity (kW)]]*$P$3,1)</f>
        <v>5.3</v>
      </c>
      <c r="M11" s="11">
        <v>5.7</v>
      </c>
      <c r="N11" s="11"/>
      <c r="O11" s="9">
        <f>Table1[[#This Row],[Updated Limited Exp kWh 250201]]/Table1[[#This Row],[Max Export Capacity (kW)]]</f>
        <v>0.64634146341463417</v>
      </c>
    </row>
    <row r="12" spans="1:16">
      <c r="A12" t="s">
        <v>61</v>
      </c>
      <c r="B12" t="s">
        <v>60</v>
      </c>
      <c r="C12" t="s">
        <v>59</v>
      </c>
      <c r="D12">
        <v>9.5</v>
      </c>
      <c r="E12" t="s">
        <v>31</v>
      </c>
      <c r="F12" s="7">
        <v>5</v>
      </c>
      <c r="G12" s="8">
        <v>3</v>
      </c>
      <c r="H12" s="13">
        <f>Table1[[#This Row],[Current Limited Exp kWh]]/Table1[[#This Row],[Max Export Capacity (kW)]]</f>
        <v>0.6</v>
      </c>
      <c r="I12" s="11">
        <f>Table1[[#This Row],[Max Export Capacity (kW)]]*Limit_Percentage</f>
        <v>3.4499999999999997</v>
      </c>
      <c r="J12" s="11">
        <f>Table1[[#This Row],[Max Export Capacity (kW)]]*$O$3</f>
        <v>3.4499999999999997</v>
      </c>
      <c r="K12" s="11">
        <f>ROUND(Table1[[#This Row],[Max Export Capacity (kW)]]*$O$3,1)</f>
        <v>3.5</v>
      </c>
      <c r="L12" s="11">
        <f>ROUND(Table1[[#This Row],[Max Export Capacity (kW)]]*$P$3,1)</f>
        <v>3.3</v>
      </c>
      <c r="M12" s="11">
        <v>3.5</v>
      </c>
      <c r="N12" s="11"/>
      <c r="O12" s="9">
        <f>Table1[[#This Row],[Updated Limited Exp kWh 250201]]/Table1[[#This Row],[Max Export Capacity (kW)]]</f>
        <v>0.65999999999999992</v>
      </c>
    </row>
    <row r="13" spans="1:16">
      <c r="A13" t="s">
        <v>58</v>
      </c>
      <c r="B13" t="s">
        <v>57</v>
      </c>
      <c r="C13" t="s">
        <v>28</v>
      </c>
      <c r="D13">
        <v>13.5</v>
      </c>
      <c r="E13" t="s">
        <v>49</v>
      </c>
      <c r="F13" s="7">
        <v>6</v>
      </c>
      <c r="G13" s="8">
        <v>4.5</v>
      </c>
      <c r="H13" s="13">
        <f>Table1[[#This Row],[Current Limited Exp kWh]]/Table1[[#This Row],[Max Export Capacity (kW)]]</f>
        <v>0.75</v>
      </c>
      <c r="I13" s="11">
        <f>Table1[[#This Row],[Max Export Capacity (kW)]]*Limit_Percentage</f>
        <v>4.1399999999999997</v>
      </c>
      <c r="J13" s="11">
        <f>Table1[[#This Row],[Max Export Capacity (kW)]]*$O$3</f>
        <v>4.1399999999999997</v>
      </c>
      <c r="K13" s="11">
        <f>ROUND(Table1[[#This Row],[Max Export Capacity (kW)]]*$O$3,1)</f>
        <v>4.0999999999999996</v>
      </c>
      <c r="L13" s="11">
        <f>ROUND(Table1[[#This Row],[Max Export Capacity (kW)]]*$P$3,1)</f>
        <v>3.9</v>
      </c>
      <c r="M13" s="11">
        <v>4.0999999999999996</v>
      </c>
      <c r="N13" s="11"/>
      <c r="O13" s="9">
        <f>Table1[[#This Row],[Updated Limited Exp kWh 250201]]/Table1[[#This Row],[Max Export Capacity (kW)]]</f>
        <v>0.65</v>
      </c>
    </row>
    <row r="14" spans="1:16">
      <c r="A14" t="s">
        <v>56</v>
      </c>
      <c r="B14" t="s">
        <v>55</v>
      </c>
      <c r="C14" t="s">
        <v>28</v>
      </c>
      <c r="D14" s="15">
        <v>13.5</v>
      </c>
      <c r="E14" s="15" t="s">
        <v>24</v>
      </c>
      <c r="F14" s="14">
        <v>0</v>
      </c>
      <c r="G14" s="8"/>
      <c r="H14" s="13"/>
      <c r="I14" s="12">
        <f>Table1[[#This Row],[Max Export Capacity (kW)]]*Limit_Percentage</f>
        <v>0</v>
      </c>
      <c r="J14" s="11">
        <f>Table1[[#This Row],[Max Export Capacity (kW)]]*$O$3</f>
        <v>0</v>
      </c>
      <c r="K14" s="11">
        <f>ROUND(Table1[[#This Row],[Max Export Capacity (kW)]]*$O$3,1)</f>
        <v>0</v>
      </c>
      <c r="L14" s="11">
        <f>ROUND(Table1[[#This Row],[Max Export Capacity (kW)]]*$P$3,1)</f>
        <v>0</v>
      </c>
      <c r="M14" s="11">
        <v>0</v>
      </c>
      <c r="N14" s="11"/>
      <c r="O14" s="9"/>
    </row>
    <row r="15" spans="1:16">
      <c r="A15" t="s">
        <v>54</v>
      </c>
      <c r="B15" t="s">
        <v>53</v>
      </c>
      <c r="C15" t="s">
        <v>28</v>
      </c>
      <c r="D15">
        <v>13.5</v>
      </c>
      <c r="E15" t="s">
        <v>31</v>
      </c>
      <c r="F15" s="7">
        <v>5</v>
      </c>
      <c r="G15" s="8">
        <v>3.5</v>
      </c>
      <c r="H15" s="13">
        <f>Table1[[#This Row],[Current Limited Exp kWh]]/Table1[[#This Row],[Max Export Capacity (kW)]]</f>
        <v>0.7</v>
      </c>
      <c r="I15" s="11">
        <f>Table1[[#This Row],[Max Export Capacity (kW)]]*Limit_Percentage</f>
        <v>3.4499999999999997</v>
      </c>
      <c r="J15" s="11">
        <f>Table1[[#This Row],[Max Export Capacity (kW)]]*$O$3</f>
        <v>3.4499999999999997</v>
      </c>
      <c r="K15" s="11">
        <f>ROUND(Table1[[#This Row],[Max Export Capacity (kW)]]*$O$3,1)</f>
        <v>3.5</v>
      </c>
      <c r="L15" s="11">
        <f>ROUND(Table1[[#This Row],[Max Export Capacity (kW)]]*$P$3,1)</f>
        <v>3.3</v>
      </c>
      <c r="M15" s="11">
        <v>3.5</v>
      </c>
      <c r="N15" s="10" t="s">
        <v>52</v>
      </c>
      <c r="O15" s="9">
        <f>Table1[[#This Row],[Updated Limited Exp kWh 250201]]/Table1[[#This Row],[Max Export Capacity (kW)]]</f>
        <v>0.65999999999999992</v>
      </c>
    </row>
    <row r="16" spans="1:16">
      <c r="A16" t="s">
        <v>51</v>
      </c>
      <c r="B16" t="s">
        <v>50</v>
      </c>
      <c r="C16" t="s">
        <v>28</v>
      </c>
      <c r="D16">
        <v>13.5</v>
      </c>
      <c r="E16" t="s">
        <v>49</v>
      </c>
      <c r="F16" s="7">
        <v>6</v>
      </c>
      <c r="G16" s="8">
        <v>3</v>
      </c>
      <c r="H16" s="13">
        <f>Table1[[#This Row],[Current Limited Exp kWh]]/Table1[[#This Row],[Max Export Capacity (kW)]]</f>
        <v>0.5</v>
      </c>
      <c r="I16" s="11">
        <f>Table1[[#This Row],[Max Export Capacity (kW)]]*Limit_Percentage</f>
        <v>4.1399999999999997</v>
      </c>
      <c r="J16" s="11">
        <f>Table1[[#This Row],[Max Export Capacity (kW)]]*$O$3</f>
        <v>4.1399999999999997</v>
      </c>
      <c r="K16" s="11">
        <f>ROUND(Table1[[#This Row],[Max Export Capacity (kW)]]*$O$3,1)</f>
        <v>4.0999999999999996</v>
      </c>
      <c r="L16" s="11">
        <f>ROUND(Table1[[#This Row],[Max Export Capacity (kW)]]*$P$3,1)</f>
        <v>3.9</v>
      </c>
      <c r="M16" s="11">
        <v>4.0999999999999996</v>
      </c>
      <c r="N16" s="11"/>
      <c r="O16" s="9">
        <f>Table1[[#This Row],[Updated Limited Exp kWh 250201]]/Table1[[#This Row],[Max Export Capacity (kW)]]</f>
        <v>0.65</v>
      </c>
    </row>
    <row r="17" spans="1:15">
      <c r="A17" t="s">
        <v>48</v>
      </c>
      <c r="B17" t="s">
        <v>47</v>
      </c>
      <c r="C17" t="s">
        <v>28</v>
      </c>
      <c r="D17">
        <v>13.5</v>
      </c>
      <c r="E17" t="s">
        <v>24</v>
      </c>
      <c r="F17" s="7">
        <v>10</v>
      </c>
      <c r="G17" s="8">
        <v>8</v>
      </c>
      <c r="H17" s="13">
        <f>Table1[[#This Row],[Current Limited Exp kWh]]/Table1[[#This Row],[Max Export Capacity (kW)]]</f>
        <v>0.8</v>
      </c>
      <c r="I17" s="11">
        <f>Table1[[#This Row],[Max Export Capacity (kW)]]*Limit_Percentage</f>
        <v>6.8999999999999995</v>
      </c>
      <c r="J17" s="11">
        <f>Table1[[#This Row],[Max Export Capacity (kW)]]*$O$3</f>
        <v>6.8999999999999995</v>
      </c>
      <c r="K17" s="11">
        <f>ROUND(Table1[[#This Row],[Max Export Capacity (kW)]]*$O$3,1)</f>
        <v>6.9</v>
      </c>
      <c r="L17" s="11">
        <f>ROUND(Table1[[#This Row],[Max Export Capacity (kW)]]*$P$3,1)</f>
        <v>6.5</v>
      </c>
      <c r="M17" s="11">
        <v>6.9</v>
      </c>
      <c r="N17" s="11"/>
      <c r="O17" s="9">
        <f>Table1[[#This Row],[Updated Limited Exp kWh 250201]]/Table1[[#This Row],[Max Export Capacity (kW)]]</f>
        <v>0.65</v>
      </c>
    </row>
    <row r="18" spans="1:15">
      <c r="A18" t="s">
        <v>46</v>
      </c>
      <c r="B18" t="s">
        <v>45</v>
      </c>
      <c r="C18" t="s">
        <v>28</v>
      </c>
      <c r="D18">
        <v>13.5</v>
      </c>
      <c r="E18" t="s">
        <v>24</v>
      </c>
      <c r="F18" s="7">
        <v>10</v>
      </c>
      <c r="G18" s="8">
        <v>8</v>
      </c>
      <c r="H18" s="13">
        <f>Table1[[#This Row],[Current Limited Exp kWh]]/Table1[[#This Row],[Max Export Capacity (kW)]]</f>
        <v>0.8</v>
      </c>
      <c r="I18" s="11">
        <f>Table1[[#This Row],[Max Export Capacity (kW)]]*Limit_Percentage</f>
        <v>6.8999999999999995</v>
      </c>
      <c r="J18" s="11">
        <f>Table1[[#This Row],[Max Export Capacity (kW)]]*$O$3</f>
        <v>6.8999999999999995</v>
      </c>
      <c r="K18" s="11">
        <f>ROUND(Table1[[#This Row],[Max Export Capacity (kW)]]*$O$3,1)</f>
        <v>6.9</v>
      </c>
      <c r="L18" s="11">
        <f>ROUND(Table1[[#This Row],[Max Export Capacity (kW)]]*$P$3,1)</f>
        <v>6.5</v>
      </c>
      <c r="M18" s="11">
        <v>6.9</v>
      </c>
      <c r="N18" s="11"/>
      <c r="O18" s="9">
        <f>Table1[[#This Row],[Updated Limited Exp kWh 250201]]/Table1[[#This Row],[Max Export Capacity (kW)]]</f>
        <v>0.65</v>
      </c>
    </row>
    <row r="19" spans="1:15">
      <c r="A19" t="s">
        <v>44</v>
      </c>
      <c r="B19" t="s">
        <v>43</v>
      </c>
      <c r="C19" t="s">
        <v>28</v>
      </c>
      <c r="D19">
        <v>13.5</v>
      </c>
      <c r="E19" t="s">
        <v>24</v>
      </c>
      <c r="F19" s="7">
        <v>10</v>
      </c>
      <c r="G19" s="8">
        <v>8</v>
      </c>
      <c r="H19" s="13">
        <f>Table1[[#This Row],[Current Limited Exp kWh]]/Table1[[#This Row],[Max Export Capacity (kW)]]</f>
        <v>0.8</v>
      </c>
      <c r="I19" s="11">
        <f>Table1[[#This Row],[Max Export Capacity (kW)]]*Limit_Percentage</f>
        <v>6.8999999999999995</v>
      </c>
      <c r="J19" s="11">
        <f>Table1[[#This Row],[Max Export Capacity (kW)]]*$O$3</f>
        <v>6.8999999999999995</v>
      </c>
      <c r="K19" s="11">
        <f>ROUND(Table1[[#This Row],[Max Export Capacity (kW)]]*$O$3,1)</f>
        <v>6.9</v>
      </c>
      <c r="L19" s="11">
        <f>ROUND(Table1[[#This Row],[Max Export Capacity (kW)]]*$P$3,1)</f>
        <v>6.5</v>
      </c>
      <c r="M19" s="11">
        <v>6.9</v>
      </c>
      <c r="N19" s="10"/>
      <c r="O19" s="9">
        <f>Table1[[#This Row],[Updated Limited Exp kWh 250201]]/Table1[[#This Row],[Max Export Capacity (kW)]]</f>
        <v>0.65</v>
      </c>
    </row>
    <row r="20" spans="1:15">
      <c r="A20" t="s">
        <v>42</v>
      </c>
      <c r="B20" t="s">
        <v>41</v>
      </c>
      <c r="C20" t="s">
        <v>32</v>
      </c>
      <c r="D20">
        <v>6</v>
      </c>
      <c r="E20" t="s">
        <v>31</v>
      </c>
      <c r="F20" s="7">
        <v>5</v>
      </c>
      <c r="G20" s="8">
        <v>3.5</v>
      </c>
      <c r="H20" s="13">
        <f>Table1[[#This Row],[Current Limited Exp kWh]]/Table1[[#This Row],[Max Export Capacity (kW)]]</f>
        <v>0.7</v>
      </c>
      <c r="I20" s="11">
        <f>Table1[[#This Row],[Max Export Capacity (kW)]]*Limit_Percentage</f>
        <v>3.4499999999999997</v>
      </c>
      <c r="J20" s="11">
        <f>Table1[[#This Row],[Max Export Capacity (kW)]]*$O$3</f>
        <v>3.4499999999999997</v>
      </c>
      <c r="K20" s="11">
        <f>ROUND(Table1[[#This Row],[Max Export Capacity (kW)]]*$O$3,1)</f>
        <v>3.5</v>
      </c>
      <c r="L20" s="11">
        <f>ROUND(Table1[[#This Row],[Max Export Capacity (kW)]]*$P$3,1)</f>
        <v>3.3</v>
      </c>
      <c r="M20" s="11">
        <v>3.5</v>
      </c>
      <c r="N20" s="11"/>
      <c r="O20" s="9">
        <f>Table1[[#This Row],[Updated Limited Exp kWh 250201]]/Table1[[#This Row],[Max Export Capacity (kW)]]</f>
        <v>0.65999999999999992</v>
      </c>
    </row>
    <row r="21" spans="1:15">
      <c r="A21" t="s">
        <v>40</v>
      </c>
      <c r="B21" t="s">
        <v>39</v>
      </c>
      <c r="C21" t="s">
        <v>32</v>
      </c>
      <c r="D21">
        <v>6</v>
      </c>
      <c r="E21" t="s">
        <v>31</v>
      </c>
      <c r="F21" s="7">
        <v>5</v>
      </c>
      <c r="G21" s="8">
        <v>3</v>
      </c>
      <c r="H21" s="13">
        <f>Table1[[#This Row],[Current Limited Exp kWh]]/Table1[[#This Row],[Max Export Capacity (kW)]]</f>
        <v>0.6</v>
      </c>
      <c r="I21" s="11">
        <f>Table1[[#This Row],[Max Export Capacity (kW)]]*Limit_Percentage</f>
        <v>3.4499999999999997</v>
      </c>
      <c r="J21" s="11">
        <f>Table1[[#This Row],[Max Export Capacity (kW)]]*$O$3</f>
        <v>3.4499999999999997</v>
      </c>
      <c r="K21" s="11">
        <f>ROUND(Table1[[#This Row],[Max Export Capacity (kW)]]*$O$3,1)</f>
        <v>3.5</v>
      </c>
      <c r="L21" s="11">
        <f>ROUND(Table1[[#This Row],[Max Export Capacity (kW)]]*$P$3,1)</f>
        <v>3.3</v>
      </c>
      <c r="M21" s="11">
        <v>3.5</v>
      </c>
      <c r="N21" s="11"/>
      <c r="O21" s="9">
        <f>Table1[[#This Row],[Updated Limited Exp kWh 250201]]/Table1[[#This Row],[Max Export Capacity (kW)]]</f>
        <v>0.65999999999999992</v>
      </c>
    </row>
    <row r="22" spans="1:15">
      <c r="A22" t="s">
        <v>38</v>
      </c>
      <c r="B22" t="s">
        <v>37</v>
      </c>
      <c r="C22" t="s">
        <v>32</v>
      </c>
      <c r="D22">
        <v>6</v>
      </c>
      <c r="E22" t="s">
        <v>31</v>
      </c>
      <c r="F22" s="7">
        <v>5</v>
      </c>
      <c r="G22" s="8">
        <v>3.5</v>
      </c>
      <c r="H22" s="13">
        <f>Table1[[#This Row],[Current Limited Exp kWh]]/Table1[[#This Row],[Max Export Capacity (kW)]]</f>
        <v>0.7</v>
      </c>
      <c r="I22" s="11">
        <f>Table1[[#This Row],[Max Export Capacity (kW)]]*Limit_Percentage</f>
        <v>3.4499999999999997</v>
      </c>
      <c r="J22" s="11">
        <f>Table1[[#This Row],[Max Export Capacity (kW)]]*$O$3</f>
        <v>3.4499999999999997</v>
      </c>
      <c r="K22" s="11">
        <f>ROUND(Table1[[#This Row],[Max Export Capacity (kW)]]*$O$3,1)</f>
        <v>3.5</v>
      </c>
      <c r="L22" s="11">
        <f>ROUND(Table1[[#This Row],[Max Export Capacity (kW)]]*$P$3,1)</f>
        <v>3.3</v>
      </c>
      <c r="M22" s="11">
        <v>3.5</v>
      </c>
      <c r="N22" s="11"/>
      <c r="O22" s="9">
        <f>Table1[[#This Row],[Updated Limited Exp kWh 250201]]/Table1[[#This Row],[Max Export Capacity (kW)]]</f>
        <v>0.65999999999999992</v>
      </c>
    </row>
    <row r="23" spans="1:15">
      <c r="A23" t="s">
        <v>36</v>
      </c>
      <c r="B23" t="s">
        <v>35</v>
      </c>
      <c r="C23" t="s">
        <v>32</v>
      </c>
      <c r="D23">
        <v>6</v>
      </c>
      <c r="E23" t="s">
        <v>31</v>
      </c>
      <c r="F23" s="7">
        <v>5</v>
      </c>
      <c r="G23" s="8">
        <v>5</v>
      </c>
      <c r="H23" s="13">
        <f>Table1[[#This Row],[Current Limited Exp kWh]]/Table1[[#This Row],[Max Export Capacity (kW)]]</f>
        <v>1</v>
      </c>
      <c r="I23" s="12">
        <v>0</v>
      </c>
      <c r="J23" s="11">
        <f>Table1[[#This Row],[Max Export Capacity (kW)]]*$O$3</f>
        <v>3.4499999999999997</v>
      </c>
      <c r="K23" s="11">
        <f>ROUND(Table1[[#This Row],[Max Export Capacity (kW)]]*$O$3,1)</f>
        <v>3.5</v>
      </c>
      <c r="L23" s="11">
        <f>ROUND(Table1[[#This Row],[Max Export Capacity (kW)]]*$P$3,1)</f>
        <v>3.3</v>
      </c>
      <c r="M23" s="11">
        <v>3.5</v>
      </c>
      <c r="N23" s="10"/>
      <c r="O23" s="9">
        <f>Table1[[#This Row],[Updated Limited Exp kWh 250201]]/Table1[[#This Row],[Max Export Capacity (kW)]]</f>
        <v>0.65999999999999992</v>
      </c>
    </row>
    <row r="24" spans="1:15">
      <c r="A24" t="s">
        <v>34</v>
      </c>
      <c r="B24" t="s">
        <v>33</v>
      </c>
      <c r="C24" t="s">
        <v>32</v>
      </c>
      <c r="D24">
        <v>6</v>
      </c>
      <c r="E24" t="s">
        <v>31</v>
      </c>
      <c r="F24" s="7">
        <v>5</v>
      </c>
      <c r="G24" s="8">
        <v>3</v>
      </c>
      <c r="H24" s="13">
        <f>Table1[[#This Row],[Current Limited Exp kWh]]/Table1[[#This Row],[Max Export Capacity (kW)]]</f>
        <v>0.6</v>
      </c>
      <c r="I24" s="12">
        <v>3</v>
      </c>
      <c r="J24" s="11">
        <f>Table1[[#This Row],[Max Export Capacity (kW)]]*$O$3</f>
        <v>3.4499999999999997</v>
      </c>
      <c r="K24" s="11">
        <f>ROUND(Table1[[#This Row],[Max Export Capacity (kW)]]*$O$3,1)</f>
        <v>3.5</v>
      </c>
      <c r="L24" s="11">
        <f>ROUND(Table1[[#This Row],[Max Export Capacity (kW)]]*$P$3,1)</f>
        <v>3.3</v>
      </c>
      <c r="M24" s="11">
        <v>3.5</v>
      </c>
      <c r="N24" s="11"/>
      <c r="O24" s="9">
        <f>Table1[[#This Row],[Updated Limited Exp kWh 250201]]/Table1[[#This Row],[Max Export Capacity (kW)]]</f>
        <v>0.65999999999999992</v>
      </c>
    </row>
    <row r="25" spans="1:15">
      <c r="A25" t="s">
        <v>30</v>
      </c>
      <c r="B25" t="s">
        <v>29</v>
      </c>
      <c r="C25" t="s">
        <v>28</v>
      </c>
      <c r="D25">
        <v>13.5</v>
      </c>
      <c r="E25" t="s">
        <v>24</v>
      </c>
      <c r="F25" s="7">
        <v>10</v>
      </c>
      <c r="G25" s="8">
        <v>8</v>
      </c>
      <c r="H25" s="13">
        <f>Table1[[#This Row],[Current Limited Exp kWh]]/Table1[[#This Row],[Max Export Capacity (kW)]]</f>
        <v>0.8</v>
      </c>
      <c r="I25" s="11">
        <f>Table1[[#This Row],[Max Export Capacity (kW)]]*Limit_Percentage</f>
        <v>6.8999999999999995</v>
      </c>
      <c r="J25" s="11">
        <f>Table1[[#This Row],[Max Export Capacity (kW)]]*$O$3</f>
        <v>6.8999999999999995</v>
      </c>
      <c r="K25" s="11">
        <f>ROUND(Table1[[#This Row],[Max Export Capacity (kW)]]*$O$3,1)</f>
        <v>6.9</v>
      </c>
      <c r="L25" s="11">
        <f>ROUND(Table1[[#This Row],[Max Export Capacity (kW)]]*$P$3,1)</f>
        <v>6.5</v>
      </c>
      <c r="M25" s="11">
        <v>6.9</v>
      </c>
      <c r="N25" s="11"/>
      <c r="O25" s="9">
        <f>Table1[[#This Row],[Updated Limited Exp kWh 250201]]/Table1[[#This Row],[Max Export Capacity (kW)]]</f>
        <v>0.65</v>
      </c>
    </row>
    <row r="26" spans="1:15">
      <c r="A26" t="s">
        <v>27</v>
      </c>
      <c r="B26" t="s">
        <v>26</v>
      </c>
      <c r="C26" t="s">
        <v>25</v>
      </c>
      <c r="D26">
        <v>13.5</v>
      </c>
      <c r="E26" t="s">
        <v>24</v>
      </c>
      <c r="F26" s="14">
        <v>10</v>
      </c>
      <c r="G26" s="8">
        <v>8</v>
      </c>
      <c r="H26" s="13">
        <f>Table1[[#This Row],[Current Limited Exp kWh]]/Table1[[#This Row],[Max Export Capacity (kW)]]</f>
        <v>0.8</v>
      </c>
      <c r="I26" s="12">
        <v>8</v>
      </c>
      <c r="J26" s="11">
        <f>Table1[[#This Row],[Max Export Capacity (kW)]]*$O$3</f>
        <v>6.8999999999999995</v>
      </c>
      <c r="K26" s="11">
        <f>ROUND(Table1[[#This Row],[Max Export Capacity (kW)]]*$O$3,1)</f>
        <v>6.9</v>
      </c>
      <c r="L26" s="11">
        <v>6.9</v>
      </c>
      <c r="M26" s="10">
        <v>6.9</v>
      </c>
      <c r="N26" s="10" t="s">
        <v>23</v>
      </c>
      <c r="O26" s="9">
        <f>Table1[[#This Row],[Updated Limited Exp kWh 250201]]/Table1[[#This Row],[Max Export Capacity (kW)]]</f>
        <v>0.69000000000000006</v>
      </c>
    </row>
    <row r="27" spans="1:15">
      <c r="A27" t="s">
        <v>22</v>
      </c>
      <c r="D27">
        <v>14</v>
      </c>
      <c r="F27" s="7"/>
      <c r="G27" s="8"/>
      <c r="H27" s="8"/>
      <c r="I27" s="7"/>
      <c r="J27" s="7">
        <f>Table1[[#This Row],[Max Export Capacity (kW)]]*$O$3</f>
        <v>0</v>
      </c>
      <c r="K27" s="7">
        <f>ROUND(Table1[[#This Row],[Max Export Capacity (kW)]]*$P$3,1)</f>
        <v>0</v>
      </c>
      <c r="L27" s="7">
        <f>ROUND(Table1[[#This Row],[Max Export Capacity (kW)]]*$P$3,1)</f>
        <v>0</v>
      </c>
      <c r="M27" s="7">
        <v>0</v>
      </c>
      <c r="N27" s="7"/>
      <c r="O27" s="7"/>
    </row>
    <row r="28" spans="1:15">
      <c r="D28">
        <f>SUBTOTAL(109,Table1[Battery Allocation (kWh)])</f>
        <v>232</v>
      </c>
      <c r="F28" s="7">
        <f>SUM(Table1[Max Export Capacity (kW)])</f>
        <v>136.6</v>
      </c>
      <c r="G28" s="7">
        <f>SUBTOTAL(109,Table1[Current Limited Exp kWh])</f>
        <v>101.6</v>
      </c>
      <c r="H28" s="7"/>
      <c r="I28" s="6">
        <f>SUM(Table1[Updated Limited Exp kWh 241213])</f>
        <v>91.454000000000008</v>
      </c>
      <c r="J28" s="6">
        <f>SUM(Table1[Updated Limited Exp kWh 241217])</f>
        <v>94.254000000000019</v>
      </c>
      <c r="K28" s="6">
        <f>SUM(Table1[Updated Limited Exp kWh 250128])</f>
        <v>94.800000000000011</v>
      </c>
      <c r="L28" s="6">
        <f>SUM(Table1[Updated Limited Exp kWh 250201])</f>
        <v>89.8</v>
      </c>
      <c r="M28" s="6">
        <f>SUM(Table1[current])</f>
        <v>94.800000000000011</v>
      </c>
      <c r="N28" s="6"/>
    </row>
  </sheetData>
  <phoneticPr fontId="10" type="noConversion"/>
  <conditionalFormatting sqref="I28:N28">
    <cfRule type="cellIs" dxfId="1" priority="1" operator="greaterThan">
      <formula>100</formula>
    </cfRule>
  </conditionalFormatting>
  <pageMargins left="0.7" right="0.7" top="0.75" bottom="0.75" header="0.3" footer="0.3"/>
  <pageSetup paperSize="9" scale="72" orientation="landscape" horizontalDpi="0" verticalDpi="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8242-6A38-754C-BDAE-1BDF081D840C}">
  <dimension ref="A1:O21"/>
  <sheetViews>
    <sheetView zoomScale="138" workbookViewId="0">
      <selection activeCell="F9" sqref="F9"/>
    </sheetView>
  </sheetViews>
  <sheetFormatPr baseColWidth="10" defaultRowHeight="16"/>
  <sheetData>
    <row r="1" spans="1: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5" t="s">
        <v>10</v>
      </c>
      <c r="H1" s="5" t="s">
        <v>11</v>
      </c>
      <c r="I1" s="5" t="s">
        <v>12</v>
      </c>
      <c r="J1" s="1" t="s">
        <v>13</v>
      </c>
      <c r="K1" s="1" t="s">
        <v>14</v>
      </c>
      <c r="L1" s="5" t="s">
        <v>15</v>
      </c>
      <c r="M1" s="1" t="s">
        <v>16</v>
      </c>
    </row>
    <row r="2" spans="1:15">
      <c r="A2" s="1">
        <v>81</v>
      </c>
      <c r="B2" s="2"/>
      <c r="C2" s="1" t="s">
        <v>93</v>
      </c>
      <c r="D2" s="1">
        <v>20</v>
      </c>
      <c r="E2" s="1">
        <f>SUM(E3:E21)</f>
        <v>112.8</v>
      </c>
      <c r="F2" s="1">
        <f>SUM(F3:F21)</f>
        <v>96.400000000000034</v>
      </c>
      <c r="G2" s="1">
        <v>141.85</v>
      </c>
      <c r="H2" s="2"/>
      <c r="I2" s="2"/>
      <c r="J2" s="2"/>
      <c r="K2" s="2"/>
      <c r="L2" s="1">
        <v>15</v>
      </c>
      <c r="M2" s="1">
        <v>109.6</v>
      </c>
      <c r="O2" s="25">
        <v>0.84</v>
      </c>
    </row>
    <row r="3" spans="1:15">
      <c r="A3" s="2">
        <v>82</v>
      </c>
      <c r="B3" s="1" t="s">
        <v>94</v>
      </c>
      <c r="C3" s="1">
        <v>1</v>
      </c>
      <c r="D3" s="2"/>
      <c r="E3" s="1">
        <v>8.1999999999999993</v>
      </c>
      <c r="F3" s="1">
        <f>ROUND($O$2*E3,1)</f>
        <v>6.9</v>
      </c>
      <c r="G3" s="1">
        <v>10.88</v>
      </c>
      <c r="H3" s="2"/>
      <c r="I3" s="4">
        <v>44748</v>
      </c>
      <c r="J3" s="4">
        <v>44336</v>
      </c>
      <c r="K3" s="4">
        <v>44979</v>
      </c>
      <c r="L3" s="1">
        <v>1</v>
      </c>
      <c r="M3" s="1">
        <v>8.1999999999999993</v>
      </c>
      <c r="O3" s="25">
        <f>IFERROR(F3/E3,0)</f>
        <v>0.84146341463414642</v>
      </c>
    </row>
    <row r="4" spans="1:15">
      <c r="A4" s="2">
        <v>83</v>
      </c>
      <c r="B4" s="1" t="s">
        <v>94</v>
      </c>
      <c r="C4" s="1">
        <v>2</v>
      </c>
      <c r="D4" s="2"/>
      <c r="E4" s="1">
        <v>5</v>
      </c>
      <c r="F4" s="1">
        <f t="shared" ref="F4:F21" si="0">ROUND($O$2*E4,1)</f>
        <v>4.2</v>
      </c>
      <c r="G4" s="1">
        <v>6.64</v>
      </c>
      <c r="H4" s="2"/>
      <c r="I4" s="4">
        <v>44967</v>
      </c>
      <c r="J4" s="4">
        <v>44330</v>
      </c>
      <c r="K4" s="4">
        <v>45057</v>
      </c>
      <c r="L4" s="1">
        <v>1</v>
      </c>
      <c r="M4" s="1">
        <v>5</v>
      </c>
      <c r="O4" s="25">
        <f t="shared" ref="O4:O21" si="1">IFERROR(F4/E4,0)</f>
        <v>0.84000000000000008</v>
      </c>
    </row>
    <row r="5" spans="1:15">
      <c r="A5" s="2">
        <v>84</v>
      </c>
      <c r="B5" s="1" t="s">
        <v>94</v>
      </c>
      <c r="C5" s="22" t="s">
        <v>95</v>
      </c>
      <c r="D5" s="2"/>
      <c r="E5" s="1">
        <v>8.1999999999999993</v>
      </c>
      <c r="F5" s="1">
        <f t="shared" si="0"/>
        <v>6.9</v>
      </c>
      <c r="G5" s="1">
        <v>0</v>
      </c>
      <c r="H5" s="2"/>
      <c r="I5" s="2"/>
      <c r="J5" s="4">
        <v>44539</v>
      </c>
      <c r="K5" s="4">
        <v>45322</v>
      </c>
      <c r="L5" s="1">
        <v>1</v>
      </c>
      <c r="M5" s="1">
        <v>5</v>
      </c>
      <c r="O5" s="25">
        <f t="shared" si="1"/>
        <v>0.84146341463414642</v>
      </c>
    </row>
    <row r="6" spans="1:15">
      <c r="A6" s="1">
        <v>85</v>
      </c>
      <c r="B6" s="1" t="s">
        <v>94</v>
      </c>
      <c r="C6" s="22" t="s">
        <v>96</v>
      </c>
      <c r="D6" s="2"/>
      <c r="E6" s="1">
        <v>5</v>
      </c>
      <c r="F6" s="1">
        <f t="shared" si="0"/>
        <v>4.2</v>
      </c>
      <c r="G6" s="1">
        <v>0</v>
      </c>
      <c r="H6" s="2"/>
      <c r="I6" s="2"/>
      <c r="J6" s="4">
        <v>44570</v>
      </c>
      <c r="K6" s="4">
        <v>45324</v>
      </c>
      <c r="L6" s="1">
        <v>1</v>
      </c>
      <c r="M6" s="1">
        <v>5</v>
      </c>
      <c r="O6" s="25">
        <f t="shared" si="1"/>
        <v>0.84000000000000008</v>
      </c>
    </row>
    <row r="7" spans="1:15">
      <c r="A7" s="2">
        <v>86</v>
      </c>
      <c r="B7" s="1" t="s">
        <v>94</v>
      </c>
      <c r="C7" s="1" t="s">
        <v>97</v>
      </c>
      <c r="D7" s="2"/>
      <c r="E7" s="1">
        <v>8.1999999999999993</v>
      </c>
      <c r="F7" s="1">
        <f t="shared" si="0"/>
        <v>6.9</v>
      </c>
      <c r="G7" s="1">
        <v>10.88</v>
      </c>
      <c r="H7" s="2"/>
      <c r="I7" s="4">
        <v>44755</v>
      </c>
      <c r="J7" s="4">
        <v>44364</v>
      </c>
      <c r="K7" s="4">
        <v>45075</v>
      </c>
      <c r="L7" s="1">
        <v>1</v>
      </c>
      <c r="M7" s="1">
        <v>8.1999999999999993</v>
      </c>
      <c r="O7" s="25">
        <f t="shared" si="1"/>
        <v>0.84146341463414642</v>
      </c>
    </row>
    <row r="8" spans="1:15">
      <c r="A8" s="2">
        <v>87</v>
      </c>
      <c r="B8" s="1" t="s">
        <v>94</v>
      </c>
      <c r="C8" s="1">
        <v>6</v>
      </c>
      <c r="D8" s="2"/>
      <c r="E8" s="1">
        <v>10</v>
      </c>
      <c r="F8" s="1">
        <v>10</v>
      </c>
      <c r="G8" s="1">
        <v>12.45</v>
      </c>
      <c r="H8" s="2"/>
      <c r="I8" s="4">
        <v>45215</v>
      </c>
      <c r="J8" s="4">
        <v>44746</v>
      </c>
      <c r="K8" s="4">
        <v>45229</v>
      </c>
      <c r="L8" s="1">
        <v>1</v>
      </c>
      <c r="M8" s="1">
        <v>10</v>
      </c>
      <c r="O8" s="25">
        <f t="shared" si="1"/>
        <v>1</v>
      </c>
    </row>
    <row r="9" spans="1:15">
      <c r="A9" s="2">
        <v>88</v>
      </c>
      <c r="B9" s="1" t="s">
        <v>94</v>
      </c>
      <c r="C9" s="1" t="s">
        <v>98</v>
      </c>
      <c r="D9" s="2"/>
      <c r="E9" s="1">
        <v>0</v>
      </c>
      <c r="F9" s="1">
        <f t="shared" si="0"/>
        <v>0</v>
      </c>
      <c r="G9" s="1">
        <v>13.28</v>
      </c>
      <c r="H9" s="2"/>
      <c r="I9" s="4">
        <v>45226</v>
      </c>
      <c r="J9" s="4">
        <v>44547</v>
      </c>
      <c r="K9" s="2"/>
      <c r="L9" s="2"/>
      <c r="M9" s="1">
        <v>15</v>
      </c>
      <c r="O9" s="25">
        <f t="shared" si="1"/>
        <v>0</v>
      </c>
    </row>
    <row r="10" spans="1:15">
      <c r="A10" s="1">
        <v>89</v>
      </c>
      <c r="B10" s="1" t="s">
        <v>94</v>
      </c>
      <c r="C10" s="1">
        <v>8</v>
      </c>
      <c r="D10" s="2"/>
      <c r="E10" s="1">
        <v>10</v>
      </c>
      <c r="F10" s="1">
        <f t="shared" si="0"/>
        <v>8.4</v>
      </c>
      <c r="G10" s="1">
        <v>12.8</v>
      </c>
      <c r="H10" s="2"/>
      <c r="I10" s="4">
        <v>44740</v>
      </c>
      <c r="J10" s="4">
        <v>44354</v>
      </c>
      <c r="K10" s="4">
        <v>45321</v>
      </c>
      <c r="L10" s="1">
        <v>1</v>
      </c>
      <c r="M10" s="1">
        <v>10</v>
      </c>
      <c r="O10" s="25">
        <f t="shared" si="1"/>
        <v>0.84000000000000008</v>
      </c>
    </row>
    <row r="11" spans="1:15">
      <c r="A11" s="2">
        <v>90</v>
      </c>
      <c r="B11" s="1" t="s">
        <v>94</v>
      </c>
      <c r="C11" s="1">
        <v>9</v>
      </c>
      <c r="D11" s="1">
        <v>15</v>
      </c>
      <c r="E11" s="2"/>
      <c r="F11" s="1">
        <f t="shared" si="0"/>
        <v>0</v>
      </c>
      <c r="G11" s="2"/>
      <c r="H11" s="2"/>
      <c r="I11" s="2"/>
      <c r="J11" s="4">
        <v>45533</v>
      </c>
      <c r="K11" s="2"/>
      <c r="L11" s="2"/>
      <c r="M11" s="2"/>
      <c r="O11" s="25">
        <f t="shared" si="1"/>
        <v>0</v>
      </c>
    </row>
    <row r="12" spans="1:15">
      <c r="A12" s="2">
        <v>91</v>
      </c>
      <c r="B12" s="1" t="s">
        <v>94</v>
      </c>
      <c r="C12" s="1">
        <v>10</v>
      </c>
      <c r="D12" s="2"/>
      <c r="E12" s="1">
        <v>5</v>
      </c>
      <c r="F12" s="1">
        <f t="shared" si="0"/>
        <v>4.2</v>
      </c>
      <c r="G12" s="1">
        <v>6.64</v>
      </c>
      <c r="H12" s="2"/>
      <c r="I12" s="4">
        <v>44894</v>
      </c>
      <c r="J12" s="4">
        <v>44330</v>
      </c>
      <c r="K12" s="4">
        <v>45173</v>
      </c>
      <c r="L12" s="1">
        <v>1</v>
      </c>
      <c r="M12" s="1">
        <v>5</v>
      </c>
      <c r="O12" s="25">
        <f t="shared" si="1"/>
        <v>0.84000000000000008</v>
      </c>
    </row>
    <row r="13" spans="1:15">
      <c r="A13" s="2">
        <v>92</v>
      </c>
      <c r="B13" s="1" t="s">
        <v>94</v>
      </c>
      <c r="C13" s="1">
        <v>11</v>
      </c>
      <c r="D13" s="1">
        <v>5</v>
      </c>
      <c r="E13" s="2"/>
      <c r="F13" s="1">
        <f t="shared" si="0"/>
        <v>0</v>
      </c>
      <c r="G13" s="2"/>
      <c r="H13" s="2"/>
      <c r="I13" s="2"/>
      <c r="J13" s="4">
        <v>45439</v>
      </c>
      <c r="K13" s="2"/>
      <c r="L13" s="2"/>
      <c r="M13" s="2"/>
      <c r="O13" s="25">
        <f t="shared" si="1"/>
        <v>0</v>
      </c>
    </row>
    <row r="14" spans="1:15">
      <c r="A14" s="1">
        <v>93</v>
      </c>
      <c r="B14" s="1" t="s">
        <v>94</v>
      </c>
      <c r="C14" s="1">
        <v>12</v>
      </c>
      <c r="D14" s="2"/>
      <c r="E14" s="1">
        <v>5</v>
      </c>
      <c r="F14" s="1">
        <f t="shared" si="0"/>
        <v>4.2</v>
      </c>
      <c r="G14" s="1">
        <v>6.64</v>
      </c>
      <c r="H14" s="2"/>
      <c r="I14" s="4">
        <v>45216</v>
      </c>
      <c r="J14" s="3">
        <v>44659</v>
      </c>
      <c r="K14" s="4">
        <v>45324</v>
      </c>
      <c r="L14" s="1">
        <v>1</v>
      </c>
      <c r="M14" s="2"/>
      <c r="O14" s="25">
        <f t="shared" si="1"/>
        <v>0.84000000000000008</v>
      </c>
    </row>
    <row r="15" spans="1:15">
      <c r="A15" s="2">
        <v>94</v>
      </c>
      <c r="B15" s="1" t="s">
        <v>94</v>
      </c>
      <c r="C15" s="1">
        <v>13</v>
      </c>
      <c r="D15" s="2"/>
      <c r="E15" s="1">
        <v>5</v>
      </c>
      <c r="F15" s="1">
        <f t="shared" si="0"/>
        <v>4.2</v>
      </c>
      <c r="G15" s="1">
        <v>6.4</v>
      </c>
      <c r="H15" s="2"/>
      <c r="I15" s="4">
        <v>44901</v>
      </c>
      <c r="J15" s="3">
        <v>44414</v>
      </c>
      <c r="K15" s="4">
        <v>45329</v>
      </c>
      <c r="L15" s="1">
        <v>1</v>
      </c>
      <c r="M15" s="1">
        <v>5</v>
      </c>
      <c r="O15" s="25">
        <f t="shared" si="1"/>
        <v>0.84000000000000008</v>
      </c>
    </row>
    <row r="16" spans="1:15">
      <c r="A16" s="2">
        <v>95</v>
      </c>
      <c r="B16" s="1" t="s">
        <v>94</v>
      </c>
      <c r="C16" s="1">
        <v>14</v>
      </c>
      <c r="D16" s="2"/>
      <c r="E16" s="1">
        <v>5</v>
      </c>
      <c r="F16" s="1">
        <f t="shared" si="0"/>
        <v>4.2</v>
      </c>
      <c r="G16" s="1">
        <v>6.4</v>
      </c>
      <c r="H16" s="2"/>
      <c r="I16" s="4">
        <v>44897</v>
      </c>
      <c r="J16" s="3">
        <v>44412</v>
      </c>
      <c r="K16" s="4">
        <v>45075</v>
      </c>
      <c r="L16" s="1">
        <v>1</v>
      </c>
      <c r="M16" s="1">
        <v>5</v>
      </c>
      <c r="O16" s="25">
        <f t="shared" si="1"/>
        <v>0.84000000000000008</v>
      </c>
    </row>
    <row r="17" spans="1:15">
      <c r="A17" s="2">
        <v>96</v>
      </c>
      <c r="B17" s="1" t="s">
        <v>94</v>
      </c>
      <c r="C17" s="1">
        <v>15</v>
      </c>
      <c r="D17" s="2"/>
      <c r="E17" s="1">
        <v>8.1999999999999993</v>
      </c>
      <c r="F17" s="1">
        <f t="shared" si="0"/>
        <v>6.9</v>
      </c>
      <c r="G17" s="1">
        <v>9.9600000000000009</v>
      </c>
      <c r="H17" s="2"/>
      <c r="I17" s="4">
        <v>45217</v>
      </c>
      <c r="J17" s="3">
        <v>44393</v>
      </c>
      <c r="K17" s="4">
        <v>45229</v>
      </c>
      <c r="L17" s="1">
        <v>1</v>
      </c>
      <c r="M17" s="1">
        <v>8.1999999999999993</v>
      </c>
      <c r="O17" s="25">
        <f t="shared" si="1"/>
        <v>0.84146341463414642</v>
      </c>
    </row>
    <row r="18" spans="1:15">
      <c r="A18" s="1">
        <v>97</v>
      </c>
      <c r="B18" s="1" t="s">
        <v>94</v>
      </c>
      <c r="C18" s="1">
        <v>16</v>
      </c>
      <c r="D18" s="2"/>
      <c r="E18" s="1">
        <v>10</v>
      </c>
      <c r="F18" s="1">
        <f t="shared" si="0"/>
        <v>8.4</v>
      </c>
      <c r="G18" s="1">
        <v>13.28</v>
      </c>
      <c r="H18" s="2"/>
      <c r="I18" s="4">
        <v>45180</v>
      </c>
      <c r="J18" s="3">
        <v>44393</v>
      </c>
      <c r="K18" s="4">
        <v>45209</v>
      </c>
      <c r="L18" s="1">
        <v>1</v>
      </c>
      <c r="M18" s="1">
        <v>10</v>
      </c>
      <c r="O18" s="25">
        <f t="shared" si="1"/>
        <v>0.84000000000000008</v>
      </c>
    </row>
    <row r="19" spans="1:15">
      <c r="A19" s="2">
        <v>98</v>
      </c>
      <c r="B19" s="1" t="s">
        <v>94</v>
      </c>
      <c r="C19" s="1">
        <v>17</v>
      </c>
      <c r="D19" s="2"/>
      <c r="E19" s="2"/>
      <c r="F19" s="1">
        <f t="shared" si="0"/>
        <v>0</v>
      </c>
      <c r="G19" s="2"/>
      <c r="H19" s="2"/>
      <c r="I19" s="2"/>
      <c r="J19" s="3">
        <v>45265</v>
      </c>
      <c r="K19" s="2"/>
      <c r="L19" s="2"/>
      <c r="M19" s="2"/>
      <c r="O19" s="25">
        <f t="shared" si="1"/>
        <v>0</v>
      </c>
    </row>
    <row r="20" spans="1:15">
      <c r="A20" s="2">
        <v>99</v>
      </c>
      <c r="B20" s="1" t="s">
        <v>94</v>
      </c>
      <c r="C20" s="1" t="s">
        <v>99</v>
      </c>
      <c r="D20" s="2"/>
      <c r="E20" s="1">
        <v>10</v>
      </c>
      <c r="F20" s="1">
        <f t="shared" si="0"/>
        <v>8.4</v>
      </c>
      <c r="G20" s="1">
        <v>12.32</v>
      </c>
      <c r="H20" s="2"/>
      <c r="I20" s="4">
        <v>45489</v>
      </c>
      <c r="J20" s="3">
        <v>44659</v>
      </c>
      <c r="K20" s="4">
        <v>45490</v>
      </c>
      <c r="L20" s="1">
        <v>1</v>
      </c>
      <c r="M20" s="2"/>
      <c r="O20" s="25">
        <f t="shared" si="1"/>
        <v>0.84000000000000008</v>
      </c>
    </row>
    <row r="21" spans="1:15">
      <c r="A21" s="2">
        <v>100</v>
      </c>
      <c r="B21" s="1" t="s">
        <v>94</v>
      </c>
      <c r="C21" s="1">
        <v>19</v>
      </c>
      <c r="D21" s="2"/>
      <c r="E21" s="1">
        <v>10</v>
      </c>
      <c r="F21" s="1">
        <f t="shared" si="0"/>
        <v>8.4</v>
      </c>
      <c r="G21" s="1">
        <v>13.28</v>
      </c>
      <c r="H21" s="2"/>
      <c r="I21" s="4">
        <v>44988</v>
      </c>
      <c r="J21" s="4">
        <v>44622</v>
      </c>
      <c r="K21" s="4">
        <v>45057</v>
      </c>
      <c r="L21" s="1">
        <v>1</v>
      </c>
      <c r="M21" s="1">
        <v>10</v>
      </c>
      <c r="O21" s="25">
        <f t="shared" si="1"/>
        <v>0.84000000000000008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B51C-463E-3947-880E-0D1FA521DBAE}">
  <dimension ref="A1:M26"/>
  <sheetViews>
    <sheetView zoomScale="118" workbookViewId="0">
      <selection activeCell="E27" sqref="E27"/>
    </sheetView>
  </sheetViews>
  <sheetFormatPr baseColWidth="10" defaultRowHeight="16"/>
  <sheetData>
    <row r="1" spans="1:1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5" t="s">
        <v>10</v>
      </c>
      <c r="H1" s="5" t="s">
        <v>11</v>
      </c>
      <c r="I1" s="5" t="s">
        <v>12</v>
      </c>
      <c r="J1" s="1" t="s">
        <v>13</v>
      </c>
      <c r="K1" s="1" t="s">
        <v>14</v>
      </c>
      <c r="L1" s="5" t="s">
        <v>15</v>
      </c>
      <c r="M1" s="1" t="s">
        <v>16</v>
      </c>
    </row>
    <row r="2" spans="1:13">
      <c r="A2" s="1">
        <v>102</v>
      </c>
      <c r="B2" s="2"/>
      <c r="C2" s="1" t="s">
        <v>100</v>
      </c>
      <c r="D2" s="1">
        <v>8.1999999999999993</v>
      </c>
      <c r="E2" s="1">
        <v>74.599999999999994</v>
      </c>
      <c r="F2" s="2"/>
      <c r="G2" s="1">
        <v>91.59</v>
      </c>
      <c r="H2" s="2"/>
      <c r="I2" s="2"/>
      <c r="J2" s="2"/>
      <c r="K2" s="2"/>
      <c r="L2" s="1">
        <v>10</v>
      </c>
      <c r="M2" s="1">
        <v>0</v>
      </c>
    </row>
    <row r="3" spans="1:13">
      <c r="A3" s="2">
        <v>103</v>
      </c>
      <c r="B3" s="1" t="s">
        <v>101</v>
      </c>
      <c r="C3" s="1">
        <v>1</v>
      </c>
      <c r="D3" s="1">
        <v>8.1999999999999993</v>
      </c>
      <c r="E3" s="2"/>
      <c r="F3" s="2"/>
      <c r="G3" s="2"/>
      <c r="H3" s="2"/>
      <c r="I3" s="2"/>
      <c r="J3" s="4">
        <v>45517</v>
      </c>
      <c r="K3" s="2"/>
      <c r="L3" s="2"/>
      <c r="M3" s="2"/>
    </row>
    <row r="4" spans="1:13">
      <c r="A4" s="2">
        <v>104</v>
      </c>
      <c r="B4" s="1" t="s">
        <v>101</v>
      </c>
      <c r="C4" s="1">
        <v>2</v>
      </c>
      <c r="D4" s="2"/>
      <c r="E4" s="1">
        <v>8.1999999999999993</v>
      </c>
      <c r="F4" s="2"/>
      <c r="G4" s="1">
        <v>10.79</v>
      </c>
      <c r="H4" s="2"/>
      <c r="I4" s="4">
        <v>45007</v>
      </c>
      <c r="J4" s="3">
        <v>44746</v>
      </c>
      <c r="K4" s="4">
        <v>45180</v>
      </c>
      <c r="L4" s="1">
        <v>1</v>
      </c>
      <c r="M4" s="2"/>
    </row>
    <row r="5" spans="1:13">
      <c r="A5" s="1">
        <v>105</v>
      </c>
      <c r="B5" s="1" t="s">
        <v>101</v>
      </c>
      <c r="C5" s="1">
        <v>3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>
        <v>106</v>
      </c>
      <c r="B6" s="1" t="s">
        <v>101</v>
      </c>
      <c r="C6" s="1">
        <v>4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>
        <v>107</v>
      </c>
      <c r="B7" s="1" t="s">
        <v>101</v>
      </c>
      <c r="C7" s="1">
        <v>5</v>
      </c>
      <c r="D7" s="2"/>
      <c r="E7" s="1">
        <v>8.1999999999999993</v>
      </c>
      <c r="F7" s="2"/>
      <c r="G7" s="1">
        <v>10.75</v>
      </c>
      <c r="H7" s="2"/>
      <c r="I7" s="4">
        <v>45281</v>
      </c>
      <c r="J7" s="3">
        <v>44809</v>
      </c>
      <c r="K7" s="4">
        <v>45334</v>
      </c>
      <c r="L7" s="1">
        <v>1</v>
      </c>
      <c r="M7" s="2"/>
    </row>
    <row r="8" spans="1:13">
      <c r="A8" s="2">
        <v>108</v>
      </c>
      <c r="B8" s="1" t="s">
        <v>101</v>
      </c>
      <c r="C8" s="1" t="s">
        <v>102</v>
      </c>
      <c r="D8" s="2"/>
      <c r="E8" s="1">
        <v>5</v>
      </c>
      <c r="F8" s="2"/>
      <c r="G8" s="1">
        <v>0</v>
      </c>
      <c r="H8" s="2"/>
      <c r="I8" s="2"/>
      <c r="J8" s="2"/>
      <c r="K8" s="2"/>
      <c r="L8" s="2"/>
      <c r="M8" s="2"/>
    </row>
    <row r="9" spans="1:13">
      <c r="A9" s="1">
        <v>109</v>
      </c>
      <c r="B9" s="1" t="s">
        <v>101</v>
      </c>
      <c r="C9" s="1">
        <v>7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>
        <v>110</v>
      </c>
      <c r="B10" s="1" t="s">
        <v>101</v>
      </c>
      <c r="C10" s="1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>
        <v>111</v>
      </c>
      <c r="B11" s="1" t="s">
        <v>101</v>
      </c>
      <c r="C11" s="1" t="s">
        <v>103</v>
      </c>
      <c r="D11" s="2"/>
      <c r="E11" s="2"/>
      <c r="F11" s="2"/>
      <c r="G11" s="2"/>
      <c r="H11" s="2"/>
      <c r="I11" s="2"/>
      <c r="J11" s="3">
        <v>44971</v>
      </c>
      <c r="K11" s="2"/>
      <c r="L11" s="2"/>
      <c r="M11" s="2"/>
    </row>
    <row r="12" spans="1:13">
      <c r="A12" s="2">
        <v>112</v>
      </c>
      <c r="B12" s="1" t="s">
        <v>101</v>
      </c>
      <c r="C12" s="1">
        <v>10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1">
        <v>113</v>
      </c>
      <c r="B13" s="1" t="s">
        <v>101</v>
      </c>
      <c r="C13" s="1">
        <v>11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>
        <v>114</v>
      </c>
      <c r="B14" s="1" t="s">
        <v>101</v>
      </c>
      <c r="C14" s="1">
        <v>12</v>
      </c>
      <c r="D14" s="2"/>
      <c r="E14" s="1">
        <v>10</v>
      </c>
      <c r="F14" s="2"/>
      <c r="G14" s="1">
        <v>12.86</v>
      </c>
      <c r="H14" s="2"/>
      <c r="I14" s="4">
        <v>45232</v>
      </c>
      <c r="J14" s="3">
        <v>44746</v>
      </c>
      <c r="K14" s="4">
        <v>45260</v>
      </c>
      <c r="L14" s="1">
        <v>1</v>
      </c>
      <c r="M14" s="2"/>
    </row>
    <row r="15" spans="1:13">
      <c r="A15" s="2">
        <v>115</v>
      </c>
      <c r="B15" s="1" t="s">
        <v>101</v>
      </c>
      <c r="C15" s="1">
        <v>13</v>
      </c>
      <c r="D15" s="2"/>
      <c r="E15" s="1">
        <v>8.1999999999999993</v>
      </c>
      <c r="F15" s="2"/>
      <c r="G15" s="1">
        <v>10.79</v>
      </c>
      <c r="H15" s="2"/>
      <c r="I15" s="4">
        <v>45344</v>
      </c>
      <c r="J15" s="3">
        <v>44634</v>
      </c>
      <c r="K15" s="4">
        <v>45357</v>
      </c>
      <c r="L15" s="1">
        <v>1</v>
      </c>
      <c r="M15" s="2"/>
    </row>
    <row r="16" spans="1:13">
      <c r="A16" s="2">
        <v>116</v>
      </c>
      <c r="B16" s="1" t="s">
        <v>101</v>
      </c>
      <c r="C16" s="1">
        <v>14</v>
      </c>
      <c r="D16" s="2"/>
      <c r="E16" s="1">
        <v>5</v>
      </c>
      <c r="F16" s="2"/>
      <c r="G16" s="1">
        <v>6.64</v>
      </c>
      <c r="H16" s="2"/>
      <c r="I16" s="4">
        <v>45278</v>
      </c>
      <c r="J16" s="3">
        <v>44659</v>
      </c>
      <c r="K16" s="4">
        <v>45413</v>
      </c>
      <c r="L16" s="1">
        <v>1</v>
      </c>
      <c r="M16" s="2"/>
    </row>
    <row r="17" spans="1:13">
      <c r="A17" s="1">
        <v>117</v>
      </c>
      <c r="B17" s="1" t="s">
        <v>101</v>
      </c>
      <c r="C17" s="1">
        <v>15</v>
      </c>
      <c r="D17" s="2"/>
      <c r="E17" s="1">
        <v>5</v>
      </c>
      <c r="F17" s="2"/>
      <c r="G17" s="1">
        <v>6.6</v>
      </c>
      <c r="H17" s="2"/>
      <c r="I17" s="4">
        <v>45350</v>
      </c>
      <c r="J17" s="3">
        <v>44963</v>
      </c>
      <c r="K17" s="4">
        <v>45433</v>
      </c>
      <c r="L17" s="1">
        <v>1</v>
      </c>
      <c r="M17" s="2"/>
    </row>
    <row r="18" spans="1:13">
      <c r="A18" s="2">
        <v>118</v>
      </c>
      <c r="B18" s="1" t="s">
        <v>101</v>
      </c>
      <c r="C18" s="1">
        <v>16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>
        <v>119</v>
      </c>
      <c r="B19" s="1" t="s">
        <v>101</v>
      </c>
      <c r="C19" s="1">
        <v>17</v>
      </c>
      <c r="D19" s="2"/>
      <c r="E19" s="1">
        <v>5</v>
      </c>
      <c r="F19" s="2"/>
      <c r="G19" s="1">
        <v>6.64</v>
      </c>
      <c r="H19" s="2"/>
      <c r="I19" s="4">
        <v>45239</v>
      </c>
      <c r="J19" s="3">
        <v>44809</v>
      </c>
      <c r="K19" s="4">
        <v>45344</v>
      </c>
      <c r="L19" s="1">
        <v>1</v>
      </c>
      <c r="M19" s="2"/>
    </row>
    <row r="20" spans="1:13">
      <c r="A20" s="2">
        <v>120</v>
      </c>
      <c r="B20" s="1" t="s">
        <v>101</v>
      </c>
      <c r="C20" s="1">
        <v>18</v>
      </c>
      <c r="D20" s="2"/>
      <c r="E20" s="1">
        <v>5</v>
      </c>
      <c r="F20" s="2"/>
      <c r="G20" s="1">
        <v>6.64</v>
      </c>
      <c r="H20" s="2"/>
      <c r="I20" s="4">
        <v>45244</v>
      </c>
      <c r="J20" s="3">
        <v>44809</v>
      </c>
      <c r="K20" s="4">
        <v>45261</v>
      </c>
      <c r="L20" s="1">
        <v>1</v>
      </c>
      <c r="M20" s="2"/>
    </row>
    <row r="21" spans="1:13">
      <c r="A21" s="1">
        <v>121</v>
      </c>
      <c r="B21" s="1" t="s">
        <v>101</v>
      </c>
      <c r="C21" s="1">
        <v>19</v>
      </c>
      <c r="D21" s="2"/>
      <c r="E21" s="1">
        <v>5</v>
      </c>
      <c r="F21" s="2"/>
      <c r="G21" s="1">
        <v>6.6</v>
      </c>
      <c r="H21" s="2"/>
      <c r="I21" s="4">
        <v>45520</v>
      </c>
      <c r="J21" s="3">
        <v>44701</v>
      </c>
      <c r="K21" s="4">
        <v>45547</v>
      </c>
      <c r="L21" s="1">
        <v>1</v>
      </c>
      <c r="M21" s="2"/>
    </row>
    <row r="22" spans="1:13">
      <c r="A22" s="2">
        <v>122</v>
      </c>
      <c r="B22" s="1" t="s">
        <v>101</v>
      </c>
      <c r="C22" s="1">
        <v>20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>
        <v>123</v>
      </c>
      <c r="B23" s="1" t="s">
        <v>101</v>
      </c>
      <c r="C23" s="1">
        <v>21</v>
      </c>
      <c r="D23" s="2"/>
      <c r="E23" s="1">
        <v>10</v>
      </c>
      <c r="F23" s="2"/>
      <c r="G23" s="1">
        <v>13.28</v>
      </c>
      <c r="H23" s="2"/>
      <c r="I23" s="4">
        <v>44958</v>
      </c>
      <c r="J23" s="3">
        <v>44570</v>
      </c>
      <c r="K23" s="4">
        <v>45180</v>
      </c>
      <c r="L23" s="1">
        <v>1</v>
      </c>
      <c r="M23" s="2"/>
    </row>
    <row r="24" spans="1:13">
      <c r="A24" s="2">
        <v>124</v>
      </c>
      <c r="B24" s="1" t="s">
        <v>101</v>
      </c>
      <c r="C24" s="1">
        <v>22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1">
        <v>125</v>
      </c>
      <c r="B25" s="1" t="s">
        <v>101</v>
      </c>
      <c r="C25" s="1">
        <v>23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>
        <v>126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4A6D-7873-4848-B99E-9153E666FABD}">
  <dimension ref="A1:P26"/>
  <sheetViews>
    <sheetView zoomScale="113" workbookViewId="0">
      <selection activeCell="G16" sqref="G16"/>
    </sheetView>
  </sheetViews>
  <sheetFormatPr baseColWidth="10" defaultRowHeight="16"/>
  <sheetData>
    <row r="1" spans="1:1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5" t="s">
        <v>10</v>
      </c>
      <c r="H1" s="5" t="s">
        <v>11</v>
      </c>
      <c r="I1" s="5" t="s">
        <v>12</v>
      </c>
      <c r="J1" s="1" t="s">
        <v>13</v>
      </c>
      <c r="K1" s="1" t="s">
        <v>14</v>
      </c>
      <c r="L1" s="5" t="s">
        <v>15</v>
      </c>
      <c r="M1" s="1" t="s">
        <v>16</v>
      </c>
      <c r="O1" s="1" t="s">
        <v>105</v>
      </c>
      <c r="P1" s="1" t="s">
        <v>106</v>
      </c>
    </row>
    <row r="2" spans="1:16">
      <c r="A2" s="1">
        <v>127</v>
      </c>
      <c r="B2" s="2"/>
      <c r="C2" s="1" t="s">
        <v>21</v>
      </c>
      <c r="D2" s="1">
        <v>22.5</v>
      </c>
      <c r="E2" s="1">
        <f>SUM(E3:E24)</f>
        <v>113.5</v>
      </c>
      <c r="F2" s="1">
        <f>SUM(F3:F24)</f>
        <v>96.399999999999991</v>
      </c>
      <c r="G2" s="1">
        <v>116.48</v>
      </c>
      <c r="H2" s="2"/>
      <c r="I2" s="2"/>
      <c r="J2" s="2"/>
      <c r="K2" s="2"/>
      <c r="L2" s="1">
        <v>14</v>
      </c>
      <c r="M2" s="1">
        <v>0</v>
      </c>
      <c r="O2" s="25">
        <v>0.81</v>
      </c>
      <c r="P2" s="19">
        <f>F3/E3</f>
        <v>0.80487804878048785</v>
      </c>
    </row>
    <row r="3" spans="1:16">
      <c r="A3" s="2">
        <v>128</v>
      </c>
      <c r="B3" s="1" t="s">
        <v>19</v>
      </c>
      <c r="C3" s="1">
        <v>1</v>
      </c>
      <c r="D3" s="2"/>
      <c r="E3" s="1">
        <v>8.1999999999999993</v>
      </c>
      <c r="F3" s="1">
        <f>ROUND(E3*O3,1)</f>
        <v>6.6</v>
      </c>
      <c r="G3" s="1">
        <v>10.56</v>
      </c>
      <c r="H3" s="2"/>
      <c r="I3" s="4">
        <v>45348</v>
      </c>
      <c r="J3" s="3">
        <v>44326</v>
      </c>
      <c r="K3" s="4">
        <v>45511</v>
      </c>
      <c r="L3" s="1">
        <v>1</v>
      </c>
      <c r="M3" s="2"/>
      <c r="O3" s="25">
        <v>0.81</v>
      </c>
      <c r="P3" s="19">
        <f t="shared" ref="P3:P22" si="0">F4/E4</f>
        <v>0.80487804878048785</v>
      </c>
    </row>
    <row r="4" spans="1:16">
      <c r="A4" s="1">
        <v>129</v>
      </c>
      <c r="B4" s="1" t="s">
        <v>19</v>
      </c>
      <c r="C4" s="1">
        <v>2</v>
      </c>
      <c r="D4" s="2"/>
      <c r="E4" s="1">
        <v>8.1999999999999993</v>
      </c>
      <c r="F4" s="1">
        <f>ROUND(E4*O4,1)</f>
        <v>6.6</v>
      </c>
      <c r="G4" s="1">
        <v>10.79</v>
      </c>
      <c r="H4" s="2"/>
      <c r="I4" s="4">
        <v>45576</v>
      </c>
      <c r="J4" s="3">
        <v>44678</v>
      </c>
      <c r="K4" s="4">
        <v>45336</v>
      </c>
      <c r="L4" s="1">
        <v>1</v>
      </c>
      <c r="M4" s="2"/>
      <c r="O4" s="25">
        <v>0.81</v>
      </c>
      <c r="P4" s="19">
        <f t="shared" si="0"/>
        <v>0.82</v>
      </c>
    </row>
    <row r="5" spans="1:16">
      <c r="A5" s="2">
        <v>130</v>
      </c>
      <c r="B5" s="1" t="s">
        <v>19</v>
      </c>
      <c r="C5" s="1">
        <v>3</v>
      </c>
      <c r="D5" s="2"/>
      <c r="E5" s="1">
        <v>5</v>
      </c>
      <c r="F5" s="1">
        <f t="shared" ref="F5:F23" si="1">ROUND(E5*O5,1)</f>
        <v>4.0999999999999996</v>
      </c>
      <c r="G5" s="1">
        <v>6.64</v>
      </c>
      <c r="H5" s="2"/>
      <c r="I5" s="4">
        <v>44946</v>
      </c>
      <c r="J5" s="3">
        <v>44326</v>
      </c>
      <c r="K5" s="4">
        <v>45390</v>
      </c>
      <c r="L5" s="1">
        <v>1</v>
      </c>
      <c r="M5" s="2"/>
      <c r="O5" s="25">
        <v>0.81</v>
      </c>
      <c r="P5" s="19">
        <f t="shared" si="0"/>
        <v>0.82</v>
      </c>
    </row>
    <row r="6" spans="1:16">
      <c r="A6" s="2">
        <v>131</v>
      </c>
      <c r="B6" s="1" t="s">
        <v>19</v>
      </c>
      <c r="C6" s="1">
        <v>4</v>
      </c>
      <c r="D6" s="1">
        <v>5</v>
      </c>
      <c r="E6" s="2">
        <v>5</v>
      </c>
      <c r="F6" s="1">
        <f t="shared" si="1"/>
        <v>4.0999999999999996</v>
      </c>
      <c r="G6" s="2"/>
      <c r="H6" s="2"/>
      <c r="I6" s="2"/>
      <c r="J6" s="3">
        <v>45468</v>
      </c>
      <c r="K6" s="2"/>
      <c r="L6" s="2"/>
      <c r="M6" s="2"/>
      <c r="O6" s="25">
        <v>0.81</v>
      </c>
      <c r="P6" s="19">
        <f t="shared" si="0"/>
        <v>0.80487804878048785</v>
      </c>
    </row>
    <row r="7" spans="1:16">
      <c r="A7" s="2">
        <v>132</v>
      </c>
      <c r="B7" s="1" t="s">
        <v>19</v>
      </c>
      <c r="C7" s="1">
        <v>5</v>
      </c>
      <c r="D7" s="2"/>
      <c r="E7" s="1">
        <v>8.1999999999999993</v>
      </c>
      <c r="F7" s="1">
        <f t="shared" si="1"/>
        <v>6.6</v>
      </c>
      <c r="G7" s="1">
        <v>10.79</v>
      </c>
      <c r="H7" s="2"/>
      <c r="I7" s="4">
        <v>44914</v>
      </c>
      <c r="J7" s="3">
        <v>44326</v>
      </c>
      <c r="K7" s="4">
        <v>45210</v>
      </c>
      <c r="L7" s="1">
        <v>1</v>
      </c>
      <c r="M7" s="2"/>
      <c r="O7" s="25">
        <v>0.81</v>
      </c>
      <c r="P7" s="19">
        <f t="shared" si="0"/>
        <v>1</v>
      </c>
    </row>
    <row r="8" spans="1:16">
      <c r="A8" s="1">
        <v>133</v>
      </c>
      <c r="B8" s="1" t="s">
        <v>19</v>
      </c>
      <c r="C8" s="1">
        <v>6</v>
      </c>
      <c r="D8" s="2"/>
      <c r="E8" s="1">
        <v>5</v>
      </c>
      <c r="F8" s="23">
        <v>5</v>
      </c>
      <c r="G8" s="1">
        <v>6.57</v>
      </c>
      <c r="H8" s="2"/>
      <c r="I8" s="4">
        <v>45222</v>
      </c>
      <c r="J8" s="3">
        <v>45177</v>
      </c>
      <c r="K8" s="4">
        <v>45413</v>
      </c>
      <c r="L8" s="1">
        <v>1</v>
      </c>
      <c r="M8" s="2"/>
      <c r="O8" s="25">
        <v>0.81</v>
      </c>
      <c r="P8" s="19">
        <f t="shared" si="0"/>
        <v>0.82</v>
      </c>
    </row>
    <row r="9" spans="1:16">
      <c r="A9" s="2">
        <v>134</v>
      </c>
      <c r="B9" s="1" t="s">
        <v>19</v>
      </c>
      <c r="C9" s="1">
        <v>7</v>
      </c>
      <c r="D9" s="2"/>
      <c r="E9" s="1">
        <v>5</v>
      </c>
      <c r="F9" s="1">
        <f t="shared" si="1"/>
        <v>4.0999999999999996</v>
      </c>
      <c r="G9" s="1">
        <v>6.4</v>
      </c>
      <c r="H9" s="2"/>
      <c r="I9" s="4">
        <v>44806</v>
      </c>
      <c r="J9" s="3">
        <v>44326</v>
      </c>
      <c r="K9" s="4">
        <v>45054</v>
      </c>
      <c r="L9" s="1">
        <v>1</v>
      </c>
      <c r="M9" s="2"/>
      <c r="O9" s="25">
        <v>0.81</v>
      </c>
      <c r="P9" s="19">
        <f t="shared" si="0"/>
        <v>0.82</v>
      </c>
    </row>
    <row r="10" spans="1:16">
      <c r="A10" s="2">
        <v>135</v>
      </c>
      <c r="B10" s="1" t="s">
        <v>19</v>
      </c>
      <c r="C10" s="1">
        <v>8</v>
      </c>
      <c r="D10" s="2"/>
      <c r="E10" s="1">
        <v>5</v>
      </c>
      <c r="F10" s="1">
        <f t="shared" si="1"/>
        <v>4.0999999999999996</v>
      </c>
      <c r="G10" s="1">
        <v>6.16</v>
      </c>
      <c r="H10" s="2"/>
      <c r="I10" s="4">
        <v>45447</v>
      </c>
      <c r="J10" s="3">
        <v>44809</v>
      </c>
      <c r="K10" s="4">
        <v>45054</v>
      </c>
      <c r="L10" s="1">
        <v>1</v>
      </c>
      <c r="M10" s="2"/>
      <c r="O10" s="25">
        <v>0.81</v>
      </c>
      <c r="P10" s="19">
        <f t="shared" si="0"/>
        <v>0.80487804878048785</v>
      </c>
    </row>
    <row r="11" spans="1:16">
      <c r="A11" s="2">
        <v>136</v>
      </c>
      <c r="B11" s="1" t="s">
        <v>19</v>
      </c>
      <c r="C11" s="1">
        <v>9</v>
      </c>
      <c r="D11" s="2"/>
      <c r="E11" s="1">
        <v>8.1999999999999993</v>
      </c>
      <c r="F11" s="1">
        <f t="shared" si="1"/>
        <v>6.6</v>
      </c>
      <c r="G11" s="1">
        <v>9.89</v>
      </c>
      <c r="H11" s="2"/>
      <c r="I11" s="4">
        <v>45266</v>
      </c>
      <c r="J11" s="3">
        <v>44809</v>
      </c>
      <c r="K11" s="4">
        <v>45337</v>
      </c>
      <c r="L11" s="1">
        <v>1</v>
      </c>
      <c r="M11" s="2"/>
      <c r="O11" s="25">
        <v>0.81</v>
      </c>
      <c r="P11" s="19">
        <f t="shared" si="0"/>
        <v>0.80487804878048785</v>
      </c>
    </row>
    <row r="12" spans="1:16">
      <c r="A12" s="1">
        <v>137</v>
      </c>
      <c r="B12" s="1" t="s">
        <v>19</v>
      </c>
      <c r="C12" s="1" t="s">
        <v>20</v>
      </c>
      <c r="D12" s="2"/>
      <c r="E12" s="1">
        <v>8.1999999999999993</v>
      </c>
      <c r="F12" s="1">
        <f t="shared" si="1"/>
        <v>6.6</v>
      </c>
      <c r="G12" s="2"/>
      <c r="H12" s="2"/>
      <c r="I12" s="2"/>
      <c r="J12" s="3">
        <v>44987</v>
      </c>
      <c r="K12" s="4">
        <v>45376</v>
      </c>
      <c r="L12" s="1">
        <v>1</v>
      </c>
      <c r="M12" s="2"/>
      <c r="O12" s="25">
        <v>0.81</v>
      </c>
      <c r="P12" s="19"/>
    </row>
    <row r="13" spans="1:16">
      <c r="A13" s="2">
        <v>138</v>
      </c>
      <c r="B13" s="1" t="s">
        <v>19</v>
      </c>
      <c r="C13" s="1">
        <v>11</v>
      </c>
      <c r="D13" s="2"/>
      <c r="E13" s="2"/>
      <c r="F13" s="1">
        <f t="shared" si="1"/>
        <v>0</v>
      </c>
      <c r="G13" s="2"/>
      <c r="H13" s="2"/>
      <c r="I13" s="2"/>
      <c r="J13" s="2"/>
      <c r="K13" s="2"/>
      <c r="L13" s="2"/>
      <c r="M13" s="2"/>
      <c r="O13" s="25">
        <v>0.81</v>
      </c>
      <c r="P13" s="19">
        <f t="shared" si="0"/>
        <v>0.82</v>
      </c>
    </row>
    <row r="14" spans="1:16">
      <c r="A14" s="2">
        <v>139</v>
      </c>
      <c r="B14" s="1" t="s">
        <v>19</v>
      </c>
      <c r="C14" s="1">
        <v>12</v>
      </c>
      <c r="D14" s="2"/>
      <c r="E14" s="1">
        <v>5</v>
      </c>
      <c r="F14" s="1">
        <f t="shared" si="1"/>
        <v>4.0999999999999996</v>
      </c>
      <c r="G14" s="1">
        <v>6.6</v>
      </c>
      <c r="H14" s="2"/>
      <c r="I14" s="4">
        <v>45553</v>
      </c>
      <c r="J14" s="3">
        <v>45356</v>
      </c>
      <c r="K14" s="2"/>
      <c r="L14" s="2"/>
      <c r="M14" s="2"/>
      <c r="O14" s="25">
        <v>0.81</v>
      </c>
      <c r="P14" s="19">
        <f t="shared" si="0"/>
        <v>1</v>
      </c>
    </row>
    <row r="15" spans="1:16">
      <c r="A15" s="2">
        <v>140</v>
      </c>
      <c r="B15" s="1" t="s">
        <v>19</v>
      </c>
      <c r="C15" s="1">
        <v>13</v>
      </c>
      <c r="D15" s="1">
        <v>5</v>
      </c>
      <c r="E15" s="1">
        <v>5</v>
      </c>
      <c r="F15" s="23">
        <v>5</v>
      </c>
      <c r="G15" s="1">
        <v>6.6</v>
      </c>
      <c r="H15" s="2"/>
      <c r="I15" s="4">
        <v>45663</v>
      </c>
      <c r="J15" s="3">
        <v>45560</v>
      </c>
      <c r="K15" s="4">
        <v>45673</v>
      </c>
      <c r="L15" s="1">
        <v>1</v>
      </c>
      <c r="M15" s="2"/>
      <c r="O15" s="25">
        <v>0.81</v>
      </c>
      <c r="P15" s="19"/>
    </row>
    <row r="16" spans="1:16">
      <c r="A16" s="1">
        <v>141</v>
      </c>
      <c r="B16" s="1" t="s">
        <v>19</v>
      </c>
      <c r="C16" s="1">
        <v>14</v>
      </c>
      <c r="D16" s="2"/>
      <c r="E16" s="2"/>
      <c r="F16" s="1">
        <f t="shared" si="1"/>
        <v>0</v>
      </c>
      <c r="G16" s="2"/>
      <c r="H16" s="2"/>
      <c r="I16" s="2"/>
      <c r="J16" s="2"/>
      <c r="K16" s="2"/>
      <c r="L16" s="2"/>
      <c r="M16" s="2"/>
      <c r="O16" s="25">
        <v>0.81</v>
      </c>
      <c r="P16" s="19">
        <f t="shared" si="0"/>
        <v>0.82</v>
      </c>
    </row>
    <row r="17" spans="1:16">
      <c r="A17" s="2">
        <v>142</v>
      </c>
      <c r="B17" s="1" t="s">
        <v>19</v>
      </c>
      <c r="C17" s="1">
        <v>15</v>
      </c>
      <c r="D17" s="2"/>
      <c r="E17" s="1">
        <v>5</v>
      </c>
      <c r="F17" s="1">
        <f t="shared" si="1"/>
        <v>4.0999999999999996</v>
      </c>
      <c r="G17" s="1">
        <v>6.6</v>
      </c>
      <c r="H17" s="2"/>
      <c r="I17" s="4">
        <v>45434</v>
      </c>
      <c r="J17" s="3">
        <v>44945</v>
      </c>
      <c r="K17" s="4">
        <v>45551</v>
      </c>
      <c r="L17" s="1">
        <v>1</v>
      </c>
      <c r="M17" s="2"/>
      <c r="O17" s="25">
        <v>0.81</v>
      </c>
      <c r="P17" s="19">
        <f t="shared" si="0"/>
        <v>0.82</v>
      </c>
    </row>
    <row r="18" spans="1:16">
      <c r="A18" s="2">
        <v>143</v>
      </c>
      <c r="B18" s="1" t="s">
        <v>19</v>
      </c>
      <c r="C18" s="1">
        <v>16</v>
      </c>
      <c r="D18" s="2"/>
      <c r="E18" s="1">
        <v>5</v>
      </c>
      <c r="F18" s="1">
        <f t="shared" si="1"/>
        <v>4.0999999999999996</v>
      </c>
      <c r="G18" s="1">
        <v>6.4</v>
      </c>
      <c r="H18" s="2"/>
      <c r="I18" s="4">
        <v>44805</v>
      </c>
      <c r="J18" s="3">
        <v>44622</v>
      </c>
      <c r="K18" s="4">
        <v>45119</v>
      </c>
      <c r="L18" s="1">
        <v>1</v>
      </c>
      <c r="M18" s="2"/>
      <c r="O18" s="25">
        <v>0.81</v>
      </c>
      <c r="P18" s="19">
        <f t="shared" si="0"/>
        <v>0.82</v>
      </c>
    </row>
    <row r="19" spans="1:16">
      <c r="A19" s="2">
        <v>144</v>
      </c>
      <c r="B19" s="1" t="s">
        <v>19</v>
      </c>
      <c r="C19" s="1">
        <v>17</v>
      </c>
      <c r="D19" s="2"/>
      <c r="E19" s="1">
        <v>5</v>
      </c>
      <c r="F19" s="1">
        <f t="shared" si="1"/>
        <v>4.0999999999999996</v>
      </c>
      <c r="G19" s="1">
        <v>6.64</v>
      </c>
      <c r="H19" s="2"/>
      <c r="I19" s="4">
        <v>45264</v>
      </c>
      <c r="J19" s="3">
        <v>44634</v>
      </c>
      <c r="K19" s="4">
        <v>45336</v>
      </c>
      <c r="L19" s="1">
        <v>1</v>
      </c>
      <c r="M19" s="2"/>
      <c r="O19" s="25">
        <v>0.81</v>
      </c>
      <c r="P19" s="19"/>
    </row>
    <row r="20" spans="1:16">
      <c r="A20" s="1">
        <v>145</v>
      </c>
      <c r="B20" s="1" t="s">
        <v>19</v>
      </c>
      <c r="C20" s="1">
        <v>18</v>
      </c>
      <c r="D20" s="2"/>
      <c r="E20" s="2"/>
      <c r="F20" s="1">
        <f t="shared" si="1"/>
        <v>0</v>
      </c>
      <c r="G20" s="2"/>
      <c r="H20" s="2"/>
      <c r="I20" s="2"/>
      <c r="J20" s="2"/>
      <c r="K20" s="2"/>
      <c r="L20" s="2"/>
      <c r="M20" s="2"/>
      <c r="O20" s="25">
        <v>0.81</v>
      </c>
      <c r="P20" s="19"/>
    </row>
    <row r="21" spans="1:16">
      <c r="A21" s="2">
        <v>146</v>
      </c>
      <c r="B21" s="1" t="s">
        <v>19</v>
      </c>
      <c r="C21" s="1">
        <v>19</v>
      </c>
      <c r="D21" s="2"/>
      <c r="E21" s="2"/>
      <c r="F21" s="1">
        <f t="shared" si="1"/>
        <v>0</v>
      </c>
      <c r="G21" s="2"/>
      <c r="H21" s="2"/>
      <c r="I21" s="2"/>
      <c r="J21" s="3">
        <v>45565</v>
      </c>
      <c r="K21" s="2"/>
      <c r="L21" s="2"/>
      <c r="M21" s="2"/>
      <c r="O21" s="25">
        <v>0.81</v>
      </c>
      <c r="P21" s="19">
        <f t="shared" si="0"/>
        <v>1</v>
      </c>
    </row>
    <row r="22" spans="1:16">
      <c r="A22" s="2">
        <v>147</v>
      </c>
      <c r="B22" s="1" t="s">
        <v>19</v>
      </c>
      <c r="C22" s="1">
        <v>20</v>
      </c>
      <c r="D22" s="1">
        <v>12.5</v>
      </c>
      <c r="E22" s="1">
        <v>12.5</v>
      </c>
      <c r="F22" s="23">
        <v>12.5</v>
      </c>
      <c r="G22" s="1">
        <v>15.84</v>
      </c>
      <c r="H22" s="2"/>
      <c r="I22" s="4">
        <v>45673</v>
      </c>
      <c r="J22" s="3">
        <v>44853</v>
      </c>
      <c r="K22" s="2"/>
      <c r="L22" s="2"/>
      <c r="M22" s="2"/>
      <c r="O22" s="25">
        <v>0.81</v>
      </c>
      <c r="P22" s="19">
        <f t="shared" si="0"/>
        <v>0.80999999999999994</v>
      </c>
    </row>
    <row r="23" spans="1:16">
      <c r="A23" s="2">
        <v>148</v>
      </c>
      <c r="B23" s="1" t="s">
        <v>19</v>
      </c>
      <c r="C23" s="1">
        <v>21</v>
      </c>
      <c r="D23" s="2"/>
      <c r="E23" s="1">
        <v>10</v>
      </c>
      <c r="F23" s="1">
        <f t="shared" si="1"/>
        <v>8.1</v>
      </c>
      <c r="G23" s="2"/>
      <c r="H23" s="2"/>
      <c r="I23" s="4">
        <v>44915</v>
      </c>
      <c r="J23" s="3">
        <v>44474</v>
      </c>
      <c r="K23" s="4">
        <v>45055</v>
      </c>
      <c r="L23" s="1">
        <v>1</v>
      </c>
      <c r="M23" s="2"/>
      <c r="O23" s="25">
        <v>0.81</v>
      </c>
      <c r="P23" s="19"/>
    </row>
    <row r="24" spans="1:16">
      <c r="A24" s="1">
        <v>149</v>
      </c>
      <c r="B24" s="1" t="s">
        <v>19</v>
      </c>
      <c r="C24" s="1">
        <v>22</v>
      </c>
      <c r="D24" s="2"/>
      <c r="E24" s="2"/>
      <c r="F24" s="2"/>
      <c r="G24" s="2"/>
      <c r="H24" s="2"/>
      <c r="I24" s="2"/>
      <c r="J24" s="2"/>
      <c r="K24" s="2"/>
      <c r="L24" s="2"/>
    </row>
    <row r="26" spans="1:16">
      <c r="F26">
        <f>21-4</f>
        <v>17</v>
      </c>
    </row>
  </sheetData>
  <conditionalFormatting sqref="P1:P1048576">
    <cfRule type="aboveAverage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B973-CC27-F240-81E1-49AB63483ECE}">
  <dimension ref="A1:M30"/>
  <sheetViews>
    <sheetView workbookViewId="0">
      <selection activeCell="G36" sqref="G36"/>
    </sheetView>
  </sheetViews>
  <sheetFormatPr baseColWidth="10" defaultRowHeight="16"/>
  <cols>
    <col min="3" max="3" width="9.83203125" customWidth="1"/>
    <col min="5" max="5" width="12.5" customWidth="1"/>
  </cols>
  <sheetData>
    <row r="1" spans="1:1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5" t="s">
        <v>10</v>
      </c>
      <c r="H1" s="5" t="s">
        <v>11</v>
      </c>
      <c r="I1" s="5" t="s">
        <v>12</v>
      </c>
      <c r="J1" s="1" t="s">
        <v>13</v>
      </c>
      <c r="K1" s="1" t="s">
        <v>14</v>
      </c>
      <c r="L1" s="5" t="s">
        <v>15</v>
      </c>
      <c r="M1" s="1" t="s">
        <v>16</v>
      </c>
    </row>
    <row r="2" spans="1:13">
      <c r="A2" s="1">
        <v>151</v>
      </c>
      <c r="B2" s="2"/>
      <c r="C2" s="1" t="s">
        <v>0</v>
      </c>
      <c r="D2" s="1">
        <v>34.6</v>
      </c>
      <c r="E2" s="1">
        <v>56.4</v>
      </c>
      <c r="F2" s="2"/>
      <c r="G2" s="1">
        <v>67.099999999999994</v>
      </c>
      <c r="H2" s="2"/>
      <c r="I2" s="2"/>
      <c r="J2" s="2"/>
      <c r="K2" s="2"/>
      <c r="L2" s="1">
        <v>6</v>
      </c>
    </row>
    <row r="3" spans="1:13">
      <c r="A3" s="2">
        <v>152</v>
      </c>
      <c r="B3" s="1" t="s">
        <v>1</v>
      </c>
      <c r="C3" s="1">
        <v>1</v>
      </c>
      <c r="D3" s="2"/>
      <c r="E3" s="2"/>
      <c r="F3" s="2"/>
      <c r="G3" s="2"/>
      <c r="H3" s="2"/>
      <c r="I3" s="2"/>
      <c r="J3" s="3">
        <v>45349</v>
      </c>
      <c r="K3" s="2"/>
      <c r="L3" s="2"/>
    </row>
    <row r="4" spans="1:13">
      <c r="A4" s="1">
        <v>153</v>
      </c>
      <c r="B4" s="1" t="s">
        <v>1</v>
      </c>
      <c r="C4" s="1">
        <v>2</v>
      </c>
      <c r="D4" s="2"/>
      <c r="E4" s="2"/>
      <c r="F4" s="2"/>
      <c r="G4" s="2"/>
      <c r="H4" s="2"/>
      <c r="I4" s="2"/>
      <c r="J4" s="2"/>
      <c r="K4" s="2"/>
      <c r="L4" s="2"/>
    </row>
    <row r="5" spans="1:13">
      <c r="A5" s="2">
        <v>154</v>
      </c>
      <c r="B5" s="1" t="s">
        <v>1</v>
      </c>
      <c r="C5" s="1">
        <v>3</v>
      </c>
      <c r="D5" s="2"/>
      <c r="E5" s="2"/>
      <c r="F5" s="2"/>
      <c r="G5" s="2"/>
      <c r="H5" s="2"/>
      <c r="I5" s="2"/>
      <c r="J5" s="2"/>
      <c r="K5" s="2"/>
      <c r="L5" s="2"/>
    </row>
    <row r="6" spans="1:13">
      <c r="A6" s="2">
        <v>155</v>
      </c>
      <c r="B6" s="1" t="s">
        <v>1</v>
      </c>
      <c r="C6" s="1">
        <v>4</v>
      </c>
      <c r="D6" s="2"/>
      <c r="E6" s="1">
        <v>5</v>
      </c>
      <c r="F6" s="2"/>
      <c r="G6" s="2"/>
      <c r="H6" s="2"/>
      <c r="I6" s="4">
        <v>45065</v>
      </c>
      <c r="J6" s="3">
        <v>44848</v>
      </c>
      <c r="K6" s="4">
        <v>45156</v>
      </c>
      <c r="L6" s="1">
        <v>1</v>
      </c>
    </row>
    <row r="7" spans="1:13">
      <c r="A7" s="2">
        <v>156</v>
      </c>
      <c r="B7" s="1" t="s">
        <v>1</v>
      </c>
      <c r="C7" s="1">
        <v>5</v>
      </c>
      <c r="D7" s="2"/>
      <c r="E7" s="2"/>
      <c r="F7" s="2"/>
      <c r="G7" s="2"/>
      <c r="H7" s="2"/>
      <c r="I7" s="2"/>
      <c r="J7" s="2"/>
      <c r="K7" s="2"/>
      <c r="L7" s="2"/>
    </row>
    <row r="8" spans="1:13">
      <c r="A8" s="1">
        <v>157</v>
      </c>
      <c r="B8" s="1" t="s">
        <v>1</v>
      </c>
      <c r="C8" s="1">
        <v>6</v>
      </c>
      <c r="D8" s="2"/>
      <c r="E8" s="2"/>
      <c r="F8" s="2"/>
      <c r="G8" s="2"/>
      <c r="H8" s="2"/>
      <c r="I8" s="2"/>
      <c r="J8" s="2"/>
      <c r="K8" s="2"/>
      <c r="L8" s="2"/>
    </row>
    <row r="9" spans="1:13">
      <c r="A9" s="2">
        <v>158</v>
      </c>
      <c r="B9" s="1" t="s">
        <v>1</v>
      </c>
      <c r="C9" s="1">
        <v>7</v>
      </c>
      <c r="D9" s="2"/>
      <c r="E9" s="1">
        <v>5</v>
      </c>
      <c r="F9" s="2"/>
      <c r="G9" s="1">
        <v>6.6</v>
      </c>
      <c r="H9" s="2"/>
      <c r="I9" s="4">
        <v>45337</v>
      </c>
      <c r="J9" s="3">
        <v>44987</v>
      </c>
      <c r="K9" s="4">
        <v>45390</v>
      </c>
      <c r="L9" s="1">
        <v>1</v>
      </c>
    </row>
    <row r="10" spans="1:13">
      <c r="A10" s="2"/>
      <c r="B10" s="1" t="s">
        <v>1</v>
      </c>
      <c r="C10" s="1">
        <v>8</v>
      </c>
      <c r="D10" s="2"/>
      <c r="E10" s="2"/>
      <c r="F10" s="2"/>
      <c r="G10" s="2"/>
      <c r="H10" s="2"/>
      <c r="I10" s="2"/>
      <c r="J10" s="2"/>
      <c r="K10" s="2"/>
      <c r="L10" s="2"/>
    </row>
    <row r="11" spans="1:13">
      <c r="A11" s="2">
        <v>159</v>
      </c>
      <c r="B11" s="1" t="s">
        <v>1</v>
      </c>
      <c r="C11" s="1">
        <v>9</v>
      </c>
      <c r="D11" s="1">
        <v>8.1999999999999993</v>
      </c>
      <c r="E11" s="1">
        <v>8.1999999999999993</v>
      </c>
      <c r="F11" s="2"/>
      <c r="G11" s="1">
        <v>10.56</v>
      </c>
      <c r="H11" s="2"/>
      <c r="I11" s="4">
        <v>45665</v>
      </c>
      <c r="J11" s="3">
        <v>45159</v>
      </c>
      <c r="K11" s="2"/>
      <c r="L11" s="2"/>
    </row>
    <row r="12" spans="1:13">
      <c r="A12" s="2">
        <v>160</v>
      </c>
      <c r="B12" s="1" t="s">
        <v>1</v>
      </c>
      <c r="C12" s="1">
        <v>10</v>
      </c>
      <c r="D12" s="2"/>
      <c r="E12" s="2"/>
      <c r="F12" s="2"/>
      <c r="G12" s="2"/>
      <c r="H12" s="2"/>
      <c r="I12" s="2"/>
      <c r="J12" s="3">
        <v>45363</v>
      </c>
      <c r="K12" s="2"/>
      <c r="L12" s="2"/>
    </row>
    <row r="13" spans="1:13">
      <c r="A13" s="1">
        <v>161</v>
      </c>
      <c r="B13" s="1" t="s">
        <v>1</v>
      </c>
      <c r="C13" s="1">
        <v>11</v>
      </c>
      <c r="D13" s="1">
        <v>8.1999999999999993</v>
      </c>
      <c r="E13" s="2"/>
      <c r="F13" s="2"/>
      <c r="G13" s="2"/>
      <c r="H13" s="2"/>
      <c r="I13" s="2"/>
      <c r="J13" s="3">
        <v>45439</v>
      </c>
      <c r="K13" s="2"/>
      <c r="L13" s="2"/>
    </row>
    <row r="14" spans="1:13">
      <c r="A14" s="2">
        <v>162</v>
      </c>
      <c r="B14" s="1" t="s">
        <v>1</v>
      </c>
      <c r="C14" s="1">
        <v>12</v>
      </c>
      <c r="D14" s="1">
        <v>8.1999999999999993</v>
      </c>
      <c r="E14" s="2"/>
      <c r="F14" s="2"/>
      <c r="G14" s="2"/>
      <c r="H14" s="2"/>
      <c r="I14" s="2"/>
      <c r="J14" s="3">
        <v>45350</v>
      </c>
      <c r="K14" s="2"/>
      <c r="L14" s="2"/>
    </row>
    <row r="15" spans="1:13">
      <c r="A15" s="2">
        <v>163</v>
      </c>
      <c r="B15" s="1" t="s">
        <v>1</v>
      </c>
      <c r="C15" s="1">
        <v>13</v>
      </c>
      <c r="D15" s="2"/>
      <c r="E15" s="2"/>
      <c r="F15" s="2"/>
      <c r="G15" s="2"/>
      <c r="H15" s="2"/>
      <c r="I15" s="2"/>
      <c r="J15" s="2"/>
      <c r="K15" s="2"/>
      <c r="L15" s="2"/>
    </row>
    <row r="16" spans="1:13">
      <c r="A16" s="2">
        <v>164</v>
      </c>
      <c r="B16" s="1" t="s">
        <v>1</v>
      </c>
      <c r="C16" s="1">
        <v>14</v>
      </c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1">
        <v>165</v>
      </c>
      <c r="B17" s="1" t="s">
        <v>1</v>
      </c>
      <c r="C17" s="1" t="s">
        <v>2</v>
      </c>
      <c r="D17" s="1">
        <v>5</v>
      </c>
      <c r="E17" s="2"/>
      <c r="F17" s="2"/>
      <c r="G17" s="2"/>
      <c r="H17" s="2"/>
      <c r="I17" s="2"/>
      <c r="J17" s="3">
        <v>44785</v>
      </c>
      <c r="K17" s="2"/>
      <c r="L17" s="2"/>
    </row>
    <row r="18" spans="1:12">
      <c r="A18" s="2">
        <v>166</v>
      </c>
      <c r="B18" s="1" t="s">
        <v>1</v>
      </c>
      <c r="C18" s="1">
        <v>16</v>
      </c>
      <c r="D18" s="2"/>
      <c r="E18" s="1">
        <v>5</v>
      </c>
      <c r="F18" s="2"/>
      <c r="G18" s="1">
        <v>6.6</v>
      </c>
      <c r="H18" s="2"/>
      <c r="I18" s="4">
        <v>45503</v>
      </c>
      <c r="J18" s="3">
        <v>44832</v>
      </c>
      <c r="K18" s="2"/>
      <c r="L18" s="2"/>
    </row>
    <row r="19" spans="1:12">
      <c r="A19" s="2">
        <v>167</v>
      </c>
      <c r="B19" s="1" t="s">
        <v>1</v>
      </c>
      <c r="C19" s="1">
        <v>17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>
        <v>168</v>
      </c>
      <c r="B20" s="1" t="s">
        <v>1</v>
      </c>
      <c r="C20" s="1" t="s">
        <v>3</v>
      </c>
      <c r="D20" s="2"/>
      <c r="E20" s="2"/>
      <c r="F20" s="2"/>
      <c r="G20" s="2"/>
      <c r="H20" s="2"/>
      <c r="I20" s="2"/>
      <c r="J20" s="3">
        <v>45259</v>
      </c>
      <c r="K20" s="2"/>
      <c r="L20" s="2"/>
    </row>
    <row r="21" spans="1:12">
      <c r="A21" s="1">
        <v>169</v>
      </c>
      <c r="B21" s="1" t="s">
        <v>1</v>
      </c>
      <c r="C21" s="1">
        <v>19</v>
      </c>
      <c r="D21" s="2"/>
      <c r="E21" s="1">
        <v>5</v>
      </c>
      <c r="F21" s="2"/>
      <c r="G21" s="1">
        <v>6.64</v>
      </c>
      <c r="H21" s="2"/>
      <c r="I21" s="4">
        <v>45058</v>
      </c>
      <c r="J21" s="3">
        <v>44832</v>
      </c>
      <c r="K21" s="4">
        <v>45156</v>
      </c>
      <c r="L21" s="1">
        <v>1</v>
      </c>
    </row>
    <row r="22" spans="1:12">
      <c r="A22" s="2">
        <v>170</v>
      </c>
      <c r="B22" s="1" t="s">
        <v>1</v>
      </c>
      <c r="C22" s="1">
        <v>20</v>
      </c>
      <c r="D22" s="1">
        <v>5</v>
      </c>
      <c r="E22" s="2"/>
      <c r="F22" s="2"/>
      <c r="G22" s="2"/>
      <c r="H22" s="2"/>
      <c r="I22" s="2"/>
      <c r="J22" s="3">
        <v>45581</v>
      </c>
      <c r="K22" s="2"/>
      <c r="L22" s="2"/>
    </row>
    <row r="23" spans="1:12">
      <c r="A23" s="2">
        <v>171</v>
      </c>
      <c r="B23" s="1" t="s">
        <v>1</v>
      </c>
      <c r="C23" s="1">
        <v>21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>
        <v>172</v>
      </c>
      <c r="B24" s="1" t="s">
        <v>1</v>
      </c>
      <c r="C24" s="1">
        <v>22</v>
      </c>
      <c r="D24" s="2"/>
      <c r="E24" s="1">
        <v>5</v>
      </c>
      <c r="F24" s="2"/>
      <c r="G24" s="1">
        <v>6.6</v>
      </c>
      <c r="H24" s="2"/>
      <c r="I24" s="4">
        <v>45433</v>
      </c>
      <c r="J24" s="3">
        <v>45159</v>
      </c>
      <c r="K24" s="4">
        <v>45551</v>
      </c>
      <c r="L24" s="1">
        <v>1</v>
      </c>
    </row>
    <row r="25" spans="1:12">
      <c r="A25" s="1">
        <v>173</v>
      </c>
      <c r="B25" s="1" t="s">
        <v>1</v>
      </c>
      <c r="C25" s="1">
        <v>23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>
        <v>174</v>
      </c>
      <c r="B26" s="1" t="s">
        <v>1</v>
      </c>
      <c r="C26" s="1">
        <v>24</v>
      </c>
      <c r="D26" s="2"/>
      <c r="E26" s="1">
        <v>10</v>
      </c>
      <c r="F26" s="2"/>
      <c r="G26" s="1">
        <v>12.9</v>
      </c>
      <c r="H26" s="2"/>
      <c r="I26" s="4">
        <v>45274</v>
      </c>
      <c r="J26" s="3">
        <v>45020</v>
      </c>
      <c r="K26" s="4">
        <v>45337</v>
      </c>
      <c r="L26" s="1">
        <v>1</v>
      </c>
    </row>
    <row r="27" spans="1:12">
      <c r="A27" s="2">
        <v>175</v>
      </c>
      <c r="B27" s="1" t="s">
        <v>1</v>
      </c>
      <c r="C27" s="1">
        <v>25</v>
      </c>
      <c r="D27" s="2"/>
      <c r="E27" s="1">
        <v>5</v>
      </c>
      <c r="F27" s="2"/>
      <c r="G27" s="1">
        <v>6.64</v>
      </c>
      <c r="H27" s="2"/>
      <c r="I27" s="4">
        <v>45211</v>
      </c>
      <c r="J27" s="3">
        <v>44874</v>
      </c>
      <c r="K27" s="4">
        <v>45261</v>
      </c>
      <c r="L27" s="1">
        <v>1</v>
      </c>
    </row>
    <row r="28" spans="1:12">
      <c r="A28" s="2">
        <v>176</v>
      </c>
      <c r="B28" s="1" t="s">
        <v>1</v>
      </c>
      <c r="C28" s="1">
        <v>26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1">
        <v>177</v>
      </c>
      <c r="B29" s="1" t="s">
        <v>1</v>
      </c>
      <c r="C29" s="1">
        <v>27</v>
      </c>
      <c r="D29" s="1">
        <v>8.1999999999999993</v>
      </c>
      <c r="E29" s="1">
        <v>8.1999999999999993</v>
      </c>
      <c r="F29" s="2"/>
      <c r="G29" s="1">
        <v>10.56</v>
      </c>
      <c r="H29" s="2"/>
      <c r="I29" s="4">
        <v>45645</v>
      </c>
      <c r="J29" s="3">
        <v>45468</v>
      </c>
      <c r="K29" s="2"/>
    </row>
    <row r="30" spans="1:12">
      <c r="E30">
        <f>SUM(E3:E29)</f>
        <v>56.400000000000006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28DC-91B5-0348-959E-C2E98870E92C}">
  <dimension ref="A1:M21"/>
  <sheetViews>
    <sheetView workbookViewId="0">
      <selection sqref="A1:M1"/>
    </sheetView>
  </sheetViews>
  <sheetFormatPr baseColWidth="10" defaultRowHeight="16"/>
  <sheetData>
    <row r="1" spans="1:1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5" t="s">
        <v>10</v>
      </c>
      <c r="H1" s="5" t="s">
        <v>11</v>
      </c>
      <c r="I1" s="5" t="s">
        <v>12</v>
      </c>
      <c r="J1" s="1" t="s">
        <v>13</v>
      </c>
      <c r="K1" s="1" t="s">
        <v>14</v>
      </c>
      <c r="L1" s="5" t="s">
        <v>15</v>
      </c>
      <c r="M1" s="1" t="s">
        <v>16</v>
      </c>
    </row>
    <row r="2" spans="1:13">
      <c r="A2" s="1">
        <v>179</v>
      </c>
      <c r="B2" s="2"/>
      <c r="C2" s="1" t="s">
        <v>17</v>
      </c>
      <c r="D2" s="1">
        <v>10</v>
      </c>
      <c r="E2" s="1">
        <v>64.599999999999994</v>
      </c>
      <c r="F2" s="2"/>
      <c r="G2" s="1">
        <v>66.48</v>
      </c>
      <c r="H2" s="2"/>
      <c r="I2" s="2"/>
      <c r="J2" s="2"/>
      <c r="K2" s="2"/>
      <c r="L2" s="1">
        <v>3</v>
      </c>
      <c r="M2" s="1">
        <v>0</v>
      </c>
    </row>
    <row r="3" spans="1:13">
      <c r="A3" s="2">
        <v>180</v>
      </c>
      <c r="B3" s="1" t="s">
        <v>18</v>
      </c>
      <c r="C3" s="1">
        <v>1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">
        <v>181</v>
      </c>
      <c r="B4" s="1" t="s">
        <v>18</v>
      </c>
      <c r="C4" s="1">
        <v>2</v>
      </c>
      <c r="D4" s="2"/>
      <c r="E4" s="1">
        <v>8.1999999999999993</v>
      </c>
      <c r="F4" s="2"/>
      <c r="G4" s="1">
        <v>10.56</v>
      </c>
      <c r="H4" s="2"/>
      <c r="I4" s="4">
        <v>45580</v>
      </c>
      <c r="J4" s="3">
        <v>45035</v>
      </c>
      <c r="K4" s="2"/>
      <c r="L4" s="2"/>
      <c r="M4" s="2"/>
    </row>
    <row r="5" spans="1:13">
      <c r="A5" s="2">
        <v>182</v>
      </c>
      <c r="B5" s="1" t="s">
        <v>18</v>
      </c>
      <c r="C5" s="1">
        <v>3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>
        <v>183</v>
      </c>
      <c r="B6" s="1" t="s">
        <v>18</v>
      </c>
      <c r="C6" s="1">
        <v>4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>
        <v>184</v>
      </c>
      <c r="B7" s="1" t="s">
        <v>18</v>
      </c>
      <c r="C7" s="1">
        <v>5</v>
      </c>
      <c r="D7" s="2"/>
      <c r="E7" s="1">
        <v>8.1999999999999993</v>
      </c>
      <c r="F7" s="2"/>
      <c r="G7" s="2"/>
      <c r="H7" s="2"/>
      <c r="I7" s="2"/>
      <c r="J7" s="3">
        <v>44915</v>
      </c>
      <c r="K7" s="2"/>
      <c r="L7" s="1">
        <v>1</v>
      </c>
      <c r="M7" s="2"/>
    </row>
    <row r="8" spans="1:13">
      <c r="A8" s="1">
        <v>185</v>
      </c>
      <c r="B8" s="1" t="s">
        <v>18</v>
      </c>
      <c r="C8" s="1">
        <v>6</v>
      </c>
      <c r="D8" s="2"/>
      <c r="E8" s="1">
        <v>8.1999999999999993</v>
      </c>
      <c r="F8" s="2"/>
      <c r="G8" s="1">
        <v>10.56</v>
      </c>
      <c r="H8" s="2"/>
      <c r="I8" s="4">
        <v>45552</v>
      </c>
      <c r="J8" s="3">
        <v>45324</v>
      </c>
      <c r="K8" s="2"/>
      <c r="L8" s="2"/>
      <c r="M8" s="2"/>
    </row>
    <row r="9" spans="1:13">
      <c r="A9" s="2">
        <v>186</v>
      </c>
      <c r="B9" s="1" t="s">
        <v>18</v>
      </c>
      <c r="C9" s="1">
        <v>7</v>
      </c>
      <c r="D9" s="2"/>
      <c r="E9" s="1">
        <v>5</v>
      </c>
      <c r="F9" s="2"/>
      <c r="G9" s="2"/>
      <c r="H9" s="2"/>
      <c r="I9" s="2"/>
      <c r="J9" s="3">
        <v>45105</v>
      </c>
      <c r="K9" s="4">
        <v>45337</v>
      </c>
      <c r="L9" s="1">
        <v>1</v>
      </c>
      <c r="M9" s="2"/>
    </row>
    <row r="10" spans="1:13">
      <c r="A10" s="2">
        <v>187</v>
      </c>
      <c r="B10" s="1" t="s">
        <v>18</v>
      </c>
      <c r="C10" s="1">
        <v>8</v>
      </c>
      <c r="D10" s="2"/>
      <c r="E10" s="1">
        <v>10</v>
      </c>
      <c r="F10" s="2"/>
      <c r="G10" s="1">
        <v>12.32</v>
      </c>
      <c r="H10" s="2"/>
      <c r="I10" s="4">
        <v>45490</v>
      </c>
      <c r="J10" s="3">
        <v>45181</v>
      </c>
      <c r="K10" s="4">
        <v>45491</v>
      </c>
      <c r="L10" s="1">
        <v>1</v>
      </c>
      <c r="M10" s="2"/>
    </row>
    <row r="11" spans="1:13">
      <c r="A11" s="2">
        <v>188</v>
      </c>
      <c r="B11" s="1" t="s">
        <v>18</v>
      </c>
      <c r="C11" s="1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1">
        <v>189</v>
      </c>
      <c r="B12" s="1" t="s">
        <v>18</v>
      </c>
      <c r="C12" s="1">
        <v>10</v>
      </c>
      <c r="D12" s="2"/>
      <c r="E12" s="1">
        <v>10</v>
      </c>
      <c r="F12" s="2"/>
      <c r="G12" s="1">
        <v>13.2</v>
      </c>
      <c r="H12" s="2"/>
      <c r="I12" s="4">
        <v>45580</v>
      </c>
      <c r="J12" s="3">
        <v>45331</v>
      </c>
      <c r="K12" s="2"/>
      <c r="L12" s="2"/>
      <c r="M12" s="2"/>
    </row>
    <row r="13" spans="1:13">
      <c r="A13" s="2">
        <v>190</v>
      </c>
      <c r="B13" s="1" t="s">
        <v>18</v>
      </c>
      <c r="C13" s="1">
        <v>11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>
        <v>191</v>
      </c>
      <c r="B14" s="1" t="s">
        <v>18</v>
      </c>
      <c r="C14" s="1">
        <v>12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>
        <v>192</v>
      </c>
      <c r="B15" s="1" t="s">
        <v>18</v>
      </c>
      <c r="C15" s="1">
        <v>13</v>
      </c>
      <c r="D15" s="2"/>
      <c r="E15" s="1">
        <v>10</v>
      </c>
      <c r="F15" s="2"/>
      <c r="G15" s="1">
        <v>13.2</v>
      </c>
      <c r="H15" s="2"/>
      <c r="I15" s="4">
        <v>45586</v>
      </c>
      <c r="J15" s="3">
        <v>45343</v>
      </c>
      <c r="K15" s="2"/>
      <c r="L15" s="2"/>
      <c r="M15" s="2"/>
    </row>
    <row r="16" spans="1:13">
      <c r="A16" s="1">
        <v>193</v>
      </c>
      <c r="B16" s="1" t="s">
        <v>18</v>
      </c>
      <c r="C16" s="1">
        <v>14</v>
      </c>
      <c r="D16" s="2"/>
      <c r="E16" s="2"/>
      <c r="F16" s="2"/>
      <c r="G16" s="2"/>
      <c r="H16" s="2"/>
      <c r="I16" s="2"/>
      <c r="J16" s="3">
        <v>45568</v>
      </c>
      <c r="K16" s="2"/>
      <c r="L16" s="2"/>
      <c r="M16" s="2"/>
    </row>
    <row r="17" spans="1:13">
      <c r="A17" s="2">
        <v>194</v>
      </c>
      <c r="B17" s="1" t="s">
        <v>18</v>
      </c>
      <c r="C17" s="1">
        <v>15</v>
      </c>
      <c r="D17" s="1">
        <v>5</v>
      </c>
      <c r="E17" s="2"/>
      <c r="F17" s="2"/>
      <c r="G17" s="2"/>
      <c r="H17" s="2"/>
      <c r="I17" s="2"/>
      <c r="J17" s="3">
        <v>45677</v>
      </c>
      <c r="K17" s="2"/>
      <c r="L17" s="2"/>
      <c r="M17" s="2"/>
    </row>
    <row r="18" spans="1:13">
      <c r="A18" s="2">
        <v>195</v>
      </c>
      <c r="B18" s="1" t="s">
        <v>18</v>
      </c>
      <c r="C18" s="1">
        <v>16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>
        <v>196</v>
      </c>
      <c r="B19" s="1" t="s">
        <v>18</v>
      </c>
      <c r="C19" s="1">
        <v>17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1">
        <v>197</v>
      </c>
      <c r="B20" s="1" t="s">
        <v>18</v>
      </c>
      <c r="C20" s="1">
        <v>18</v>
      </c>
      <c r="D20" s="1">
        <v>5</v>
      </c>
      <c r="E20" s="2"/>
      <c r="F20" s="2"/>
      <c r="G20" s="2"/>
      <c r="H20" s="2"/>
      <c r="I20" s="2"/>
      <c r="J20" s="3">
        <v>45343</v>
      </c>
      <c r="K20" s="2"/>
      <c r="L20" s="2"/>
      <c r="M20" s="2"/>
    </row>
    <row r="21" spans="1:13">
      <c r="A21" s="2">
        <v>198</v>
      </c>
      <c r="B21" s="1" t="s">
        <v>18</v>
      </c>
      <c r="C21" s="1">
        <v>19</v>
      </c>
      <c r="D21" s="2"/>
      <c r="E21" s="1">
        <v>5</v>
      </c>
      <c r="F21" s="2"/>
      <c r="G21" s="1">
        <v>6.64</v>
      </c>
      <c r="H21" s="2"/>
      <c r="I21" s="4">
        <v>45560</v>
      </c>
      <c r="J21" s="3">
        <v>45301</v>
      </c>
      <c r="K21" s="2"/>
      <c r="L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1A</vt:lpstr>
      <vt:lpstr>1B</vt:lpstr>
      <vt:lpstr>1C</vt:lpstr>
      <vt:lpstr>2A</vt:lpstr>
      <vt:lpstr>2B</vt:lpstr>
      <vt:lpstr>3A</vt:lpstr>
      <vt:lpstr>3B</vt:lpstr>
      <vt:lpstr>Limit_Percentage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Jennie Qi Jiang</dc:creator>
  <cp:lastModifiedBy>Jennie Qi Jiang</cp:lastModifiedBy>
  <dcterms:created xsi:type="dcterms:W3CDTF">2025-01-28T07:02:19Z</dcterms:created>
  <dcterms:modified xsi:type="dcterms:W3CDTF">2025-03-19T07:27:47Z</dcterms:modified>
</cp:coreProperties>
</file>