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jiang/Documents/E47-Jennie/witchclieffe /1 - working invoices/"/>
    </mc:Choice>
  </mc:AlternateContent>
  <xr:revisionPtr revIDLastSave="0" documentId="13_ncr:1_{2BD08EBA-45AE-344A-AE2B-E43CCC8A50EF}" xr6:coauthVersionLast="47" xr6:coauthVersionMax="47" xr10:uidLastSave="{00000000-0000-0000-0000-000000000000}"/>
  <bookViews>
    <workbookView xWindow="5500" yWindow="1660" windowWidth="27240" windowHeight="15680" xr2:uid="{F2761F3B-F505-8248-8462-AE43BBD938F0}"/>
  </bookViews>
  <sheets>
    <sheet name="strata roll" sheetId="2" r:id="rId1"/>
  </sheets>
  <externalReferences>
    <externalReference r:id="rId2"/>
  </externalReferences>
  <definedNames>
    <definedName name="Profit_table">#REF!</definedName>
    <definedName name="RowTitleRegion1..D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3" i="2" l="1"/>
  <c r="K193" i="2"/>
  <c r="N192" i="2"/>
  <c r="K192" i="2"/>
  <c r="N191" i="2"/>
  <c r="K191" i="2"/>
  <c r="L190" i="2"/>
  <c r="N190" i="2" s="1"/>
  <c r="K190" i="2"/>
  <c r="L189" i="2"/>
  <c r="N189" i="2" s="1"/>
  <c r="K189" i="2"/>
  <c r="N188" i="2"/>
  <c r="K188" i="2"/>
  <c r="L187" i="2"/>
  <c r="N187" i="2" s="1"/>
  <c r="K187" i="2"/>
  <c r="L186" i="2"/>
  <c r="N186" i="2" s="1"/>
  <c r="K186" i="2"/>
  <c r="N185" i="2"/>
  <c r="L185" i="2"/>
  <c r="K185" i="2"/>
  <c r="N184" i="2"/>
  <c r="L184" i="2"/>
  <c r="K184" i="2"/>
  <c r="N183" i="2"/>
  <c r="L183" i="2"/>
  <c r="K183" i="2"/>
  <c r="N182" i="2"/>
  <c r="L182" i="2"/>
  <c r="K182" i="2"/>
  <c r="L181" i="2"/>
  <c r="N181" i="2" s="1"/>
  <c r="K181" i="2"/>
  <c r="L180" i="2"/>
  <c r="N180" i="2" s="1"/>
  <c r="K180" i="2"/>
  <c r="L179" i="2"/>
  <c r="N179" i="2" s="1"/>
  <c r="K179" i="2"/>
  <c r="L178" i="2"/>
  <c r="N178" i="2" s="1"/>
  <c r="K178" i="2"/>
  <c r="N177" i="2"/>
  <c r="L177" i="2"/>
  <c r="K177" i="2"/>
  <c r="N176" i="2"/>
  <c r="L176" i="2"/>
  <c r="K176" i="2"/>
  <c r="L175" i="2"/>
  <c r="N175" i="2" s="1"/>
  <c r="K175" i="2"/>
  <c r="N174" i="2"/>
  <c r="L174" i="2"/>
  <c r="K174" i="2"/>
  <c r="L173" i="2"/>
  <c r="N173" i="2" s="1"/>
  <c r="K173" i="2"/>
  <c r="N172" i="2"/>
  <c r="L172" i="2"/>
  <c r="K172" i="2"/>
  <c r="L171" i="2"/>
  <c r="N171" i="2" s="1"/>
  <c r="K171" i="2"/>
  <c r="L170" i="2"/>
  <c r="N170" i="2" s="1"/>
  <c r="K170" i="2"/>
  <c r="N169" i="2"/>
  <c r="L169" i="2"/>
  <c r="K169" i="2"/>
  <c r="N168" i="2"/>
  <c r="L168" i="2"/>
  <c r="K168" i="2"/>
  <c r="N167" i="2"/>
  <c r="K167" i="2"/>
  <c r="N166" i="2"/>
  <c r="K166" i="2"/>
  <c r="L165" i="2"/>
  <c r="N165" i="2" s="1"/>
  <c r="K165" i="2"/>
  <c r="L164" i="2"/>
  <c r="N164" i="2" s="1"/>
  <c r="K164" i="2"/>
  <c r="N163" i="2"/>
  <c r="K163" i="2"/>
  <c r="L162" i="2"/>
  <c r="N162" i="2" s="1"/>
  <c r="K162" i="2"/>
  <c r="L161" i="2"/>
  <c r="N161" i="2" s="1"/>
  <c r="K161" i="2"/>
  <c r="N160" i="2"/>
  <c r="M160" i="2"/>
  <c r="L160" i="2"/>
  <c r="K160" i="2"/>
  <c r="M159" i="2"/>
  <c r="L159" i="2"/>
  <c r="N159" i="2" s="1"/>
  <c r="K159" i="2"/>
  <c r="L158" i="2"/>
  <c r="N158" i="2" s="1"/>
  <c r="K158" i="2"/>
  <c r="N157" i="2"/>
  <c r="M157" i="2"/>
  <c r="L157" i="2"/>
  <c r="K157" i="2"/>
  <c r="L156" i="2"/>
  <c r="N156" i="2" s="1"/>
  <c r="K156" i="2"/>
  <c r="L155" i="2"/>
  <c r="N155" i="2" s="1"/>
  <c r="K155" i="2"/>
  <c r="M154" i="2"/>
  <c r="L154" i="2"/>
  <c r="N154" i="2" s="1"/>
  <c r="K154" i="2"/>
  <c r="N153" i="2"/>
  <c r="L153" i="2"/>
  <c r="K153" i="2"/>
  <c r="L152" i="2"/>
  <c r="N152" i="2" s="1"/>
  <c r="K152" i="2"/>
  <c r="L151" i="2"/>
  <c r="N151" i="2" s="1"/>
  <c r="K151" i="2"/>
  <c r="L150" i="2"/>
  <c r="N150" i="2" s="1"/>
  <c r="K150" i="2"/>
  <c r="L149" i="2"/>
  <c r="N149" i="2" s="1"/>
  <c r="K149" i="2"/>
  <c r="N148" i="2"/>
  <c r="L148" i="2"/>
  <c r="K148" i="2"/>
  <c r="N147" i="2"/>
  <c r="L147" i="2"/>
  <c r="K147" i="2"/>
  <c r="N146" i="2"/>
  <c r="L146" i="2"/>
  <c r="K146" i="2"/>
  <c r="N145" i="2"/>
  <c r="L145" i="2"/>
  <c r="K145" i="2"/>
  <c r="L144" i="2"/>
  <c r="N144" i="2" s="1"/>
  <c r="K144" i="2"/>
  <c r="L143" i="2"/>
  <c r="N143" i="2" s="1"/>
  <c r="K143" i="2"/>
  <c r="N142" i="2"/>
  <c r="M142" i="2"/>
  <c r="L142" i="2"/>
  <c r="K142" i="2"/>
  <c r="N141" i="2"/>
  <c r="L141" i="2"/>
  <c r="K141" i="2"/>
  <c r="N140" i="2"/>
  <c r="L140" i="2"/>
  <c r="K140" i="2"/>
  <c r="M139" i="2"/>
  <c r="L139" i="2"/>
  <c r="N139" i="2" s="1"/>
  <c r="K139" i="2"/>
  <c r="N138" i="2"/>
  <c r="L138" i="2"/>
  <c r="K138" i="2"/>
  <c r="N137" i="2"/>
  <c r="L137" i="2"/>
  <c r="K137" i="2"/>
  <c r="N136" i="2"/>
  <c r="L136" i="2"/>
  <c r="K136" i="2"/>
  <c r="N135" i="2"/>
  <c r="K135" i="2"/>
  <c r="N134" i="2"/>
  <c r="K134" i="2"/>
  <c r="L133" i="2"/>
  <c r="N133" i="2" s="1"/>
  <c r="K133" i="2"/>
  <c r="N132" i="2"/>
  <c r="L132" i="2"/>
  <c r="K132" i="2"/>
  <c r="N131" i="2"/>
  <c r="K131" i="2"/>
  <c r="L130" i="2"/>
  <c r="N130" i="2" s="1"/>
  <c r="K130" i="2"/>
  <c r="N129" i="2"/>
  <c r="M129" i="2"/>
  <c r="L129" i="2"/>
  <c r="K129" i="2"/>
  <c r="L128" i="2"/>
  <c r="N128" i="2" s="1"/>
  <c r="K128" i="2"/>
  <c r="L127" i="2"/>
  <c r="N127" i="2" s="1"/>
  <c r="K127" i="2"/>
  <c r="L126" i="2"/>
  <c r="N126" i="2" s="1"/>
  <c r="K126" i="2"/>
  <c r="M125" i="2"/>
  <c r="L125" i="2"/>
  <c r="N125" i="2" s="1"/>
  <c r="K125" i="2"/>
  <c r="M124" i="2"/>
  <c r="L124" i="2"/>
  <c r="N124" i="2" s="1"/>
  <c r="K124" i="2"/>
  <c r="M123" i="2"/>
  <c r="L123" i="2"/>
  <c r="N123" i="2" s="1"/>
  <c r="K123" i="2"/>
  <c r="N122" i="2"/>
  <c r="L122" i="2"/>
  <c r="K122" i="2"/>
  <c r="L121" i="2"/>
  <c r="N121" i="2" s="1"/>
  <c r="K121" i="2"/>
  <c r="L120" i="2"/>
  <c r="N120" i="2" s="1"/>
  <c r="K120" i="2"/>
  <c r="L119" i="2"/>
  <c r="N119" i="2" s="1"/>
  <c r="K119" i="2"/>
  <c r="M118" i="2"/>
  <c r="L118" i="2"/>
  <c r="N118" i="2" s="1"/>
  <c r="K118" i="2"/>
  <c r="M117" i="2"/>
  <c r="L117" i="2"/>
  <c r="N117" i="2" s="1"/>
  <c r="K117" i="2"/>
  <c r="M116" i="2"/>
  <c r="L116" i="2"/>
  <c r="N116" i="2" s="1"/>
  <c r="K116" i="2"/>
  <c r="M115" i="2"/>
  <c r="L115" i="2"/>
  <c r="N115" i="2" s="1"/>
  <c r="K115" i="2"/>
  <c r="M114" i="2"/>
  <c r="L114" i="2"/>
  <c r="N114" i="2" s="1"/>
  <c r="K114" i="2"/>
  <c r="M113" i="2"/>
  <c r="L113" i="2"/>
  <c r="N113" i="2" s="1"/>
  <c r="K113" i="2"/>
  <c r="L112" i="2"/>
  <c r="N112" i="2" s="1"/>
  <c r="K112" i="2"/>
  <c r="N111" i="2"/>
  <c r="M111" i="2"/>
  <c r="L111" i="2"/>
  <c r="K111" i="2"/>
  <c r="M110" i="2"/>
  <c r="L110" i="2"/>
  <c r="N110" i="2" s="1"/>
  <c r="K110" i="2"/>
  <c r="N109" i="2"/>
  <c r="M109" i="2"/>
  <c r="L109" i="2"/>
  <c r="K109" i="2"/>
  <c r="N108" i="2"/>
  <c r="K108" i="2"/>
  <c r="N107" i="2"/>
  <c r="K107" i="2"/>
  <c r="L106" i="2"/>
  <c r="N106" i="2" s="1"/>
  <c r="K106" i="2"/>
  <c r="N105" i="2"/>
  <c r="L105" i="2"/>
  <c r="K105" i="2"/>
  <c r="N104" i="2"/>
  <c r="K104" i="2"/>
  <c r="L103" i="2"/>
  <c r="N103" i="2" s="1"/>
  <c r="K103" i="2"/>
  <c r="N102" i="2"/>
  <c r="L102" i="2"/>
  <c r="K102" i="2"/>
  <c r="N101" i="2"/>
  <c r="M101" i="2"/>
  <c r="L101" i="2"/>
  <c r="K101" i="2"/>
  <c r="L100" i="2"/>
  <c r="N100" i="2" s="1"/>
  <c r="K100" i="2"/>
  <c r="M99" i="2"/>
  <c r="L99" i="2"/>
  <c r="N99" i="2" s="1"/>
  <c r="K99" i="2"/>
  <c r="N98" i="2"/>
  <c r="M98" i="2"/>
  <c r="L98" i="2"/>
  <c r="K98" i="2"/>
  <c r="M97" i="2"/>
  <c r="L97" i="2"/>
  <c r="N97" i="2" s="1"/>
  <c r="K97" i="2"/>
  <c r="N96" i="2"/>
  <c r="L96" i="2"/>
  <c r="K96" i="2"/>
  <c r="M95" i="2"/>
  <c r="L95" i="2"/>
  <c r="N95" i="2" s="1"/>
  <c r="K95" i="2"/>
  <c r="N94" i="2"/>
  <c r="M94" i="2"/>
  <c r="L94" i="2"/>
  <c r="K94" i="2"/>
  <c r="L93" i="2"/>
  <c r="N93" i="2" s="1"/>
  <c r="K93" i="2"/>
  <c r="M92" i="2"/>
  <c r="L92" i="2"/>
  <c r="N92" i="2" s="1"/>
  <c r="K92" i="2"/>
  <c r="N91" i="2"/>
  <c r="L91" i="2"/>
  <c r="K91" i="2"/>
  <c r="N90" i="2"/>
  <c r="L90" i="2"/>
  <c r="K90" i="2"/>
  <c r="N89" i="2"/>
  <c r="L89" i="2"/>
  <c r="K89" i="2"/>
  <c r="L88" i="2"/>
  <c r="N88" i="2" s="1"/>
  <c r="K88" i="2"/>
  <c r="N87" i="2"/>
  <c r="L87" i="2"/>
  <c r="K87" i="2"/>
  <c r="L86" i="2"/>
  <c r="N86" i="2" s="1"/>
  <c r="K86" i="2"/>
  <c r="M85" i="2"/>
  <c r="L85" i="2"/>
  <c r="N85" i="2" s="1"/>
  <c r="K85" i="2"/>
  <c r="N84" i="2"/>
  <c r="L84" i="2"/>
  <c r="K84" i="2"/>
  <c r="L83" i="2"/>
  <c r="N83" i="2" s="1"/>
  <c r="K83" i="2"/>
  <c r="M82" i="2"/>
  <c r="L82" i="2"/>
  <c r="N82" i="2" s="1"/>
  <c r="K82" i="2"/>
  <c r="N81" i="2"/>
  <c r="L81" i="2"/>
  <c r="K81" i="2"/>
  <c r="N80" i="2"/>
  <c r="K80" i="2"/>
  <c r="N79" i="2"/>
  <c r="K79" i="2"/>
  <c r="L78" i="2"/>
  <c r="N78" i="2" s="1"/>
  <c r="K78" i="2"/>
  <c r="N77" i="2"/>
  <c r="K77" i="2"/>
  <c r="N76" i="2"/>
  <c r="K76" i="2"/>
  <c r="N75" i="2"/>
  <c r="M75" i="2"/>
  <c r="L75" i="2"/>
  <c r="K75" i="2"/>
  <c r="M74" i="2"/>
  <c r="L74" i="2"/>
  <c r="N74" i="2" s="1"/>
  <c r="K74" i="2"/>
  <c r="N73" i="2"/>
  <c r="L73" i="2"/>
  <c r="K73" i="2"/>
  <c r="M72" i="2"/>
  <c r="L72" i="2"/>
  <c r="N72" i="2" s="1"/>
  <c r="K72" i="2"/>
  <c r="N71" i="2"/>
  <c r="M71" i="2"/>
  <c r="L71" i="2"/>
  <c r="K71" i="2"/>
  <c r="M70" i="2"/>
  <c r="L70" i="2"/>
  <c r="N70" i="2" s="1"/>
  <c r="K70" i="2"/>
  <c r="N69" i="2"/>
  <c r="M69" i="2"/>
  <c r="L69" i="2"/>
  <c r="K69" i="2"/>
  <c r="M68" i="2"/>
  <c r="L68" i="2"/>
  <c r="N68" i="2" s="1"/>
  <c r="K68" i="2"/>
  <c r="L67" i="2"/>
  <c r="N67" i="2" s="1"/>
  <c r="K67" i="2"/>
  <c r="N66" i="2"/>
  <c r="M66" i="2"/>
  <c r="L66" i="2"/>
  <c r="K66" i="2"/>
  <c r="N65" i="2"/>
  <c r="L65" i="2"/>
  <c r="K65" i="2"/>
  <c r="N64" i="2"/>
  <c r="M64" i="2"/>
  <c r="L64" i="2"/>
  <c r="K64" i="2"/>
  <c r="N63" i="2"/>
  <c r="L63" i="2"/>
  <c r="K63" i="2"/>
  <c r="N62" i="2"/>
  <c r="M62" i="2"/>
  <c r="L62" i="2"/>
  <c r="K62" i="2"/>
  <c r="M61" i="2"/>
  <c r="L61" i="2"/>
  <c r="N61" i="2" s="1"/>
  <c r="K61" i="2"/>
  <c r="N60" i="2"/>
  <c r="M60" i="2"/>
  <c r="L60" i="2"/>
  <c r="K60" i="2"/>
  <c r="M59" i="2"/>
  <c r="L59" i="2"/>
  <c r="N59" i="2" s="1"/>
  <c r="K59" i="2"/>
  <c r="N58" i="2"/>
  <c r="M58" i="2"/>
  <c r="L58" i="2"/>
  <c r="K58" i="2"/>
  <c r="L57" i="2"/>
  <c r="N57" i="2" s="1"/>
  <c r="K57" i="2"/>
  <c r="N56" i="2"/>
  <c r="K56" i="2"/>
  <c r="N55" i="2"/>
  <c r="K55" i="2"/>
  <c r="L54" i="2"/>
  <c r="N54" i="2" s="1"/>
  <c r="K54" i="2"/>
  <c r="N53" i="2"/>
  <c r="L53" i="2"/>
  <c r="K53" i="2"/>
  <c r="N52" i="2"/>
  <c r="K52" i="2"/>
  <c r="L51" i="2"/>
  <c r="N51" i="2" s="1"/>
  <c r="K51" i="2"/>
  <c r="N50" i="2"/>
  <c r="L50" i="2"/>
  <c r="K50" i="2"/>
  <c r="L49" i="2"/>
  <c r="N49" i="2" s="1"/>
  <c r="K49" i="2"/>
  <c r="L48" i="2"/>
  <c r="N48" i="2" s="1"/>
  <c r="K48" i="2"/>
  <c r="L47" i="2"/>
  <c r="N47" i="2" s="1"/>
  <c r="K47" i="2"/>
  <c r="N46" i="2"/>
  <c r="L46" i="2"/>
  <c r="K46" i="2"/>
  <c r="N45" i="2"/>
  <c r="L45" i="2"/>
  <c r="K45" i="2"/>
  <c r="N44" i="2"/>
  <c r="L44" i="2"/>
  <c r="K44" i="2"/>
  <c r="L43" i="2"/>
  <c r="N43" i="2" s="1"/>
  <c r="K43" i="2"/>
  <c r="N42" i="2"/>
  <c r="L42" i="2"/>
  <c r="K42" i="2"/>
  <c r="L41" i="2"/>
  <c r="N41" i="2" s="1"/>
  <c r="K41" i="2"/>
  <c r="L40" i="2"/>
  <c r="N40" i="2" s="1"/>
  <c r="K40" i="2"/>
  <c r="L39" i="2"/>
  <c r="N39" i="2" s="1"/>
  <c r="K39" i="2"/>
  <c r="N38" i="2"/>
  <c r="L38" i="2"/>
  <c r="K38" i="2"/>
  <c r="N37" i="2"/>
  <c r="L37" i="2"/>
  <c r="K37" i="2"/>
  <c r="N36" i="2"/>
  <c r="L36" i="2"/>
  <c r="K36" i="2"/>
  <c r="L35" i="2"/>
  <c r="N35" i="2" s="1"/>
  <c r="K35" i="2"/>
  <c r="N34" i="2"/>
  <c r="L34" i="2"/>
  <c r="K34" i="2"/>
  <c r="L33" i="2"/>
  <c r="N33" i="2" s="1"/>
  <c r="K33" i="2"/>
  <c r="L32" i="2"/>
  <c r="N32" i="2" s="1"/>
  <c r="K32" i="2"/>
  <c r="L31" i="2"/>
  <c r="N31" i="2" s="1"/>
  <c r="K31" i="2"/>
  <c r="N30" i="2"/>
  <c r="K30" i="2"/>
  <c r="N29" i="2"/>
  <c r="K29" i="2"/>
  <c r="N28" i="2"/>
  <c r="L28" i="2"/>
  <c r="K28" i="2"/>
  <c r="L27" i="2"/>
  <c r="N27" i="2" s="1"/>
  <c r="K27" i="2"/>
  <c r="N26" i="2"/>
  <c r="K26" i="2"/>
  <c r="N25" i="2"/>
  <c r="L25" i="2"/>
  <c r="K25" i="2"/>
  <c r="L24" i="2"/>
  <c r="N24" i="2" s="1"/>
  <c r="K24" i="2"/>
  <c r="L23" i="2"/>
  <c r="N23" i="2" s="1"/>
  <c r="K23" i="2"/>
  <c r="L22" i="2"/>
  <c r="N22" i="2" s="1"/>
  <c r="K22" i="2"/>
  <c r="N21" i="2"/>
  <c r="L21" i="2"/>
  <c r="K21" i="2"/>
  <c r="N20" i="2"/>
  <c r="L20" i="2"/>
  <c r="K20" i="2"/>
  <c r="N19" i="2"/>
  <c r="L19" i="2"/>
  <c r="K19" i="2"/>
  <c r="L18" i="2"/>
  <c r="N18" i="2" s="1"/>
  <c r="K18" i="2"/>
  <c r="N17" i="2"/>
  <c r="L17" i="2"/>
  <c r="K17" i="2"/>
  <c r="L16" i="2"/>
  <c r="N16" i="2" s="1"/>
  <c r="K16" i="2"/>
  <c r="L15" i="2"/>
  <c r="N15" i="2" s="1"/>
  <c r="K15" i="2"/>
  <c r="L14" i="2"/>
  <c r="N14" i="2" s="1"/>
  <c r="K14" i="2"/>
  <c r="N13" i="2"/>
  <c r="L13" i="2"/>
  <c r="K13" i="2"/>
  <c r="N12" i="2"/>
  <c r="L12" i="2"/>
  <c r="K12" i="2"/>
  <c r="N11" i="2"/>
  <c r="L11" i="2"/>
  <c r="K11" i="2"/>
  <c r="L10" i="2"/>
  <c r="N10" i="2" s="1"/>
  <c r="K10" i="2"/>
  <c r="N9" i="2"/>
  <c r="L9" i="2"/>
  <c r="K9" i="2"/>
  <c r="L8" i="2"/>
  <c r="N8" i="2" s="1"/>
  <c r="K8" i="2"/>
  <c r="L7" i="2"/>
  <c r="N7" i="2" s="1"/>
  <c r="K7" i="2"/>
  <c r="L6" i="2"/>
  <c r="N6" i="2" s="1"/>
  <c r="K6" i="2"/>
  <c r="N5" i="2"/>
  <c r="L5" i="2"/>
  <c r="K5" i="2"/>
  <c r="N4" i="2"/>
  <c r="L4" i="2"/>
  <c r="K4" i="2"/>
  <c r="N3" i="2"/>
  <c r="L3" i="2"/>
  <c r="K3" i="2"/>
  <c r="L2" i="2"/>
  <c r="N2" i="2" s="1"/>
  <c r="K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Qi Jiang</author>
    <author/>
  </authors>
  <commentList>
    <comment ref="C68" authorId="0" shapeId="0" xr:uid="{5A00F652-C081-E746-AF35-A46CDA4B9308}">
      <text>
        <r>
          <rPr>
            <b/>
            <sz val="10"/>
            <color rgb="FF000000"/>
            <rFont val="Tahoma"/>
            <family val="2"/>
          </rPr>
          <t>Qi Jiang: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50002944</t>
        </r>
      </text>
    </comment>
    <comment ref="E145" authorId="1" shapeId="0" xr:uid="{17D72540-8974-224D-B5B9-C7A1DA6052CD}">
      <text>
        <r>
          <rPr>
            <sz val="10"/>
            <color rgb="FF000000"/>
            <rFont val="Calibri"/>
            <family val="2"/>
          </rPr>
          <t xml:space="preserve">For sale.
</t>
        </r>
        <r>
          <rPr>
            <sz val="10"/>
            <color rgb="FF000000"/>
            <rFont val="Calibri"/>
            <family val="2"/>
          </rPr>
          <t xml:space="preserve">	-WEV 3A</t>
        </r>
      </text>
    </comment>
    <comment ref="E149" authorId="1" shapeId="0" xr:uid="{95F56BB2-CAE5-374C-AB1F-0B1C800C90C6}">
      <text>
        <r>
          <rPr>
            <sz val="10"/>
            <color rgb="FF000000"/>
            <rFont val="Arial"/>
            <family val="2"/>
          </rPr>
          <t xml:space="preserve">For sale.
</t>
        </r>
        <r>
          <rPr>
            <sz val="10"/>
            <color rgb="FF000000"/>
            <rFont val="Arial"/>
            <family val="2"/>
          </rPr>
          <t xml:space="preserve">	-WEV 3A</t>
        </r>
      </text>
    </comment>
    <comment ref="E152" authorId="1" shapeId="0" xr:uid="{EEA986E6-EF9B-B84B-9CB7-5AEB9E6C92F1}">
      <text>
        <r>
          <rPr>
            <sz val="10"/>
            <color rgb="FF000000"/>
            <rFont val="Arial"/>
            <family val="2"/>
          </rPr>
          <t xml:space="preserve">Recently sold. Settlement underway, new owners details not yet available.
</t>
        </r>
        <r>
          <rPr>
            <sz val="10"/>
            <color rgb="FF000000"/>
            <rFont val="Arial"/>
            <family val="2"/>
          </rPr>
          <t xml:space="preserve">	-WEV 3A</t>
        </r>
      </text>
    </comment>
    <comment ref="E156" authorId="1" shapeId="0" xr:uid="{D07D7E11-B6D4-EB4D-9B68-C405B39F5790}">
      <text>
        <r>
          <rPr>
            <sz val="10"/>
            <color rgb="FF000000"/>
            <rFont val="Arial"/>
            <family val="2"/>
          </rPr>
          <t xml:space="preserve">For Sale
</t>
        </r>
        <r>
          <rPr>
            <sz val="10"/>
            <color rgb="FF000000"/>
            <rFont val="Arial"/>
            <family val="2"/>
          </rPr>
          <t xml:space="preserve">	-WEV 3A</t>
        </r>
      </text>
    </comment>
    <comment ref="E158" authorId="1" shapeId="0" xr:uid="{70498A64-CE2C-4A4B-966B-15555B19B763}">
      <text>
        <r>
          <rPr>
            <sz val="10"/>
            <color rgb="FF000000"/>
            <rFont val="Arial"/>
            <family val="2"/>
          </rPr>
          <t xml:space="preserve">For Sale
</t>
        </r>
        <r>
          <rPr>
            <sz val="10"/>
            <color rgb="FF000000"/>
            <rFont val="Arial"/>
            <family val="2"/>
          </rPr>
          <t xml:space="preserve">	-WEV 3A</t>
        </r>
      </text>
    </comment>
  </commentList>
</comments>
</file>

<file path=xl/sharedStrings.xml><?xml version="1.0" encoding="utf-8"?>
<sst xmlns="http://schemas.openxmlformats.org/spreadsheetml/2006/main" count="1807" uniqueCount="645">
  <si>
    <t>Lot</t>
  </si>
  <si>
    <t>cluster</t>
  </si>
  <si>
    <t>Meter#</t>
  </si>
  <si>
    <t>Block Type</t>
  </si>
  <si>
    <t>Owner</t>
  </si>
  <si>
    <t>Street Address</t>
  </si>
  <si>
    <t>Suburb</t>
  </si>
  <si>
    <t>State</t>
  </si>
  <si>
    <t>Post Code</t>
  </si>
  <si>
    <t>Unit Entitlement</t>
  </si>
  <si>
    <t>UE % over Cluster</t>
  </si>
  <si>
    <t>Calculated Battery Allocation (kWh)</t>
  </si>
  <si>
    <t>Inverter Model</t>
  </si>
  <si>
    <t>Applied Battery Allocation (kWh)</t>
  </si>
  <si>
    <t>Export Capacity (kW)</t>
  </si>
  <si>
    <t>Energy Meter Installed</t>
  </si>
  <si>
    <t>PV Installed</t>
  </si>
  <si>
    <t>Functional Droplet</t>
  </si>
  <si>
    <t>Stage of Dev.</t>
  </si>
  <si>
    <t>Phone 1</t>
  </si>
  <si>
    <t>Phone 2</t>
  </si>
  <si>
    <t>Email</t>
  </si>
  <si>
    <t xml:space="preserve">Meter Number </t>
  </si>
  <si>
    <t>Occupant 1 Start Date</t>
  </si>
  <si>
    <t>Occupant 1 End date</t>
  </si>
  <si>
    <t>1A</t>
  </si>
  <si>
    <t>Cottage</t>
  </si>
  <si>
    <t>Mead Family trust</t>
  </si>
  <si>
    <t>1 Yornitj Grove</t>
  </si>
  <si>
    <t>Witchcliffe</t>
  </si>
  <si>
    <t>WA</t>
  </si>
  <si>
    <t>Y</t>
  </si>
  <si>
    <t>N</t>
  </si>
  <si>
    <t>UC</t>
  </si>
  <si>
    <t>0457 578 078</t>
  </si>
  <si>
    <t>0476919881</t>
  </si>
  <si>
    <t>nicholasjamesmead@gmail.co</t>
  </si>
  <si>
    <t>Current</t>
  </si>
  <si>
    <t>Margareta Roeck</t>
  </si>
  <si>
    <t>3 Yornitj Grove</t>
  </si>
  <si>
    <t>0416732634</t>
  </si>
  <si>
    <t>maroeck@gmail.com</t>
  </si>
  <si>
    <t>Battigielli</t>
  </si>
  <si>
    <t>5 Yornitj Grove</t>
  </si>
  <si>
    <t>O</t>
  </si>
  <si>
    <t>0424154036</t>
  </si>
  <si>
    <t>emailalexhughes@gmail.com</t>
  </si>
  <si>
    <t>Paul Jurjevich &amp; Trish Rushton</t>
  </si>
  <si>
    <t>7 Yornitj Grove</t>
  </si>
  <si>
    <t>Symo 5.0</t>
  </si>
  <si>
    <t>0412261482</t>
  </si>
  <si>
    <t>0403732723</t>
  </si>
  <si>
    <t>mulloway9@icloud.com</t>
  </si>
  <si>
    <t>Dwyer</t>
  </si>
  <si>
    <t>9 Yornitj Grove</t>
  </si>
  <si>
    <t>0408744572</t>
  </si>
  <si>
    <t>0437286462</t>
  </si>
  <si>
    <t>mammoth@iinet.net.au</t>
  </si>
  <si>
    <t>Gillespie</t>
  </si>
  <si>
    <t>11 Yornitj Grove</t>
  </si>
  <si>
    <t>Symo 8.2</t>
  </si>
  <si>
    <t>0417950370</t>
  </si>
  <si>
    <t>0429196637</t>
  </si>
  <si>
    <t>tim.hewson@iinet.net.au</t>
  </si>
  <si>
    <t>Rio &amp; Alix Healey-­‐Diaz</t>
  </si>
  <si>
    <t>13 Yornitj Grove</t>
  </si>
  <si>
    <t>0425890670</t>
  </si>
  <si>
    <t>alixward@gmail.com</t>
  </si>
  <si>
    <t>Marcus Browne &amp; Sook-­‐JaRebecchi</t>
  </si>
  <si>
    <t>15 Yornitj Grove</t>
  </si>
  <si>
    <t>0433290368</t>
  </si>
  <si>
    <t>0448279836</t>
  </si>
  <si>
    <t>marcus@mishack.com.au</t>
  </si>
  <si>
    <t>Jasmine Heah</t>
  </si>
  <si>
    <t>17 Yornitj Grove</t>
  </si>
  <si>
    <t>0408323274</t>
  </si>
  <si>
    <t>jasmine_heah@hotmail.com</t>
  </si>
  <si>
    <t>Family</t>
  </si>
  <si>
    <t>Pernille Stent</t>
  </si>
  <si>
    <t>51 Mardo Drive</t>
  </si>
  <si>
    <t>0410416005</t>
  </si>
  <si>
    <t>pernille@designbutton.net.au</t>
  </si>
  <si>
    <t>Levi Holden</t>
  </si>
  <si>
    <t>49 Mardo Drive</t>
  </si>
  <si>
    <t>0427444150</t>
  </si>
  <si>
    <t>levi.holden@optusnet.com.au</t>
  </si>
  <si>
    <t>Matt &amp; Kate Shaw</t>
  </si>
  <si>
    <t>47 Mardo Drive</t>
  </si>
  <si>
    <t>0428088590</t>
  </si>
  <si>
    <t>0431001084</t>
  </si>
  <si>
    <t>shaw76@hotmail.co.uk</t>
  </si>
  <si>
    <t>Peter Froehlich &amp; Lydia Walzel</t>
  </si>
  <si>
    <t>45 Mardo Drive</t>
  </si>
  <si>
    <t>Symo 10.0</t>
  </si>
  <si>
    <t>0418946078</t>
  </si>
  <si>
    <t>0419928925</t>
  </si>
  <si>
    <t>froehlich.fp@gmail.com</t>
  </si>
  <si>
    <t>Priscila Goncalves</t>
  </si>
  <si>
    <t>43 Mardo Drive</t>
  </si>
  <si>
    <t>0475716267</t>
  </si>
  <si>
    <t>0475716400</t>
  </si>
  <si>
    <t>diego.barneche@ymail.com</t>
  </si>
  <si>
    <t>Jeﬀ &amp; Jo Thierfelder</t>
  </si>
  <si>
    <t>41 Mardo Drive</t>
  </si>
  <si>
    <t>0409770316</t>
  </si>
  <si>
    <t>0421589548</t>
  </si>
  <si>
    <t>jeﬀ.thierfelder@iinet.net.au</t>
  </si>
  <si>
    <t>Libby Davy</t>
  </si>
  <si>
    <t>3 Mannitj Place</t>
  </si>
  <si>
    <t>0413993452</t>
  </si>
  <si>
    <t>libby@humanbells.com</t>
  </si>
  <si>
    <t>Henry &amp; Jo Weldon</t>
  </si>
  <si>
    <t>5 Mannitj Place</t>
  </si>
  <si>
    <t>0407076552</t>
  </si>
  <si>
    <t>0407388196</t>
  </si>
  <si>
    <t>henryweldon90@gmail.com</t>
  </si>
  <si>
    <t>Liz Kirk</t>
  </si>
  <si>
    <t>7 Mannitj Drive</t>
  </si>
  <si>
    <t>V</t>
  </si>
  <si>
    <t>0408751379</t>
  </si>
  <si>
    <t>lizk@beyondergo.com.au</t>
  </si>
  <si>
    <t>Lindy Dunlop</t>
  </si>
  <si>
    <t>9 Mannitj Drive</t>
  </si>
  <si>
    <t>0493385725</t>
  </si>
  <si>
    <t>lindyjdunlop@hotmail.com</t>
  </si>
  <si>
    <t>Groupie</t>
  </si>
  <si>
    <t>Elke Light</t>
  </si>
  <si>
    <t>30 Kulbardi Way</t>
  </si>
  <si>
    <t>0439968661</t>
  </si>
  <si>
    <t>lightelke@gmail.com</t>
  </si>
  <si>
    <t>Deborah Woodman</t>
  </si>
  <si>
    <t>28 Kulbardi Way</t>
  </si>
  <si>
    <t>0456121155</t>
  </si>
  <si>
    <t>woodmandj55@gmail.com</t>
  </si>
  <si>
    <t>Carrie &amp; Warrick Goldsmith</t>
  </si>
  <si>
    <t>26 Kulbardi Way</t>
  </si>
  <si>
    <t>0499270453</t>
  </si>
  <si>
    <t>0447110831</t>
  </si>
  <si>
    <t>carrieandwarrick@gmail.com</t>
  </si>
  <si>
    <t>Clyde Huxtable</t>
  </si>
  <si>
    <t>24 Kulbardi Way</t>
  </si>
  <si>
    <t>0406351722</t>
  </si>
  <si>
    <t>hogire1948@hotmail.com</t>
  </si>
  <si>
    <t>Helen Rose</t>
  </si>
  <si>
    <t>22 Kulbardi Way</t>
  </si>
  <si>
    <t>0437445630</t>
  </si>
  <si>
    <t>rosebunch5@gmail.com</t>
  </si>
  <si>
    <t>BESS</t>
  </si>
  <si>
    <t>BESS Powerpack 232kWh</t>
  </si>
  <si>
    <t>EV</t>
  </si>
  <si>
    <t>N/A</t>
  </si>
  <si>
    <t>EV Charger</t>
  </si>
  <si>
    <t>CS</t>
  </si>
  <si>
    <t>Common Services MSB</t>
  </si>
  <si>
    <t>1B</t>
  </si>
  <si>
    <t>Susan Gibson</t>
  </si>
  <si>
    <t>78 Kulbardi Way</t>
  </si>
  <si>
    <t>Karen Majer &amp; Boyd Wykes</t>
  </si>
  <si>
    <t>76 Kulbardi Way</t>
  </si>
  <si>
    <t>Susan Hardy</t>
  </si>
  <si>
    <t>74 Kulbardi Way</t>
  </si>
  <si>
    <t>Jennie McCormack</t>
  </si>
  <si>
    <t>72 Kulbardi Way</t>
  </si>
  <si>
    <t>Michael &amp; Britta Sorensen</t>
  </si>
  <si>
    <t>70 Kulbardi Way</t>
  </si>
  <si>
    <t>Toni Aslett</t>
  </si>
  <si>
    <t>68 Kulbardi Way</t>
  </si>
  <si>
    <t>Bridget Bolitho</t>
  </si>
  <si>
    <t>66 Kulbardi Way</t>
  </si>
  <si>
    <t>Shereen &amp; Hamish Jolly</t>
  </si>
  <si>
    <t>64 Kulbardi Way</t>
  </si>
  <si>
    <t>Symo 6.0</t>
  </si>
  <si>
    <t>Phillip Crockford &amp; Wendy Davis</t>
  </si>
  <si>
    <t>62 Kulbardi Way</t>
  </si>
  <si>
    <t>Stefan &amp; Jennifer Widmer</t>
  </si>
  <si>
    <t>60 Kulbardi Way</t>
  </si>
  <si>
    <t>Hannah &amp; Peter Flack</t>
  </si>
  <si>
    <t>58 Kulbardi Way</t>
  </si>
  <si>
    <t>Paul &amp; Nicole Wilkinson</t>
  </si>
  <si>
    <t>56 Kulbardi Way</t>
  </si>
  <si>
    <t>Stephen &amp; Dicy Hall</t>
  </si>
  <si>
    <t>54 Kulbardi Way</t>
  </si>
  <si>
    <t>Craig &amp; Julie Headford</t>
  </si>
  <si>
    <t>52 Kulbardi Way</t>
  </si>
  <si>
    <t>Jema McCabe</t>
  </si>
  <si>
    <t>18 Yornitj Grove</t>
  </si>
  <si>
    <t>Colin &amp; Filomena Dear</t>
  </si>
  <si>
    <t>20 Yornitj Grove</t>
  </si>
  <si>
    <t>Candice &amp; Bryn Papalia</t>
  </si>
  <si>
    <t>22 Yornitj Grove</t>
  </si>
  <si>
    <t>Chloe Dignam</t>
  </si>
  <si>
    <t>24 Yornitj Grove</t>
  </si>
  <si>
    <t>Alex Jolly</t>
  </si>
  <si>
    <t>26 Yornitj Grove</t>
  </si>
  <si>
    <t>Nathan Stone</t>
  </si>
  <si>
    <t>3 Kyloring Drive</t>
  </si>
  <si>
    <t>Fam ily</t>
  </si>
  <si>
    <t>Nicholas Mead &amp; Theresa Brandl</t>
  </si>
  <si>
    <t>5 Kyloring Drive</t>
  </si>
  <si>
    <t>Aron Dyer
Jodie Passmore</t>
  </si>
  <si>
    <t>19 Yornitj Grove</t>
  </si>
  <si>
    <t xml:space="preserve"> Witchcliffe</t>
  </si>
  <si>
    <t xml:space="preserve"> WA</t>
  </si>
  <si>
    <t>Eli Sutton</t>
  </si>
  <si>
    <t>21 Yornitj Grove</t>
  </si>
  <si>
    <t>Shelley Chapman
Cherry Chapman</t>
  </si>
  <si>
    <t>23 Yornitj Grove</t>
  </si>
  <si>
    <t>Jillian Ann Luckhurst</t>
  </si>
  <si>
    <t>25 Yornitj Grove</t>
  </si>
  <si>
    <t>Samuel Vinciullo</t>
  </si>
  <si>
    <t>27 Yornitj Grove</t>
  </si>
  <si>
    <t xml:space="preserve">Christopher Paul Martin
Vicki Ann Martin </t>
  </si>
  <si>
    <t>4 Mannitj Place</t>
  </si>
  <si>
    <t>Dex Ezekiel,
Jeannine Penniment</t>
  </si>
  <si>
    <t>6 Mannitj Place</t>
  </si>
  <si>
    <t>UC/M/ND</t>
  </si>
  <si>
    <t>Eric Martini 
Karina Jean Martini</t>
  </si>
  <si>
    <t>8 Mannitj Place</t>
  </si>
  <si>
    <t>Christopher van Etten
Emmanuelle van Etten</t>
  </si>
  <si>
    <t>10 Mannitj Place</t>
  </si>
  <si>
    <t>Peter Smith</t>
  </si>
  <si>
    <t>32 Kulbardi Way</t>
  </si>
  <si>
    <t>Peter Andre Grant</t>
  </si>
  <si>
    <t>34 Kulbardi Way</t>
  </si>
  <si>
    <t>Sandra Handy</t>
  </si>
  <si>
    <t>36 Kulbardi Way</t>
  </si>
  <si>
    <t>Miles Durand</t>
  </si>
  <si>
    <t>38 Kulbardi Way</t>
  </si>
  <si>
    <t>Lawrence Bycroft
Anu Grace</t>
  </si>
  <si>
    <t>40 Kulbardi Way</t>
  </si>
  <si>
    <t>Kaine Grigg (Hudson)</t>
  </si>
  <si>
    <t>50 Kulbardi Way</t>
  </si>
  <si>
    <t>Veronique Florec</t>
  </si>
  <si>
    <t>48 Kulbardi Way</t>
  </si>
  <si>
    <t>Lars Rueter
Katja Blankenheim</t>
  </si>
  <si>
    <t>46 Kulbardi Way</t>
  </si>
  <si>
    <t>Amy Steel</t>
  </si>
  <si>
    <t>44 Kulbardi Way</t>
  </si>
  <si>
    <t>Laurence Hansen
Janet Anne Hansen</t>
  </si>
  <si>
    <t>42 Kulbardi Way</t>
  </si>
  <si>
    <t>10437 Bussell Hwy</t>
  </si>
  <si>
    <t>2A</t>
  </si>
  <si>
    <t>Megan Donald &amp; Yehuda Harmor</t>
  </si>
  <si>
    <t xml:space="preserve"> 15 Kulbardi Way </t>
  </si>
  <si>
    <t xml:space="preserve">0499 838 958 </t>
  </si>
  <si>
    <t xml:space="preserve"> 0499 838 830</t>
  </si>
  <si>
    <t>tinymegan68@gmail.com</t>
  </si>
  <si>
    <t>LK &amp; MD Hynes</t>
  </si>
  <si>
    <t xml:space="preserve"> 13 Kulbardi Way </t>
  </si>
  <si>
    <t xml:space="preserve">0411 725 581 </t>
  </si>
  <si>
    <t xml:space="preserve"> 0478 577 554</t>
  </si>
  <si>
    <t>lyndalhynes@hotmail.com</t>
  </si>
  <si>
    <t>Paul John Baker</t>
  </si>
  <si>
    <t xml:space="preserve"> 11 Kulbardi Way </t>
  </si>
  <si>
    <t>0402 135 100</t>
  </si>
  <si>
    <t>theminiguyagain@gmail.com</t>
  </si>
  <si>
    <t>K L Geels</t>
  </si>
  <si>
    <t xml:space="preserve"> 9 Kulbardi Way </t>
  </si>
  <si>
    <t>44(0)7734364646</t>
  </si>
  <si>
    <t>kgeels@gmail.com</t>
  </si>
  <si>
    <t>B &amp; G Hamersma</t>
  </si>
  <si>
    <t xml:space="preserve"> 7 Kulbardi Way </t>
  </si>
  <si>
    <t xml:space="preserve">0416 499 424 </t>
  </si>
  <si>
    <t xml:space="preserve"> 0424 482 470</t>
  </si>
  <si>
    <t>bouwe.hamersma@gmail.com</t>
  </si>
  <si>
    <t>B &amp; G Garnett</t>
  </si>
  <si>
    <t xml:space="preserve"> 5 Kulbardi Way </t>
  </si>
  <si>
    <t>0413 209 277</t>
  </si>
  <si>
    <t>garnett635@hotmail.com</t>
  </si>
  <si>
    <t>C E Andrews &amp; Y J Marinivich</t>
  </si>
  <si>
    <t xml:space="preserve"> 3 Kulbardi Way </t>
  </si>
  <si>
    <t xml:space="preserve">0448 023 265 </t>
  </si>
  <si>
    <t xml:space="preserve"> 0488 937 149</t>
  </si>
  <si>
    <t>yurimarinovich@gmail.com</t>
  </si>
  <si>
    <t>Colin Reburn</t>
  </si>
  <si>
    <t xml:space="preserve"> 1 Kulbardi Way </t>
  </si>
  <si>
    <t>0435 204 625</t>
  </si>
  <si>
    <t>colin@kilmontinplumbing.com</t>
  </si>
  <si>
    <t>N &amp; C Haskell</t>
  </si>
  <si>
    <t xml:space="preserve"> 23 Wolghine Ave </t>
  </si>
  <si>
    <t xml:space="preserve">0478 630 993 </t>
  </si>
  <si>
    <t xml:space="preserve"> 0478 220 964</t>
  </si>
  <si>
    <t>nadia.anne@gmail.com</t>
  </si>
  <si>
    <t>Charlotte &amp; Darryl Diaz</t>
  </si>
  <si>
    <t xml:space="preserve"> 21 Wolghine Ave </t>
  </si>
  <si>
    <t xml:space="preserve">0415 506 827 </t>
  </si>
  <si>
    <t>0449 646 303</t>
  </si>
  <si>
    <t>darrylnaidu@gmail.com</t>
  </si>
  <si>
    <t>Simon Alan Naber</t>
  </si>
  <si>
    <t xml:space="preserve"> 19 Wolghine Ave </t>
  </si>
  <si>
    <t>0449 253 680</t>
  </si>
  <si>
    <t>simon@mooreandmoorecafe.com</t>
  </si>
  <si>
    <t>J S C &amp; EP Ford</t>
  </si>
  <si>
    <t xml:space="preserve"> 17 Wolghine Ave </t>
  </si>
  <si>
    <t xml:space="preserve">0414 401 059 </t>
  </si>
  <si>
    <t xml:space="preserve"> 0432 519 448</t>
  </si>
  <si>
    <t>setford.18@gmail.com</t>
  </si>
  <si>
    <t>K V Jarvis &amp; P S Davis</t>
  </si>
  <si>
    <t xml:space="preserve"> 15 Wolghine Ave </t>
  </si>
  <si>
    <t xml:space="preserve">0435 280 200 </t>
  </si>
  <si>
    <t xml:space="preserve"> 0435 280 202</t>
  </si>
  <si>
    <t>katevjarvis@hotmail.com</t>
  </si>
  <si>
    <t>A Lillend</t>
  </si>
  <si>
    <t xml:space="preserve"> 20 Mardo Drive </t>
  </si>
  <si>
    <t xml:space="preserve">0466 498 000 </t>
  </si>
  <si>
    <t xml:space="preserve"> 0449 594 479</t>
  </si>
  <si>
    <t>astisup@gmail.com</t>
  </si>
  <si>
    <t>Liz Thomas</t>
  </si>
  <si>
    <t xml:space="preserve"> 22 Mardo Drive </t>
  </si>
  <si>
    <t>0421 607 702</t>
  </si>
  <si>
    <t>ehmthomas@hotmail.com</t>
  </si>
  <si>
    <t>Helen Downsborough</t>
  </si>
  <si>
    <t xml:space="preserve"> 24 Mardo Drive </t>
  </si>
  <si>
    <t>042 883 6629</t>
  </si>
  <si>
    <t>helendownsborough@bigpond.com</t>
  </si>
  <si>
    <t>Carol Luca</t>
  </si>
  <si>
    <t xml:space="preserve"> 26 Mardo Drive </t>
  </si>
  <si>
    <t>0425 823 928</t>
  </si>
  <si>
    <t>carolluca8@icloud.com</t>
  </si>
  <si>
    <t>N Rebasti</t>
  </si>
  <si>
    <t xml:space="preserve"> 28 Mardo Drive </t>
  </si>
  <si>
    <t xml:space="preserve">0410 216 361 </t>
  </si>
  <si>
    <t xml:space="preserve"> 08 9192 7127</t>
  </si>
  <si>
    <t>nadreb@hotmail.com</t>
  </si>
  <si>
    <t>T W Oliver</t>
  </si>
  <si>
    <t xml:space="preserve"> 30 Mardo Drive </t>
  </si>
  <si>
    <t>0424 205 755</t>
  </si>
  <si>
    <t>timoliver33@gmail.com</t>
  </si>
  <si>
    <t>Zac Webb</t>
  </si>
  <si>
    <t xml:space="preserve"> 32 Mardo Drive </t>
  </si>
  <si>
    <t>0497 685 142</t>
  </si>
  <si>
    <t>waalitj_wongi@outlook.com</t>
  </si>
  <si>
    <t>Richard Parsons and Rashmi Patel</t>
  </si>
  <si>
    <t xml:space="preserve"> 34 Mardo Drive </t>
  </si>
  <si>
    <t xml:space="preserve">0411 224 572 </t>
  </si>
  <si>
    <t xml:space="preserve"> 0431 771 211</t>
  </si>
  <si>
    <t>Richard_Parsons@bigpond.com</t>
  </si>
  <si>
    <t>Katie Hemsworth &amp; Jason Godinet</t>
  </si>
  <si>
    <t xml:space="preserve"> 36 Mardo Drive </t>
  </si>
  <si>
    <t>0416 431 899</t>
  </si>
  <si>
    <t>katie.hemsworth@gmail.com</t>
  </si>
  <si>
    <t>GC &amp; SJ Ramage</t>
  </si>
  <si>
    <t xml:space="preserve"> 38 Mardo Drive </t>
  </si>
  <si>
    <t>ND</t>
  </si>
  <si>
    <t xml:space="preserve">0488 332 155 </t>
  </si>
  <si>
    <t xml:space="preserve"> 0417 495 145</t>
  </si>
  <si>
    <t>gsramage@outlook.com</t>
  </si>
  <si>
    <t>2B</t>
  </si>
  <si>
    <t>Timothy  &amp; Sandra  Sanders</t>
  </si>
  <si>
    <t>33 KULBARDI WAY</t>
  </si>
  <si>
    <t xml:space="preserve">0429 988 055 </t>
  </si>
  <si>
    <t xml:space="preserve"> 0400 917 914</t>
  </si>
  <si>
    <t>timsanns@westnet.com.au</t>
  </si>
  <si>
    <t>Rochelle &amp; Buki Cohen</t>
  </si>
  <si>
    <t>31 KULBARDI WAY</t>
  </si>
  <si>
    <t xml:space="preserve">0407 772 452 </t>
  </si>
  <si>
    <t>0484 296 701</t>
  </si>
  <si>
    <t>roebuki@gmail.com</t>
  </si>
  <si>
    <t>Catherine Keet</t>
  </si>
  <si>
    <t>29 KULBARDI WAY</t>
  </si>
  <si>
    <t>0404 833 665</t>
  </si>
  <si>
    <t>cathkeet@gmail.com</t>
  </si>
  <si>
    <t>Karen Ann Van Rompaey</t>
  </si>
  <si>
    <t>27 KULBARDI WAY</t>
  </si>
  <si>
    <t>0422 463 670</t>
  </si>
  <si>
    <t>karenvr20@gmail.com</t>
  </si>
  <si>
    <t>James Bell</t>
  </si>
  <si>
    <t>25 KULBARDI WAY</t>
  </si>
  <si>
    <t>0438 365 442</t>
  </si>
  <si>
    <t>bell.freo@icloud.com</t>
  </si>
  <si>
    <t>Nola Gaebler</t>
  </si>
  <si>
    <t>23 KULBARDI WAY</t>
  </si>
  <si>
    <t>0419 925 234</t>
  </si>
  <si>
    <t>nolagaebler@gmail.com</t>
  </si>
  <si>
    <t>Nicholas Macpherson</t>
  </si>
  <si>
    <t>21 KULBARDI WAY</t>
  </si>
  <si>
    <t>0429 908 804</t>
  </si>
  <si>
    <t>nick2skip@gmail.com</t>
  </si>
  <si>
    <t>Niall Casey &amp; Severine Robert</t>
  </si>
  <si>
    <t>19 KULBARDI WAY</t>
  </si>
  <si>
    <t xml:space="preserve">0477 371 203 </t>
  </si>
  <si>
    <t xml:space="preserve"> 0411 691 718</t>
  </si>
  <si>
    <t>severinarobert@gmail.com</t>
  </si>
  <si>
    <t>Greg Harrison &amp; Koon Phua</t>
  </si>
  <si>
    <t>17 KULBARDI WAY</t>
  </si>
  <si>
    <t xml:space="preserve">0468 325 002 </t>
  </si>
  <si>
    <t xml:space="preserve"> 0430 987 651</t>
  </si>
  <si>
    <t>letitbmail@gmail.com</t>
  </si>
  <si>
    <t>Alison Askew</t>
  </si>
  <si>
    <t>37 MARDO DRIVE</t>
  </si>
  <si>
    <t>0430 162 767</t>
  </si>
  <si>
    <t>alisonaskew123@gmail.com</t>
  </si>
  <si>
    <t>Simon Clough</t>
  </si>
  <si>
    <t>35 MARDO DRIVE</t>
  </si>
  <si>
    <t>0451 357 578</t>
  </si>
  <si>
    <t>kpkela@gmail.com</t>
  </si>
  <si>
    <t>Jennifer Anne Dunlop</t>
  </si>
  <si>
    <t>33 MARDO DRIVE</t>
  </si>
  <si>
    <t>0449 712 367</t>
  </si>
  <si>
    <t>mail@jennydunlop.com</t>
  </si>
  <si>
    <t>Kylie Nettleton</t>
  </si>
  <si>
    <t>31 MARDO DRIVE</t>
  </si>
  <si>
    <t>0433 337 752</t>
  </si>
  <si>
    <t>nettletonkylie@gmail.com</t>
  </si>
  <si>
    <t>21 MARDO DRIVE</t>
  </si>
  <si>
    <t xml:space="preserve">0437 286 429 </t>
  </si>
  <si>
    <t xml:space="preserve"> 0409 831 458</t>
  </si>
  <si>
    <t>britta@sorensenarchitects.com.au</t>
  </si>
  <si>
    <t>Tegan Robertson</t>
  </si>
  <si>
    <t>23 MARDO DRIVE</t>
  </si>
  <si>
    <t>0411 498 871</t>
  </si>
  <si>
    <t>tegan.jayne.robertson@gmail.com</t>
  </si>
  <si>
    <t>Megan Smythe</t>
  </si>
  <si>
    <t>25 MARDO DRIVE</t>
  </si>
  <si>
    <t>0448 250 776</t>
  </si>
  <si>
    <t>megan_smythe@hotmail.com</t>
  </si>
  <si>
    <t>Matthew Groom</t>
  </si>
  <si>
    <t>27 MARDO DRIVE</t>
  </si>
  <si>
    <t>0490 258 941</t>
  </si>
  <si>
    <t>matt@othersideproperty.com.au</t>
  </si>
  <si>
    <t>Tijanah Fahie</t>
  </si>
  <si>
    <t>29 MARDO DRIVE</t>
  </si>
  <si>
    <t>0406 962 984</t>
  </si>
  <si>
    <t>tijanahfahie@yahoo.com.au</t>
  </si>
  <si>
    <t>Michelle Sheridan</t>
  </si>
  <si>
    <t>21 MANNITJ PLACE</t>
  </si>
  <si>
    <t xml:space="preserve">0457 271 128 </t>
  </si>
  <si>
    <t>shelle@ecovillage.net.au</t>
  </si>
  <si>
    <t>Chris Twomey &amp; Rachel Siewert</t>
  </si>
  <si>
    <t>19 MANNITJ PLACE</t>
  </si>
  <si>
    <t xml:space="preserve">0407 725 025 </t>
  </si>
  <si>
    <t xml:space="preserve"> 0419 914 424 </t>
  </si>
  <si>
    <t>chris@wacoss.org.au</t>
  </si>
  <si>
    <t>Karen Millar</t>
  </si>
  <si>
    <t>17 MANNITJ PLACE</t>
  </si>
  <si>
    <t xml:space="preserve">0439 937 533 </t>
  </si>
  <si>
    <t xml:space="preserve"> 0428 853 555</t>
  </si>
  <si>
    <t>karenmil@bigpond.net.au</t>
  </si>
  <si>
    <t>Eduardo and Emily Oliveira</t>
  </si>
  <si>
    <t>15 MANNITJ PLACE</t>
  </si>
  <si>
    <t xml:space="preserve">0436 818 924 </t>
  </si>
  <si>
    <t xml:space="preserve"> 0487 884 820</t>
  </si>
  <si>
    <t>emsoliveira@outlook.com</t>
  </si>
  <si>
    <t>3A</t>
  </si>
  <si>
    <t>Annie McBeath</t>
  </si>
  <si>
    <t>15 Mardo Drive</t>
  </si>
  <si>
    <t>0416 022 279</t>
  </si>
  <si>
    <t>annimcb@gmail.com</t>
  </si>
  <si>
    <t>Bianca &amp; Drasko Jankovic</t>
  </si>
  <si>
    <t>13 Mardo Drive</t>
  </si>
  <si>
    <t>0450 941 480</t>
  </si>
  <si>
    <t>bbee@iinet.net.au</t>
  </si>
  <si>
    <t>Victoria J Kennedy</t>
  </si>
  <si>
    <t>11 Mardo Drive</t>
  </si>
  <si>
    <t>0424 694 083</t>
  </si>
  <si>
    <t>victoria.j.kennedy@outlook.com</t>
  </si>
  <si>
    <t>Patricia Anne Dunlop</t>
  </si>
  <si>
    <t>9 Balagarra Lane</t>
  </si>
  <si>
    <t xml:space="preserve">0423 339 176 </t>
  </si>
  <si>
    <t>Denise Klemm</t>
  </si>
  <si>
    <t>7 Balagarra Lane</t>
  </si>
  <si>
    <t>0428 439 099</t>
  </si>
  <si>
    <t>dklemm99@gmail.com</t>
  </si>
  <si>
    <t>Joanne Tastula</t>
  </si>
  <si>
    <t>5 Balagarra Lane</t>
  </si>
  <si>
    <t>0401 153 770</t>
  </si>
  <si>
    <t>jtastula1@me.com</t>
  </si>
  <si>
    <t>Sharon Tulp &amp; Michael Johnson</t>
  </si>
  <si>
    <t>3 Balagarra Lane</t>
  </si>
  <si>
    <t xml:space="preserve">0437 957 575 </t>
  </si>
  <si>
    <t>sharon.tulp@gmail.com</t>
  </si>
  <si>
    <t>Andrew &amp; Rachel Clough</t>
  </si>
  <si>
    <t>1 Balagarra Lane</t>
  </si>
  <si>
    <t>0428 104 411</t>
  </si>
  <si>
    <t>andreclo@convera.com</t>
  </si>
  <si>
    <t>Jenny &amp; Brian Gilbert</t>
  </si>
  <si>
    <t>4 Karrack Cr</t>
  </si>
  <si>
    <t xml:space="preserve">0423 197 127 </t>
  </si>
  <si>
    <t>jgilbert@global.net.au</t>
  </si>
  <si>
    <t>Karen Sharland &amp; David Lambie</t>
  </si>
  <si>
    <t>6 Karrack Cr</t>
  </si>
  <si>
    <t>0434 671 920</t>
  </si>
  <si>
    <t>klambie1965@gmail.com</t>
  </si>
  <si>
    <t xml:space="preserve">Emma &amp; Heath Daly </t>
  </si>
  <si>
    <t>8 Karrack Cr</t>
  </si>
  <si>
    <t>0432 966 933</t>
  </si>
  <si>
    <t>emmandaly@gmail.com</t>
  </si>
  <si>
    <t xml:space="preserve">Claire Burnet </t>
  </si>
  <si>
    <t>10 Karrack Cr</t>
  </si>
  <si>
    <t>0448 585 947</t>
  </si>
  <si>
    <t>groovynative@gmail.com</t>
  </si>
  <si>
    <t>Katie Wilkinson and Matthew Blackwell</t>
  </si>
  <si>
    <t>12 Karrack Cr</t>
  </si>
  <si>
    <t>mojomatt11@yahoo.com.au</t>
  </si>
  <si>
    <t>Trent &amp; Jasmin Hinton</t>
  </si>
  <si>
    <t>14 Karrack Cr</t>
  </si>
  <si>
    <t>0430 201 089</t>
  </si>
  <si>
    <t>jas_michelle_andrew@hotmail.com</t>
  </si>
  <si>
    <t>Elaine Clocherty</t>
  </si>
  <si>
    <t>16 Karrack Cr</t>
  </si>
  <si>
    <t>0408 097 803</t>
  </si>
  <si>
    <t>elaineclocherty@gmail.com</t>
  </si>
  <si>
    <t>Hans-Peter Marschner &amp; Leanne Wood</t>
  </si>
  <si>
    <t>18 Karrack Cr</t>
  </si>
  <si>
    <t xml:space="preserve">0410 365 673 </t>
  </si>
  <si>
    <t>petermar888@proton.me</t>
  </si>
  <si>
    <t>Darren  Fletcher</t>
  </si>
  <si>
    <t>20 Karrack Cr</t>
  </si>
  <si>
    <t>0499 439 587</t>
  </si>
  <si>
    <t>shivashaktimoon@icloud.com</t>
  </si>
  <si>
    <t>Amy Matheson &amp; Jethro Hardinge</t>
  </si>
  <si>
    <t>22 Karrack Cr</t>
  </si>
  <si>
    <t>0433 938 494</t>
  </si>
  <si>
    <t>a_matheson@fastmail.com</t>
  </si>
  <si>
    <t>Janice Ethel Moore</t>
  </si>
  <si>
    <t>24 Karrack Cr</t>
  </si>
  <si>
    <t>0416 745 300</t>
  </si>
  <si>
    <t>janmoore8@outlook.com</t>
  </si>
  <si>
    <t>Gillian &amp; Mark Moore</t>
  </si>
  <si>
    <t>26 Karrack Cr</t>
  </si>
  <si>
    <t>0409 079 258</t>
  </si>
  <si>
    <t>C2G6@proton.me</t>
  </si>
  <si>
    <t>Ian and Amy Grogan</t>
  </si>
  <si>
    <t>28 Karrack Cr</t>
  </si>
  <si>
    <t>+974 3379 0607</t>
  </si>
  <si>
    <t>ian.grogan@icloud.com</t>
  </si>
  <si>
    <t>Heather Collins</t>
  </si>
  <si>
    <t>30 Karrack Cr</t>
  </si>
  <si>
    <t>0422 262 935</t>
  </si>
  <si>
    <t>heathermarcollins@yahoo.com.au</t>
  </si>
  <si>
    <t>Michelle &amp; Mark Hansel</t>
  </si>
  <si>
    <t>32 Karrack Cr</t>
  </si>
  <si>
    <t xml:space="preserve">0431 007 876 </t>
  </si>
  <si>
    <t>markrhansel@gmail.com</t>
  </si>
  <si>
    <t>Jane Hammond &amp; Shane French</t>
  </si>
  <si>
    <t>34 Karrack Cr</t>
  </si>
  <si>
    <t>0403 926 467</t>
  </si>
  <si>
    <t>janehammondfreelance@gmail.com</t>
  </si>
  <si>
    <t>Alison Valerie Wylie</t>
  </si>
  <si>
    <t>36 Karrack Cr</t>
  </si>
  <si>
    <t>0490 434 688</t>
  </si>
  <si>
    <t>swylie521@gmail.com</t>
  </si>
  <si>
    <t>Fiona Davey &amp; John Bowman</t>
  </si>
  <si>
    <t>38 Karrack Cr</t>
  </si>
  <si>
    <t>0499 739 981</t>
  </si>
  <si>
    <t>uluwatu.bowman@gmail.com</t>
  </si>
  <si>
    <t>Christine Randall</t>
  </si>
  <si>
    <t>40 Karrack Cr</t>
  </si>
  <si>
    <t>0407 407 360</t>
  </si>
  <si>
    <t>christinerandall8@gmail.com</t>
  </si>
  <si>
    <t>3B</t>
  </si>
  <si>
    <t>Pernar Properties Pty Ltd Atf The Pernar Family Trust</t>
  </si>
  <si>
    <t>11 Wannang Lane</t>
  </si>
  <si>
    <t>Vacant</t>
  </si>
  <si>
    <t>0438 454 435</t>
  </si>
  <si>
    <t>roger@pernar.com</t>
  </si>
  <si>
    <t>George H &amp; Carol Ann Greenwell</t>
  </si>
  <si>
    <t>9 WANNANG LANE</t>
  </si>
  <si>
    <t>UC/ Dec' 24</t>
  </si>
  <si>
    <t xml:space="preserve">0403 550 008 </t>
  </si>
  <si>
    <t xml:space="preserve"> 0405 569 194</t>
  </si>
  <si>
    <t>ggreenwell2@outlook.com</t>
  </si>
  <si>
    <t>Sarah L Hewer &amp; Max Brearley</t>
  </si>
  <si>
    <t>7 WANNANG LANE</t>
  </si>
  <si>
    <t xml:space="preserve">0478 637 632 </t>
  </si>
  <si>
    <t xml:space="preserve"> 0478 630 887</t>
  </si>
  <si>
    <t>sarahhewer@me.com</t>
  </si>
  <si>
    <t>Bronwyn EDWARDS</t>
  </si>
  <si>
    <t>5 WANNANG LANE</t>
  </si>
  <si>
    <t>0423 889 083</t>
  </si>
  <si>
    <t>bronwyn_edwards@yahoo.com.au</t>
  </si>
  <si>
    <t>Hans &amp; Dagmar Van Diest</t>
  </si>
  <si>
    <t>3 WANNANG LANE</t>
  </si>
  <si>
    <t>0429 518 152</t>
  </si>
  <si>
    <t>hansendagmarvandiest@gmail.com</t>
  </si>
  <si>
    <t>brunomartinangeli09@gmail.com</t>
  </si>
  <si>
    <t xml:space="preserve">0403 408 903 </t>
  </si>
  <si>
    <t>Bruno Angeli &amp; Gisella Galloni</t>
  </si>
  <si>
    <t>Claire Elise Hewer &amp; Laith Tapper</t>
  </si>
  <si>
    <t>1 WANNANG LANE</t>
  </si>
  <si>
    <t>0466 877 967</t>
  </si>
  <si>
    <t>clairehewer@hotmail.com</t>
  </si>
  <si>
    <t>Karen M Kotze</t>
  </si>
  <si>
    <t>75 KARRACK CRESCENT</t>
  </si>
  <si>
    <t>0408 880 219</t>
  </si>
  <si>
    <t>karenkotze@outlook.com</t>
  </si>
  <si>
    <t>Tim James &amp; Kelly Marrie Thomson</t>
  </si>
  <si>
    <t>73 KARRACK CRESCENT</t>
  </si>
  <si>
    <t xml:space="preserve">0409 371 320 </t>
  </si>
  <si>
    <t xml:space="preserve"> 0439 829 784</t>
  </si>
  <si>
    <t>timjcthomson@gmail.com</t>
  </si>
  <si>
    <t>Alistar &amp; Sarah Bax</t>
  </si>
  <si>
    <t>71 KARRACK CRESCENT</t>
  </si>
  <si>
    <t xml:space="preserve">0412 353 713 </t>
  </si>
  <si>
    <t xml:space="preserve"> 0422 125 939</t>
  </si>
  <si>
    <t>family@sarahbax.com</t>
  </si>
  <si>
    <t>Annemarie and Andrew Wilson</t>
  </si>
  <si>
    <t>69 KARRACK CRESCENT</t>
  </si>
  <si>
    <t>0439 339 327</t>
  </si>
  <si>
    <t>msannieawilson@gmail.com</t>
  </si>
  <si>
    <t>Pauline Amez-Droz</t>
  </si>
  <si>
    <t>67 KARRACK CRESCENT</t>
  </si>
  <si>
    <t>0472 734 003</t>
  </si>
  <si>
    <t>pamezdroz@protonmail.com</t>
  </si>
  <si>
    <t>Jamie Wilkinson and Fiona Skoglund</t>
  </si>
  <si>
    <t>65 KARRACK CRESCENT</t>
  </si>
  <si>
    <t xml:space="preserve">0401 246 001 </t>
  </si>
  <si>
    <t xml:space="preserve"> 0437 005 403</t>
  </si>
  <si>
    <t>fiona_skoglund@hotmail.com</t>
  </si>
  <si>
    <t>Amanda  Garland &amp; Jason McHattan</t>
  </si>
  <si>
    <t>63 KARRACK CRESCENT</t>
  </si>
  <si>
    <t xml:space="preserve">0421 616 121 </t>
  </si>
  <si>
    <t xml:space="preserve"> 0407 075 750</t>
  </si>
  <si>
    <t>jasonmchattan@gmail.com</t>
  </si>
  <si>
    <t>Oct 24</t>
  </si>
  <si>
    <t>Dane Mason &amp; Marlies Martensen</t>
  </si>
  <si>
    <t>61 KARRACK CRESCENT</t>
  </si>
  <si>
    <t xml:space="preserve">0477 032 033 </t>
  </si>
  <si>
    <t xml:space="preserve"> 0412 041 470</t>
  </si>
  <si>
    <t>danemichaelmason@gmail.com</t>
  </si>
  <si>
    <t>Kay Elizabeth Leftwich</t>
  </si>
  <si>
    <t>51 KARRACK CRESCENT</t>
  </si>
  <si>
    <t>0439 968 795</t>
  </si>
  <si>
    <t>riderlefty@gmail.com</t>
  </si>
  <si>
    <t>Lauren Parker</t>
  </si>
  <si>
    <t>53 KARRACK CRESCENT</t>
  </si>
  <si>
    <t>0401 932 390</t>
  </si>
  <si>
    <t>laurensparker@outlook.com</t>
  </si>
  <si>
    <t>Lorna Pedroni</t>
  </si>
  <si>
    <t>55 KARRACK CRESCENT</t>
  </si>
  <si>
    <t>0476 721 889</t>
  </si>
  <si>
    <t xml:space="preserve">riverlcp@gmail.com </t>
  </si>
  <si>
    <t>Joshua L Burke</t>
  </si>
  <si>
    <t>57 KARRACK CRESCENT</t>
  </si>
  <si>
    <t>0424 954 574</t>
  </si>
  <si>
    <t>meish.b98@gmail.com</t>
  </si>
  <si>
    <t>Chloe J Lovelidge</t>
  </si>
  <si>
    <t>59 KARRACK CRESCENT</t>
  </si>
  <si>
    <t xml:space="preserve">0407 952 58 </t>
  </si>
  <si>
    <t xml:space="preserve"> 0431 604 408</t>
  </si>
  <si>
    <t xml:space="preserve">Chloe_lovelidge@hotmail.com </t>
  </si>
  <si>
    <t>Inverter start date</t>
  </si>
  <si>
    <t>DB1</t>
  </si>
  <si>
    <t>DB2</t>
  </si>
  <si>
    <t>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</si>
</sst>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_(* #,##0.0_);_(* \(#,##0.0\);_(* &quot;-&quot;??_);_(@_)"/>
    <numFmt numFmtId="166" formatCode="0.0"/>
    <numFmt numFmtId="167" formatCode="mm/dd/yy;@"/>
    <numFmt numFmtId="168" formatCode="d/mm/yyyy"/>
  </numFmts>
  <fonts count="27" x14ac:knownFonts="1"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Helvetica Neue"/>
      <family val="2"/>
    </font>
    <font>
      <u/>
      <sz val="12"/>
      <color rgb="FF0066CC"/>
      <name val="Aptos Narrow"/>
      <family val="2"/>
      <scheme val="minor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u/>
      <sz val="12"/>
      <color rgb="FF0563C1"/>
      <name val="Calibri"/>
      <family val="2"/>
    </font>
    <font>
      <sz val="12"/>
      <color rgb="FF212121"/>
      <name val="Aptos"/>
    </font>
    <font>
      <sz val="12"/>
      <color rgb="FF0563C1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4"/>
      <color theme="1"/>
      <name val="Aptos Narrow"/>
      <family val="2"/>
      <scheme val="minor"/>
    </font>
    <font>
      <sz val="14"/>
      <color rgb="FF222421"/>
      <name val="Aptos Narrow"/>
      <family val="2"/>
      <scheme val="minor"/>
    </font>
    <font>
      <sz val="14"/>
      <color theme="1"/>
      <name val="Calibri"/>
      <family val="2"/>
    </font>
    <font>
      <sz val="14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>
      <alignment wrapText="1"/>
    </xf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0" fillId="0" borderId="0" applyNumberFormat="0" applyFill="0" applyBorder="0" applyAlignment="0" applyProtection="0">
      <alignment wrapText="1"/>
    </xf>
    <xf numFmtId="0" fontId="3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9" fontId="1" fillId="0" borderId="0" applyFont="0" applyFill="0" applyBorder="0" applyAlignment="0" applyProtection="0"/>
  </cellStyleXfs>
  <cellXfs count="99">
    <xf numFmtId="0" fontId="0" fillId="0" borderId="0" xfId="0">
      <alignment wrapText="1"/>
    </xf>
    <xf numFmtId="164" fontId="4" fillId="0" borderId="0" xfId="2" applyNumberFormat="1" applyFont="1" applyAlignment="1">
      <alignment horizontal="left" vertical="center" wrapText="1"/>
    </xf>
    <xf numFmtId="165" fontId="4" fillId="0" borderId="0" xfId="1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64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164" fontId="9" fillId="0" borderId="0" xfId="2" applyNumberFormat="1" applyFont="1" applyAlignment="1">
      <alignment horizontal="center" vertical="center" wrapText="1"/>
    </xf>
    <xf numFmtId="166" fontId="5" fillId="0" borderId="0" xfId="3" applyNumberFormat="1" applyFont="1" applyAlignment="1">
      <alignment wrapText="1"/>
    </xf>
    <xf numFmtId="164" fontId="7" fillId="0" borderId="0" xfId="2" applyNumberFormat="1" applyFont="1" applyFill="1" applyAlignment="1">
      <alignment horizontal="center" vertical="center"/>
    </xf>
    <xf numFmtId="1" fontId="11" fillId="0" borderId="3" xfId="0" applyNumberFormat="1" applyFont="1" applyBorder="1" applyAlignment="1">
      <alignment horizontal="center"/>
    </xf>
    <xf numFmtId="164" fontId="11" fillId="0" borderId="0" xfId="2" applyNumberFormat="1" applyFont="1" applyBorder="1" applyAlignment="1">
      <alignment horizontal="center"/>
    </xf>
    <xf numFmtId="166" fontId="12" fillId="0" borderId="0" xfId="0" applyNumberFormat="1" applyFont="1">
      <alignment wrapText="1"/>
    </xf>
    <xf numFmtId="1" fontId="11" fillId="3" borderId="3" xfId="0" applyNumberFormat="1" applyFont="1" applyFill="1" applyBorder="1" applyAlignment="1">
      <alignment horizontal="center"/>
    </xf>
    <xf numFmtId="164" fontId="11" fillId="3" borderId="0" xfId="2" applyNumberFormat="1" applyFont="1" applyFill="1" applyBorder="1" applyAlignment="1">
      <alignment horizontal="center"/>
    </xf>
    <xf numFmtId="1" fontId="11" fillId="0" borderId="4" xfId="0" applyNumberFormat="1" applyFont="1" applyBorder="1" applyAlignment="1">
      <alignment horizontal="center"/>
    </xf>
    <xf numFmtId="1" fontId="9" fillId="0" borderId="0" xfId="0" applyNumberFormat="1" applyFont="1" applyAlignment="1">
      <alignment horizontal="center" vertical="center" wrapText="1"/>
    </xf>
    <xf numFmtId="164" fontId="9" fillId="0" borderId="0" xfId="2" applyNumberFormat="1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64" fontId="11" fillId="0" borderId="0" xfId="2" applyNumberFormat="1" applyFont="1" applyAlignment="1">
      <alignment horizontal="center" vertical="center"/>
    </xf>
    <xf numFmtId="0" fontId="13" fillId="0" borderId="0" xfId="0" applyFont="1">
      <alignment wrapText="1"/>
    </xf>
    <xf numFmtId="0" fontId="7" fillId="0" borderId="0" xfId="0" applyFont="1">
      <alignment wrapText="1"/>
    </xf>
    <xf numFmtId="14" fontId="14" fillId="0" borderId="0" xfId="0" applyNumberFormat="1" applyFont="1" applyAlignment="1"/>
    <xf numFmtId="14" fontId="11" fillId="0" borderId="0" xfId="0" applyNumberFormat="1" applyFont="1" applyAlignment="1">
      <alignment horizontal="right"/>
    </xf>
    <xf numFmtId="14" fontId="11" fillId="0" borderId="0" xfId="0" applyNumberFormat="1" applyFont="1" applyAlignment="1"/>
    <xf numFmtId="14" fontId="14" fillId="0" borderId="0" xfId="0" applyNumberFormat="1" applyFont="1" applyAlignment="1">
      <alignment horizontal="left"/>
    </xf>
    <xf numFmtId="14" fontId="15" fillId="0" borderId="0" xfId="0" applyNumberFormat="1" applyFont="1" applyAlignment="1"/>
    <xf numFmtId="0" fontId="9" fillId="0" borderId="0" xfId="0" applyFont="1" applyAlignment="1">
      <alignment horizontal="center" vertical="center" wrapText="1"/>
    </xf>
    <xf numFmtId="0" fontId="9" fillId="0" borderId="0" xfId="0" applyFont="1">
      <alignment wrapText="1"/>
    </xf>
    <xf numFmtId="0" fontId="16" fillId="0" borderId="0" xfId="0" applyFont="1">
      <alignment wrapText="1"/>
    </xf>
    <xf numFmtId="14" fontId="9" fillId="0" borderId="0" xfId="0" applyNumberFormat="1" applyFont="1" applyAlignment="1">
      <alignment horizontal="left" vertical="center" wrapText="1"/>
    </xf>
    <xf numFmtId="0" fontId="5" fillId="0" borderId="0" xfId="3" applyFont="1" applyBorder="1" applyAlignment="1">
      <alignment wrapText="1"/>
    </xf>
    <xf numFmtId="14" fontId="17" fillId="0" borderId="0" xfId="0" applyNumberFormat="1" applyFont="1" applyAlignment="1">
      <alignment horizontal="left" vertical="center" wrapText="1"/>
    </xf>
    <xf numFmtId="0" fontId="18" fillId="0" borderId="0" xfId="0" applyFont="1">
      <alignment wrapText="1"/>
    </xf>
    <xf numFmtId="0" fontId="5" fillId="0" borderId="0" xfId="3" applyFont="1" applyBorder="1" applyAlignment="1">
      <alignment vertical="top" wrapText="1"/>
    </xf>
    <xf numFmtId="14" fontId="9" fillId="0" borderId="0" xfId="0" quotePrefix="1" applyNumberFormat="1" applyFont="1" applyAlignment="1">
      <alignment horizontal="left" vertical="center" wrapText="1"/>
    </xf>
    <xf numFmtId="166" fontId="5" fillId="0" borderId="0" xfId="3" applyNumberFormat="1" applyFont="1" applyBorder="1" applyAlignment="1">
      <alignment wrapText="1"/>
    </xf>
    <xf numFmtId="0" fontId="4" fillId="0" borderId="0" xfId="7" applyFont="1" applyAlignment="1">
      <alignment horizontal="left" vertical="center" wrapText="1"/>
    </xf>
    <xf numFmtId="0" fontId="1" fillId="0" borderId="0" xfId="7" applyAlignment="1">
      <alignment horizontal="left" vertical="center"/>
    </xf>
    <xf numFmtId="0" fontId="4" fillId="2" borderId="1" xfId="7" applyFont="1" applyFill="1" applyBorder="1" applyAlignment="1">
      <alignment horizontal="left" vertical="center" wrapText="1"/>
    </xf>
    <xf numFmtId="14" fontId="4" fillId="0" borderId="0" xfId="7" applyNumberFormat="1" applyFont="1" applyAlignment="1">
      <alignment horizontal="left" vertical="center" wrapText="1"/>
    </xf>
    <xf numFmtId="0" fontId="21" fillId="0" borderId="6" xfId="7" applyFont="1" applyBorder="1" applyAlignment="1">
      <alignment horizontal="left" vertical="center"/>
    </xf>
    <xf numFmtId="0" fontId="21" fillId="0" borderId="7" xfId="7" applyFont="1" applyBorder="1" applyAlignment="1">
      <alignment horizontal="left" vertical="center"/>
    </xf>
    <xf numFmtId="0" fontId="21" fillId="3" borderId="7" xfId="7" applyFont="1" applyFill="1" applyBorder="1"/>
    <xf numFmtId="1" fontId="7" fillId="0" borderId="0" xfId="8" applyNumberFormat="1" applyFont="1" applyAlignment="1">
      <alignment horizontal="center" vertical="center"/>
    </xf>
    <xf numFmtId="165" fontId="1" fillId="0" borderId="0" xfId="1" applyNumberFormat="1" applyFont="1" applyAlignment="1">
      <alignment horizontal="left" vertical="center"/>
    </xf>
    <xf numFmtId="166" fontId="1" fillId="0" borderId="0" xfId="7" applyNumberFormat="1" applyAlignment="1">
      <alignment horizontal="center"/>
    </xf>
    <xf numFmtId="166" fontId="1" fillId="0" borderId="0" xfId="7" applyNumberFormat="1" applyAlignment="1">
      <alignment horizontal="left" vertical="center"/>
    </xf>
    <xf numFmtId="166" fontId="8" fillId="0" borderId="0" xfId="7" applyNumberFormat="1" applyFont="1" applyAlignment="1">
      <alignment horizontal="left" vertical="center"/>
    </xf>
    <xf numFmtId="166" fontId="4" fillId="0" borderId="0" xfId="7" applyNumberFormat="1" applyFont="1" applyAlignment="1">
      <alignment horizontal="left" vertical="center"/>
    </xf>
    <xf numFmtId="49" fontId="1" fillId="0" borderId="0" xfId="7" applyNumberFormat="1" applyAlignment="1">
      <alignment horizontal="left" vertical="center"/>
    </xf>
    <xf numFmtId="14" fontId="1" fillId="0" borderId="0" xfId="7" applyNumberFormat="1" applyAlignment="1">
      <alignment horizontal="left" vertical="center"/>
    </xf>
    <xf numFmtId="167" fontId="1" fillId="0" borderId="0" xfId="7" applyNumberFormat="1" applyAlignment="1">
      <alignment horizontal="left" vertical="center"/>
    </xf>
    <xf numFmtId="166" fontId="4" fillId="0" borderId="0" xfId="7" applyNumberFormat="1" applyFont="1" applyAlignment="1">
      <alignment horizontal="center" vertical="center"/>
    </xf>
    <xf numFmtId="0" fontId="22" fillId="0" borderId="7" xfId="0" applyFont="1" applyBorder="1">
      <alignment wrapText="1"/>
    </xf>
    <xf numFmtId="0" fontId="22" fillId="3" borderId="7" xfId="0" applyFont="1" applyFill="1" applyBorder="1">
      <alignment wrapText="1"/>
    </xf>
    <xf numFmtId="0" fontId="23" fillId="0" borderId="6" xfId="7" applyFont="1" applyBorder="1" applyAlignment="1">
      <alignment horizontal="left" vertical="center" wrapText="1"/>
    </xf>
    <xf numFmtId="0" fontId="9" fillId="0" borderId="0" xfId="7" applyFont="1" applyAlignment="1">
      <alignment horizontal="left" vertical="center" wrapText="1"/>
    </xf>
    <xf numFmtId="1" fontId="9" fillId="0" borderId="0" xfId="8" applyNumberFormat="1" applyFont="1" applyAlignment="1">
      <alignment horizontal="center" vertical="center" wrapText="1"/>
    </xf>
    <xf numFmtId="166" fontId="9" fillId="0" borderId="0" xfId="7" applyNumberFormat="1" applyFont="1" applyAlignment="1">
      <alignment horizontal="left" vertical="center"/>
    </xf>
    <xf numFmtId="168" fontId="9" fillId="0" borderId="0" xfId="7" applyNumberFormat="1" applyFont="1" applyAlignment="1">
      <alignment horizontal="left" vertical="center" wrapText="1"/>
    </xf>
    <xf numFmtId="0" fontId="1" fillId="0" borderId="0" xfId="7" applyAlignment="1">
      <alignment horizontal="center" vertical="center"/>
    </xf>
    <xf numFmtId="164" fontId="1" fillId="0" borderId="0" xfId="2" applyNumberFormat="1" applyFont="1" applyAlignment="1">
      <alignment horizontal="center" vertical="center"/>
    </xf>
    <xf numFmtId="0" fontId="22" fillId="3" borderId="7" xfId="7" applyFont="1" applyFill="1" applyBorder="1"/>
    <xf numFmtId="1" fontId="9" fillId="0" borderId="0" xfId="7" applyNumberFormat="1" applyFont="1" applyAlignment="1">
      <alignment horizontal="center" vertical="center" wrapText="1"/>
    </xf>
    <xf numFmtId="0" fontId="23" fillId="0" borderId="8" xfId="7" applyFont="1" applyBorder="1" applyAlignment="1">
      <alignment horizontal="left" vertical="center" wrapText="1"/>
    </xf>
    <xf numFmtId="0" fontId="22" fillId="0" borderId="7" xfId="0" applyFont="1" applyBorder="1" applyAlignment="1"/>
    <xf numFmtId="0" fontId="1" fillId="5" borderId="0" xfId="7" applyFill="1" applyAlignment="1">
      <alignment horizontal="left" vertical="center"/>
    </xf>
    <xf numFmtId="1" fontId="7" fillId="7" borderId="0" xfId="8" applyNumberFormat="1" applyFont="1" applyFill="1" applyAlignment="1">
      <alignment horizontal="center" vertical="center"/>
    </xf>
    <xf numFmtId="165" fontId="1" fillId="7" borderId="0" xfId="1" applyNumberFormat="1" applyFont="1" applyFill="1" applyAlignment="1">
      <alignment horizontal="left" vertical="center"/>
    </xf>
    <xf numFmtId="1" fontId="7" fillId="0" borderId="0" xfId="8" applyNumberFormat="1" applyFont="1" applyFill="1" applyAlignment="1">
      <alignment horizontal="center" vertical="center"/>
    </xf>
    <xf numFmtId="0" fontId="21" fillId="0" borderId="7" xfId="0" applyFont="1" applyBorder="1" applyAlignment="1"/>
    <xf numFmtId="0" fontId="11" fillId="0" borderId="2" xfId="7" applyFont="1" applyBorder="1"/>
    <xf numFmtId="0" fontId="21" fillId="4" borderId="6" xfId="7" applyFont="1" applyFill="1" applyBorder="1" applyAlignment="1">
      <alignment horizontal="left" vertical="center"/>
    </xf>
    <xf numFmtId="0" fontId="21" fillId="4" borderId="7" xfId="7" applyFont="1" applyFill="1" applyBorder="1" applyAlignment="1">
      <alignment horizontal="left" vertical="center"/>
    </xf>
    <xf numFmtId="0" fontId="21" fillId="4" borderId="7" xfId="7" applyFont="1" applyFill="1" applyBorder="1"/>
    <xf numFmtId="0" fontId="21" fillId="6" borderId="7" xfId="7" applyFont="1" applyFill="1" applyBorder="1"/>
    <xf numFmtId="0" fontId="24" fillId="6" borderId="7" xfId="7" applyFont="1" applyFill="1" applyBorder="1"/>
    <xf numFmtId="0" fontId="22" fillId="4" borderId="7" xfId="0" applyFont="1" applyFill="1" applyBorder="1" applyAlignment="1"/>
    <xf numFmtId="0" fontId="1" fillId="3" borderId="0" xfId="7" applyFill="1" applyAlignment="1">
      <alignment horizontal="left" vertical="center"/>
    </xf>
    <xf numFmtId="165" fontId="1" fillId="3" borderId="0" xfId="1" applyNumberFormat="1" applyFont="1" applyFill="1" applyAlignment="1">
      <alignment horizontal="left" vertical="center"/>
    </xf>
    <xf numFmtId="166" fontId="1" fillId="3" borderId="0" xfId="7" applyNumberFormat="1" applyFill="1" applyAlignment="1">
      <alignment horizontal="left" vertical="center"/>
    </xf>
    <xf numFmtId="49" fontId="1" fillId="3" borderId="0" xfId="7" applyNumberFormat="1" applyFill="1" applyAlignment="1">
      <alignment horizontal="left" vertical="center"/>
    </xf>
    <xf numFmtId="14" fontId="1" fillId="3" borderId="0" xfId="7" applyNumberFormat="1" applyFill="1" applyAlignment="1">
      <alignment horizontal="left" vertical="center"/>
    </xf>
    <xf numFmtId="167" fontId="1" fillId="3" borderId="0" xfId="7" applyNumberFormat="1" applyFill="1" applyAlignment="1">
      <alignment horizontal="left" vertical="center"/>
    </xf>
    <xf numFmtId="0" fontId="24" fillId="0" borderId="7" xfId="7" applyFont="1" applyBorder="1"/>
    <xf numFmtId="0" fontId="24" fillId="3" borderId="7" xfId="7" applyFont="1" applyFill="1" applyBorder="1"/>
    <xf numFmtId="0" fontId="22" fillId="3" borderId="7" xfId="0" applyFont="1" applyFill="1" applyBorder="1" applyAlignment="1"/>
    <xf numFmtId="0" fontId="7" fillId="0" borderId="0" xfId="7" applyFont="1" applyAlignment="1">
      <alignment horizontal="left" vertical="center"/>
    </xf>
    <xf numFmtId="0" fontId="1" fillId="0" borderId="0" xfId="0" applyFont="1" applyAlignment="1"/>
    <xf numFmtId="14" fontId="1" fillId="0" borderId="0" xfId="0" applyNumberFormat="1" applyFont="1" applyAlignment="1"/>
    <xf numFmtId="49" fontId="1" fillId="0" borderId="0" xfId="0" applyNumberFormat="1" applyFont="1" applyAlignment="1"/>
    <xf numFmtId="0" fontId="1" fillId="0" borderId="0" xfId="0" applyFont="1" applyAlignment="1">
      <alignment vertical="top"/>
    </xf>
    <xf numFmtId="0" fontId="23" fillId="0" borderId="6" xfId="0" applyFont="1" applyBorder="1" applyAlignment="1">
      <alignment horizontal="left" vertical="center" wrapText="1"/>
    </xf>
    <xf numFmtId="0" fontId="22" fillId="7" borderId="7" xfId="0" applyFont="1" applyFill="1" applyBorder="1">
      <alignment wrapText="1"/>
    </xf>
    <xf numFmtId="168" fontId="9" fillId="0" borderId="0" xfId="7" quotePrefix="1" applyNumberFormat="1" applyFont="1" applyAlignment="1">
      <alignment horizontal="left" vertical="center" wrapText="1"/>
    </xf>
    <xf numFmtId="0" fontId="21" fillId="0" borderId="8" xfId="7" applyFont="1" applyBorder="1" applyAlignment="1">
      <alignment horizontal="left" vertical="center"/>
    </xf>
    <xf numFmtId="0" fontId="21" fillId="0" borderId="5" xfId="7" applyFont="1" applyBorder="1" applyAlignment="1">
      <alignment horizontal="left" vertical="center"/>
    </xf>
    <xf numFmtId="0" fontId="21" fillId="3" borderId="5" xfId="7" applyFont="1" applyFill="1" applyBorder="1"/>
    <xf numFmtId="0" fontId="22" fillId="3" borderId="5" xfId="7" applyFont="1" applyFill="1" applyBorder="1"/>
  </cellXfs>
  <cellStyles count="9">
    <cellStyle name="Comma" xfId="1" builtinId="3"/>
    <cellStyle name="Hyperlink" xfId="3" builtinId="8"/>
    <cellStyle name="Normal" xfId="0" builtinId="0"/>
    <cellStyle name="Normal 2" xfId="4" xr:uid="{53E4F4F6-AA99-4145-BB99-88331F9BE816}"/>
    <cellStyle name="Normal 2 2" xfId="6" xr:uid="{79CDA21D-BD84-9744-AD4D-D4B9669D2BF0}"/>
    <cellStyle name="Normal 2 3" xfId="7" xr:uid="{3EF5D4E6-ED1F-1141-A1AB-1661A2B94AC2}"/>
    <cellStyle name="Per cent" xfId="2" builtinId="5"/>
    <cellStyle name="Per cent 2" xfId="5" xr:uid="{A0D85461-CCEA-7947-A076-56901F3F6148}"/>
    <cellStyle name="Per cent 2 2" xfId="8" xr:uid="{9CB5384C-BA7D-A440-B4A7-32948228B07B}"/>
  </cellStyles>
  <dxfs count="45">
    <dxf>
      <font>
        <strike val="0"/>
        <outline val="0"/>
        <shadow val="0"/>
        <u val="none"/>
        <vertAlign val="baseline"/>
        <sz val="12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numFmt numFmtId="167" formatCode="mm/dd/yy;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8" formatCode="d/mm/yyyy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numFmt numFmtId="166" formatCode="0.0"/>
      <alignment horizontal="left" vertical="center" textRotation="0" wrapText="0" indent="0" justifyLastLine="0" shrinkToFit="0" readingOrder="0"/>
    </dxf>
    <dxf>
      <font>
        <strike val="0"/>
        <outline val="0"/>
        <shadow val="0"/>
        <u/>
        <vertAlign val="baseline"/>
        <sz val="12"/>
        <color theme="10"/>
      </font>
      <numFmt numFmtId="166" formatCode="0.0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6" formatCode="0.0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numFmt numFmtId="166" formatCode="0.0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numFmt numFmtId="166" formatCode="0.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</font>
      <numFmt numFmtId="166" formatCode="0.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</font>
      <numFmt numFmtId="166" formatCode="0.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6" formatCode="0.0"/>
    </dxf>
    <dxf>
      <font>
        <strike val="0"/>
        <outline val="0"/>
        <shadow val="0"/>
        <u val="none"/>
        <vertAlign val="baseline"/>
        <sz val="12"/>
        <color theme="1"/>
      </font>
      <numFmt numFmtId="166" formatCode="0.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6" formatCode="0.0"/>
    </dxf>
    <dxf>
      <font>
        <b/>
        <strike val="0"/>
        <outline val="0"/>
        <shadow val="0"/>
        <u val="none"/>
        <vertAlign val="baseline"/>
        <sz val="12"/>
        <color theme="1"/>
      </font>
      <numFmt numFmtId="166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</font>
      <numFmt numFmtId="165" formatCode="_(* #,##0.0_);_(* \(#,##0.0\);_(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0.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2"/>
        <color theme="1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</font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left" vertical="center" textRotation="0" wrapText="1" indent="0" justifyLastLine="0" shrinkToFit="0" readingOrder="0"/>
    </dxf>
    <dxf>
      <font>
        <color theme="0"/>
      </font>
      <fill>
        <patternFill patternType="solid">
          <f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qijiang/Documents/E47-Jennie/witchclieffe%20/1%20-%20working%20invoices/3B/3B%20-%20Q4%20v0221.xlsx" TargetMode="External"/><Relationship Id="rId1" Type="http://schemas.openxmlformats.org/officeDocument/2006/relationships/externalLinkPath" Target="3B/3B%20-%20Q4%20v02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rata rep contacts"/>
      <sheetName val="strata roll"/>
      <sheetName val="Tariff Rates"/>
      <sheetName val="Amanda Energy"/>
      <sheetName val="reading-import"/>
      <sheetName val="reading-export"/>
      <sheetName val="3B Energy billing Q4"/>
      <sheetName val="Lot 1"/>
      <sheetName val="Lot 2"/>
      <sheetName val="Lot 3"/>
      <sheetName val="Lot 4"/>
      <sheetName val="Lot 5"/>
      <sheetName val="Lot 6"/>
      <sheetName val="Lot 7"/>
      <sheetName val="Lot 8"/>
      <sheetName val="Lot 9"/>
      <sheetName val="Lot 10"/>
      <sheetName val="Lot 11"/>
      <sheetName val="Lot 12"/>
      <sheetName val="Lot 13"/>
      <sheetName val="Lot 14"/>
      <sheetName val="Lot 15"/>
      <sheetName val="Lot 16"/>
      <sheetName val="Lot 17"/>
      <sheetName val="Lot 18"/>
      <sheetName val="Lot 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E07BD2-D38F-2549-B08C-06DBA64075E3}" name="Table_Household_Alloc" displayName="Table_Household_Alloc" ref="A1:Z193" totalsRowShown="0" headerRowDxfId="43" dataDxfId="42">
  <autoFilter ref="A1:Z193" xr:uid="{001FAFBA-15C9-0046-B6F7-3AC1C3C6B4F3}"/>
  <tableColumns count="26">
    <tableColumn id="1" xr3:uid="{6726FE2C-75CC-3A49-BD84-F50F6F273929}" name="Lot" dataDxfId="40" totalsRowDxfId="41"/>
    <tableColumn id="17" xr3:uid="{B8062675-518A-2349-A6C3-245ECB7C06FE}" name="cluster" dataDxfId="38" totalsRowDxfId="39" dataCellStyle="Normal 2"/>
    <tableColumn id="32" xr3:uid="{25035DF3-FAA8-CD41-8B99-5BB65E902EB4}" name="Meter#" dataDxfId="37" dataCellStyle="Normal 2"/>
    <tableColumn id="3" xr3:uid="{F59FE8DE-01CA-9241-9436-14132DD99EC7}" name="Block Type" dataDxfId="35" totalsRowDxfId="36" dataCellStyle="Normal 2"/>
    <tableColumn id="13" xr3:uid="{0CAF6688-E45A-DC4B-9F51-18BD0D5A41FD}" name="Owner" dataDxfId="33" totalsRowDxfId="34"/>
    <tableColumn id="9" xr3:uid="{11092DDA-5E4A-2B41-9DCE-612678629EC5}" name="Street Address" dataDxfId="31" totalsRowDxfId="32"/>
    <tableColumn id="10" xr3:uid="{C3E77016-673C-EB4D-9377-D3C47DB5F3B0}" name="Suburb" dataDxfId="29" totalsRowDxfId="30" dataCellStyle="Normal 2"/>
    <tableColumn id="12" xr3:uid="{8C90725D-9359-8042-BED3-EB12FE2AAD57}" name="State" dataDxfId="27" totalsRowDxfId="28" dataCellStyle="Normal 2"/>
    <tableColumn id="11" xr3:uid="{BE42959D-E367-0A4B-9BA0-68D5497D2CE9}" name="Post Code" dataDxfId="25" totalsRowDxfId="26" dataCellStyle="Normal 2"/>
    <tableColumn id="8" xr3:uid="{5751EE8C-A804-9741-9D45-014B33940667}" name="Unit Entitlement" dataDxfId="23" totalsRowDxfId="24"/>
    <tableColumn id="21" xr3:uid="{07EDD09E-5B9A-694A-8EFE-9772C7F42612}" name="UE % over Cluster" dataDxfId="21" totalsRowDxfId="22">
      <calculatedColumnFormula>Table_Household_Alloc[[#This Row],[Unit Entitlement]]/1000</calculatedColumnFormula>
    </tableColumn>
    <tableColumn id="4" xr3:uid="{549276EE-6790-ED40-8A18-403D5C2A2168}" name="Calculated Battery Allocation (kWh)" dataDxfId="19" totalsRowDxfId="20" dataCellStyle="Comma"/>
    <tableColumn id="5" xr3:uid="{C1EFE09E-2723-7F4F-995D-AD5959689F61}" name="Inverter Model" dataDxfId="17" totalsRowDxfId="18" dataCellStyle="Normal 2"/>
    <tableColumn id="16" xr3:uid="{C6BF48D9-F155-8549-942E-8B0596FA88E1}" name="Applied Battery Allocation (kWh)" dataDxfId="16" dataCellStyle="Normal 2">
      <calculatedColumnFormula>IF(Table_Household_Alloc[[#This Row],[PV Installed]]="Y",1,0)*Table_Household_Alloc[[#This Row],[Calculated Battery Allocation (kWh)]]</calculatedColumnFormula>
    </tableColumn>
    <tableColumn id="6" xr3:uid="{C511DAEF-D42A-7B45-BEE2-99F9A1389477}" name="Export Capacity (kW)" dataDxfId="14" totalsRowDxfId="15" dataCellStyle="Normal 2"/>
    <tableColumn id="14" xr3:uid="{67710704-1D98-A045-8C5B-3D93B64A1CC1}" name="Energy Meter Installed" dataDxfId="12" totalsRowDxfId="13" dataCellStyle="Normal 2"/>
    <tableColumn id="2" xr3:uid="{8440E21D-0F07-E147-991C-86B8877D4C8C}" name="PV Installed" dataDxfId="10" totalsRowDxfId="11" dataCellStyle="Normal 2"/>
    <tableColumn id="7" xr3:uid="{B5BC5685-8F9B-D44F-BD47-116D24F8FAE8}" name="Functional Droplet" dataDxfId="8" totalsRowDxfId="9" dataCellStyle="Normal 2"/>
    <tableColumn id="18" xr3:uid="{55C11A87-B4A8-CA44-8C8D-B25A5D8BE1DD}" name="Stage of Dev." dataDxfId="7" dataCellStyle="Normal 2"/>
    <tableColumn id="15" xr3:uid="{765952D9-3223-6A48-8A83-66D8B5F61483}" name="Phone 1" dataDxfId="6" dataCellStyle="Normal 2"/>
    <tableColumn id="19" xr3:uid="{BB5A66BC-62F2-554C-B315-3661218A233B}" name="Phone 2" dataDxfId="5" dataCellStyle="Normal 2"/>
    <tableColumn id="20" xr3:uid="{F9457906-2474-B049-B030-042E204F7B59}" name="Email" dataDxfId="4" dataCellStyle="Hyperlink"/>
    <tableColumn id="23" xr3:uid="{0639CD7C-D98C-954B-9184-CB0C70D2962C}" name="Meter Number " dataDxfId="3" dataCellStyle="Normal 2"/>
    <tableColumn id="24" xr3:uid="{94A58247-3E4B-7948-83B6-482A8F789126}" name="Occupant 1 Start Date" dataDxfId="2" dataCellStyle="Normal 2"/>
    <tableColumn id="25" xr3:uid="{B9BCE209-A947-354F-9EAC-6DC70117060E}" name="Occupant 1 End date" dataDxfId="1" dataCellStyle="Normal 2"/>
    <tableColumn id="26" xr3:uid="{BF973C0C-D4E9-5D40-B8C1-28F7726097FE}" name="Inverter start dat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arahhewer@me.com" TargetMode="External"/><Relationship Id="rId18" Type="http://schemas.openxmlformats.org/officeDocument/2006/relationships/hyperlink" Target="mailto:woodmandj55@gmail.com" TargetMode="External"/><Relationship Id="rId26" Type="http://schemas.openxmlformats.org/officeDocument/2006/relationships/hyperlink" Target="mailto:froehlich.fp@gmail.com" TargetMode="External"/><Relationship Id="rId39" Type="http://schemas.openxmlformats.org/officeDocument/2006/relationships/vmlDrawing" Target="../drawings/vmlDrawing1.vml"/><Relationship Id="rId21" Type="http://schemas.openxmlformats.org/officeDocument/2006/relationships/hyperlink" Target="mailto:lizk@beyondergo.com.au" TargetMode="External"/><Relationship Id="rId34" Type="http://schemas.openxmlformats.org/officeDocument/2006/relationships/hyperlink" Target="mailto:mammoth@iinet.net.au" TargetMode="External"/><Relationship Id="rId7" Type="http://schemas.openxmlformats.org/officeDocument/2006/relationships/hyperlink" Target="mailto:pamezdroz@protonmail.com" TargetMode="External"/><Relationship Id="rId2" Type="http://schemas.openxmlformats.org/officeDocument/2006/relationships/hyperlink" Target="mailto:Chloe_lovelidge@hotmail.com" TargetMode="External"/><Relationship Id="rId16" Type="http://schemas.openxmlformats.org/officeDocument/2006/relationships/hyperlink" Target="mailto:hogire1948@hotmail.com" TargetMode="External"/><Relationship Id="rId20" Type="http://schemas.openxmlformats.org/officeDocument/2006/relationships/hyperlink" Target="mailto:lindyjdunlop@hotmail.com" TargetMode="External"/><Relationship Id="rId29" Type="http://schemas.openxmlformats.org/officeDocument/2006/relationships/hyperlink" Target="mailto:pernille@designbutton.net.au" TargetMode="External"/><Relationship Id="rId41" Type="http://schemas.openxmlformats.org/officeDocument/2006/relationships/comments" Target="../comments1.xml"/><Relationship Id="rId1" Type="http://schemas.openxmlformats.org/officeDocument/2006/relationships/hyperlink" Target="mailto:brunomartinangeli09@gmail.com" TargetMode="External"/><Relationship Id="rId6" Type="http://schemas.openxmlformats.org/officeDocument/2006/relationships/hyperlink" Target="mailto:fiona_skoglund@hotmail.com" TargetMode="External"/><Relationship Id="rId11" Type="http://schemas.openxmlformats.org/officeDocument/2006/relationships/hyperlink" Target="mailto:hansendagmarvandiest@gmail.com" TargetMode="External"/><Relationship Id="rId24" Type="http://schemas.openxmlformats.org/officeDocument/2006/relationships/hyperlink" Target="mailto:je&#64256;.thierfelder@iinet.net.au" TargetMode="External"/><Relationship Id="rId32" Type="http://schemas.openxmlformats.org/officeDocument/2006/relationships/hyperlink" Target="mailto:alixward@gmail.com" TargetMode="External"/><Relationship Id="rId37" Type="http://schemas.openxmlformats.org/officeDocument/2006/relationships/hyperlink" Target="mailto:maroeck@gmail.com" TargetMode="External"/><Relationship Id="rId40" Type="http://schemas.openxmlformats.org/officeDocument/2006/relationships/table" Target="../tables/table1.xml"/><Relationship Id="rId5" Type="http://schemas.openxmlformats.org/officeDocument/2006/relationships/hyperlink" Target="mailto:jasonmchattan@gmail.com" TargetMode="External"/><Relationship Id="rId15" Type="http://schemas.openxmlformats.org/officeDocument/2006/relationships/hyperlink" Target="mailto:rosebunch5@gmail.com" TargetMode="External"/><Relationship Id="rId23" Type="http://schemas.openxmlformats.org/officeDocument/2006/relationships/hyperlink" Target="mailto:libby@humanbells.com" TargetMode="External"/><Relationship Id="rId28" Type="http://schemas.openxmlformats.org/officeDocument/2006/relationships/hyperlink" Target="mailto:levi.holden@optusnet.com.au" TargetMode="External"/><Relationship Id="rId36" Type="http://schemas.openxmlformats.org/officeDocument/2006/relationships/hyperlink" Target="mailto:emailalexhughes@gmail.com" TargetMode="External"/><Relationship Id="rId10" Type="http://schemas.openxmlformats.org/officeDocument/2006/relationships/hyperlink" Target="mailto:karenkotze@outlook.com" TargetMode="External"/><Relationship Id="rId19" Type="http://schemas.openxmlformats.org/officeDocument/2006/relationships/hyperlink" Target="mailto:lightelke@gmail.com" TargetMode="External"/><Relationship Id="rId31" Type="http://schemas.openxmlformats.org/officeDocument/2006/relationships/hyperlink" Target="mailto:marcus@mishack.com.au" TargetMode="External"/><Relationship Id="rId4" Type="http://schemas.openxmlformats.org/officeDocument/2006/relationships/hyperlink" Target="mailto:riverlcp@gmail.com" TargetMode="External"/><Relationship Id="rId9" Type="http://schemas.openxmlformats.org/officeDocument/2006/relationships/hyperlink" Target="mailto:timjcthomson@gmail.com" TargetMode="External"/><Relationship Id="rId14" Type="http://schemas.openxmlformats.org/officeDocument/2006/relationships/hyperlink" Target="mailto:ggreenwell2@outlook.com" TargetMode="External"/><Relationship Id="rId22" Type="http://schemas.openxmlformats.org/officeDocument/2006/relationships/hyperlink" Target="mailto:henryweldon90@gmail.com" TargetMode="External"/><Relationship Id="rId27" Type="http://schemas.openxmlformats.org/officeDocument/2006/relationships/hyperlink" Target="mailto:shaw76@hotmail.co.uk" TargetMode="External"/><Relationship Id="rId30" Type="http://schemas.openxmlformats.org/officeDocument/2006/relationships/hyperlink" Target="mailto:jasmine_heah@hotmail.com" TargetMode="External"/><Relationship Id="rId35" Type="http://schemas.openxmlformats.org/officeDocument/2006/relationships/hyperlink" Target="mailto:mulloway9@icloud.com" TargetMode="External"/><Relationship Id="rId8" Type="http://schemas.openxmlformats.org/officeDocument/2006/relationships/hyperlink" Target="mailto:msannieawilson@gmail.com" TargetMode="External"/><Relationship Id="rId3" Type="http://schemas.openxmlformats.org/officeDocument/2006/relationships/hyperlink" Target="mailto:meish.b98@gmail.com" TargetMode="External"/><Relationship Id="rId12" Type="http://schemas.openxmlformats.org/officeDocument/2006/relationships/hyperlink" Target="mailto:bronwyn_edwards@yahoo.com.au" TargetMode="External"/><Relationship Id="rId17" Type="http://schemas.openxmlformats.org/officeDocument/2006/relationships/hyperlink" Target="mailto:carrieandwarrick@gmail.com" TargetMode="External"/><Relationship Id="rId25" Type="http://schemas.openxmlformats.org/officeDocument/2006/relationships/hyperlink" Target="mailto:diego.barneche@ymail.com" TargetMode="External"/><Relationship Id="rId33" Type="http://schemas.openxmlformats.org/officeDocument/2006/relationships/hyperlink" Target="mailto:tim.hewson@iinet.net.au" TargetMode="External"/><Relationship Id="rId38" Type="http://schemas.openxmlformats.org/officeDocument/2006/relationships/hyperlink" Target="mailto:nicholasjamesmead@gmail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D113-9CFE-A646-A8DB-BE1750F1EE64}">
  <dimension ref="A1:AD193"/>
  <sheetViews>
    <sheetView tabSelected="1" topLeftCell="A9" zoomScale="104" zoomScaleNormal="150" workbookViewId="0">
      <pane xSplit="1" topLeftCell="B1" activePane="topRight" state="frozen"/>
      <selection activeCell="A25" sqref="A25"/>
      <selection pane="topRight" activeCell="E15" sqref="E15"/>
    </sheetView>
  </sheetViews>
  <sheetFormatPr baseColWidth="10" defaultColWidth="10.83203125" defaultRowHeight="16" x14ac:dyDescent="0.2"/>
  <cols>
    <col min="1" max="1" width="5.5" style="56" customWidth="1"/>
    <col min="2" max="2" width="10.83203125" style="37"/>
    <col min="3" max="3" width="14.5" style="37" bestFit="1" customWidth="1"/>
    <col min="4" max="4" width="10.83203125" style="37"/>
    <col min="5" max="5" width="39.6640625" style="56" customWidth="1"/>
    <col min="6" max="6" width="29.83203125" style="56" customWidth="1"/>
    <col min="7" max="9" width="10.83203125" style="37"/>
    <col min="10" max="10" width="13" style="63" customWidth="1"/>
    <col min="11" max="11" width="13" style="6" customWidth="1"/>
    <col min="12" max="12" width="13" style="44" customWidth="1"/>
    <col min="13" max="13" width="10.83203125" style="37"/>
    <col min="14" max="14" width="10.83203125" style="52"/>
    <col min="15" max="19" width="10.83203125" style="46"/>
    <col min="20" max="20" width="17.83203125" style="58" bestFit="1" customWidth="1"/>
    <col min="21" max="21" width="14.33203125" style="49" bestFit="1" customWidth="1"/>
    <col min="22" max="22" width="29.6640625" style="7" bestFit="1" customWidth="1"/>
    <col min="23" max="23" width="12" style="46" customWidth="1"/>
    <col min="24" max="24" width="11.83203125" style="59" bestFit="1" customWidth="1"/>
    <col min="25" max="25" width="13.6640625" style="51" bestFit="1" customWidth="1"/>
    <col min="26" max="27" width="10.83203125" style="46"/>
    <col min="28" max="28" width="29.1640625" style="46" bestFit="1" customWidth="1"/>
    <col min="29" max="30" width="10.83203125" style="46"/>
    <col min="31" max="31" width="16.33203125" style="37" bestFit="1" customWidth="1"/>
    <col min="32" max="16384" width="10.83203125" style="37"/>
  </cols>
  <sheetData>
    <row r="1" spans="1:26" s="36" customFormat="1" ht="68" x14ac:dyDescent="0.2">
      <c r="A1" s="36" t="s">
        <v>0</v>
      </c>
      <c r="B1" s="36" t="s">
        <v>1</v>
      </c>
      <c r="C1" s="36" t="s">
        <v>2</v>
      </c>
      <c r="D1" s="36" t="s">
        <v>3</v>
      </c>
      <c r="E1" s="37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1" t="s">
        <v>10</v>
      </c>
      <c r="L1" s="2" t="s">
        <v>11</v>
      </c>
      <c r="M1" s="36" t="s">
        <v>12</v>
      </c>
      <c r="N1" s="2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8" t="s">
        <v>19</v>
      </c>
      <c r="U1" s="38" t="s">
        <v>20</v>
      </c>
      <c r="V1" s="38" t="s">
        <v>21</v>
      </c>
      <c r="W1" s="36" t="s">
        <v>22</v>
      </c>
      <c r="X1" s="39" t="s">
        <v>23</v>
      </c>
      <c r="Y1" s="36" t="s">
        <v>24</v>
      </c>
      <c r="Z1" s="36" t="s">
        <v>641</v>
      </c>
    </row>
    <row r="2" spans="1:26" s="46" customFormat="1" ht="19" x14ac:dyDescent="0.25">
      <c r="A2" s="40">
        <v>1</v>
      </c>
      <c r="B2" s="41" t="s">
        <v>25</v>
      </c>
      <c r="C2" s="42"/>
      <c r="D2" s="3" t="s">
        <v>26</v>
      </c>
      <c r="E2" s="37" t="s">
        <v>27</v>
      </c>
      <c r="F2" s="3" t="s">
        <v>28</v>
      </c>
      <c r="G2" s="37" t="s">
        <v>29</v>
      </c>
      <c r="H2" s="37" t="s">
        <v>30</v>
      </c>
      <c r="I2" s="37">
        <v>6286</v>
      </c>
      <c r="J2" s="43">
        <v>36</v>
      </c>
      <c r="K2" s="4">
        <f>Table_Household_Alloc[[#This Row],[Unit Entitlement]]/1000</f>
        <v>3.5999999999999997E-2</v>
      </c>
      <c r="L2" s="44">
        <f t="shared" ref="L2:L54" si="0">(J2/1000)*232</f>
        <v>8.3519999999999985</v>
      </c>
      <c r="M2" s="45"/>
      <c r="N2" s="46">
        <f>IF(Table_Household_Alloc[[#This Row],[PV Installed]]="Y",1,0)*Table_Household_Alloc[[#This Row],[Calculated Battery Allocation (kWh)]]</f>
        <v>0</v>
      </c>
      <c r="P2" s="3" t="s">
        <v>31</v>
      </c>
      <c r="Q2" s="3" t="s">
        <v>32</v>
      </c>
      <c r="R2" s="47" t="s">
        <v>32</v>
      </c>
      <c r="S2" s="48" t="s">
        <v>33</v>
      </c>
      <c r="T2" s="46" t="s">
        <v>34</v>
      </c>
      <c r="U2" s="49" t="s">
        <v>35</v>
      </c>
      <c r="V2" s="46" t="s">
        <v>36</v>
      </c>
      <c r="X2" s="50">
        <v>45292</v>
      </c>
      <c r="Y2" s="51" t="s">
        <v>37</v>
      </c>
    </row>
    <row r="3" spans="1:26" s="46" customFormat="1" ht="19" x14ac:dyDescent="0.25">
      <c r="A3" s="40">
        <v>2</v>
      </c>
      <c r="B3" s="41" t="s">
        <v>25</v>
      </c>
      <c r="C3" s="42"/>
      <c r="D3" s="3" t="s">
        <v>26</v>
      </c>
      <c r="E3" s="37" t="s">
        <v>38</v>
      </c>
      <c r="F3" s="3" t="s">
        <v>39</v>
      </c>
      <c r="G3" s="37" t="s">
        <v>29</v>
      </c>
      <c r="H3" s="37" t="s">
        <v>30</v>
      </c>
      <c r="I3" s="37">
        <v>6286</v>
      </c>
      <c r="J3" s="43">
        <v>36</v>
      </c>
      <c r="K3" s="4">
        <f>Table_Household_Alloc[[#This Row],[Unit Entitlement]]/1000</f>
        <v>3.5999999999999997E-2</v>
      </c>
      <c r="L3" s="44">
        <f t="shared" si="0"/>
        <v>8.3519999999999985</v>
      </c>
      <c r="M3" s="45"/>
      <c r="N3" s="52">
        <f>IF(Table_Household_Alloc[[#This Row],[PV Installed]]="Y",1,0)*Table_Household_Alloc[[#This Row],[Calculated Battery Allocation (kWh)]]</f>
        <v>0</v>
      </c>
      <c r="P3" s="3" t="s">
        <v>31</v>
      </c>
      <c r="Q3" s="3" t="s">
        <v>32</v>
      </c>
      <c r="R3" s="47" t="s">
        <v>32</v>
      </c>
      <c r="S3" s="48" t="s">
        <v>33</v>
      </c>
      <c r="T3" s="46" t="s">
        <v>40</v>
      </c>
      <c r="U3" s="49"/>
      <c r="V3" s="46" t="s">
        <v>41</v>
      </c>
      <c r="X3" s="50">
        <v>45292</v>
      </c>
      <c r="Y3" s="51" t="s">
        <v>37</v>
      </c>
    </row>
    <row r="4" spans="1:26" s="46" customFormat="1" ht="19" x14ac:dyDescent="0.25">
      <c r="A4" s="40">
        <v>3</v>
      </c>
      <c r="B4" s="41" t="s">
        <v>25</v>
      </c>
      <c r="C4" s="53">
        <v>50002872</v>
      </c>
      <c r="D4" s="3" t="s">
        <v>26</v>
      </c>
      <c r="E4" s="37" t="s">
        <v>42</v>
      </c>
      <c r="F4" s="3" t="s">
        <v>43</v>
      </c>
      <c r="G4" s="37" t="s">
        <v>29</v>
      </c>
      <c r="H4" s="37" t="s">
        <v>30</v>
      </c>
      <c r="I4" s="37">
        <v>6286</v>
      </c>
      <c r="J4" s="43">
        <v>37</v>
      </c>
      <c r="K4" s="4">
        <f>Table_Household_Alloc[[#This Row],[Unit Entitlement]]/1000</f>
        <v>3.6999999999999998E-2</v>
      </c>
      <c r="L4" s="44">
        <f t="shared" si="0"/>
        <v>8.5839999999999996</v>
      </c>
      <c r="M4" s="45"/>
      <c r="N4" s="52">
        <f>IF(Table_Household_Alloc[[#This Row],[PV Installed]]="Y",1,0)*Table_Household_Alloc[[#This Row],[Calculated Battery Allocation (kWh)]]</f>
        <v>0</v>
      </c>
      <c r="P4" s="3" t="s">
        <v>31</v>
      </c>
      <c r="Q4" s="3" t="s">
        <v>32</v>
      </c>
      <c r="R4" s="47" t="s">
        <v>32</v>
      </c>
      <c r="S4" s="48" t="s">
        <v>44</v>
      </c>
      <c r="T4" s="46" t="s">
        <v>45</v>
      </c>
      <c r="U4" s="49"/>
      <c r="V4" s="46" t="s">
        <v>46</v>
      </c>
      <c r="X4" s="50">
        <v>45292</v>
      </c>
      <c r="Y4" s="51" t="s">
        <v>37</v>
      </c>
    </row>
    <row r="5" spans="1:26" s="46" customFormat="1" ht="19" x14ac:dyDescent="0.25">
      <c r="A5" s="40">
        <v>4</v>
      </c>
      <c r="B5" s="41" t="s">
        <v>25</v>
      </c>
      <c r="C5" s="53">
        <v>50002869</v>
      </c>
      <c r="D5" s="3" t="s">
        <v>26</v>
      </c>
      <c r="E5" s="37" t="s">
        <v>47</v>
      </c>
      <c r="F5" s="3" t="s">
        <v>48</v>
      </c>
      <c r="G5" s="37" t="s">
        <v>29</v>
      </c>
      <c r="H5" s="37" t="s">
        <v>30</v>
      </c>
      <c r="I5" s="37">
        <v>6286</v>
      </c>
      <c r="J5" s="43">
        <v>38</v>
      </c>
      <c r="K5" s="4">
        <f>Table_Household_Alloc[[#This Row],[Unit Entitlement]]/1000</f>
        <v>3.7999999999999999E-2</v>
      </c>
      <c r="L5" s="44">
        <f t="shared" si="0"/>
        <v>8.8159999999999989</v>
      </c>
      <c r="M5" s="45" t="s">
        <v>49</v>
      </c>
      <c r="N5" s="52">
        <f>IF(Table_Household_Alloc[[#This Row],[PV Installed]]="Y",1,0)*Table_Household_Alloc[[#This Row],[Calculated Battery Allocation (kWh)]]</f>
        <v>8.8159999999999989</v>
      </c>
      <c r="O5" s="45">
        <v>6.64</v>
      </c>
      <c r="P5" s="3" t="s">
        <v>31</v>
      </c>
      <c r="Q5" s="3" t="s">
        <v>31</v>
      </c>
      <c r="R5" s="47" t="s">
        <v>31</v>
      </c>
      <c r="S5" s="48" t="s">
        <v>44</v>
      </c>
      <c r="T5" s="46" t="s">
        <v>50</v>
      </c>
      <c r="U5" s="49" t="s">
        <v>51</v>
      </c>
      <c r="V5" s="46" t="s">
        <v>52</v>
      </c>
      <c r="X5" s="50">
        <v>45292</v>
      </c>
      <c r="Y5" s="51" t="s">
        <v>37</v>
      </c>
    </row>
    <row r="6" spans="1:26" s="46" customFormat="1" ht="19" x14ac:dyDescent="0.25">
      <c r="A6" s="40">
        <v>5</v>
      </c>
      <c r="B6" s="41" t="s">
        <v>25</v>
      </c>
      <c r="C6" s="53">
        <v>50002879</v>
      </c>
      <c r="D6" s="3" t="s">
        <v>26</v>
      </c>
      <c r="E6" s="37" t="s">
        <v>53</v>
      </c>
      <c r="F6" s="3" t="s">
        <v>54</v>
      </c>
      <c r="G6" s="37" t="s">
        <v>29</v>
      </c>
      <c r="H6" s="37" t="s">
        <v>30</v>
      </c>
      <c r="I6" s="37">
        <v>6286</v>
      </c>
      <c r="J6" s="43">
        <v>39</v>
      </c>
      <c r="K6" s="4">
        <f>Table_Household_Alloc[[#This Row],[Unit Entitlement]]/1000</f>
        <v>3.9E-2</v>
      </c>
      <c r="L6" s="44">
        <f t="shared" si="0"/>
        <v>9.048</v>
      </c>
      <c r="M6" s="45" t="s">
        <v>49</v>
      </c>
      <c r="N6" s="52">
        <f>IF(Table_Household_Alloc[[#This Row],[PV Installed]]="Y",1,0)*Table_Household_Alloc[[#This Row],[Calculated Battery Allocation (kWh)]]</f>
        <v>9.048</v>
      </c>
      <c r="O6" s="45">
        <v>6.4</v>
      </c>
      <c r="P6" s="3" t="s">
        <v>31</v>
      </c>
      <c r="Q6" s="3" t="s">
        <v>31</v>
      </c>
      <c r="R6" s="47" t="s">
        <v>31</v>
      </c>
      <c r="S6" s="48" t="s">
        <v>44</v>
      </c>
      <c r="T6" s="46" t="s">
        <v>55</v>
      </c>
      <c r="U6" s="49" t="s">
        <v>56</v>
      </c>
      <c r="V6" s="46" t="s">
        <v>57</v>
      </c>
      <c r="X6" s="50">
        <v>45292</v>
      </c>
      <c r="Y6" s="51" t="s">
        <v>37</v>
      </c>
    </row>
    <row r="7" spans="1:26" s="46" customFormat="1" ht="19" x14ac:dyDescent="0.25">
      <c r="A7" s="40">
        <v>6</v>
      </c>
      <c r="B7" s="41" t="s">
        <v>25</v>
      </c>
      <c r="C7" s="53">
        <v>50002865</v>
      </c>
      <c r="D7" s="3" t="s">
        <v>26</v>
      </c>
      <c r="E7" s="37" t="s">
        <v>58</v>
      </c>
      <c r="F7" s="3" t="s">
        <v>59</v>
      </c>
      <c r="G7" s="37" t="s">
        <v>29</v>
      </c>
      <c r="H7" s="37" t="s">
        <v>30</v>
      </c>
      <c r="I7" s="37">
        <v>6286</v>
      </c>
      <c r="J7" s="43">
        <v>39</v>
      </c>
      <c r="K7" s="4">
        <f>Table_Household_Alloc[[#This Row],[Unit Entitlement]]/1000</f>
        <v>3.9E-2</v>
      </c>
      <c r="L7" s="44">
        <f t="shared" si="0"/>
        <v>9.048</v>
      </c>
      <c r="M7" s="45" t="s">
        <v>60</v>
      </c>
      <c r="N7" s="52">
        <f>IF(Table_Household_Alloc[[#This Row],[PV Installed]]="Y",1,0)*Table_Household_Alloc[[#This Row],[Calculated Battery Allocation (kWh)]]</f>
        <v>9.048</v>
      </c>
      <c r="O7" s="45">
        <v>10.88</v>
      </c>
      <c r="P7" s="3" t="s">
        <v>31</v>
      </c>
      <c r="Q7" s="3" t="s">
        <v>31</v>
      </c>
      <c r="R7" s="47" t="s">
        <v>31</v>
      </c>
      <c r="S7" s="48" t="s">
        <v>44</v>
      </c>
      <c r="T7" s="46" t="s">
        <v>61</v>
      </c>
      <c r="U7" s="49" t="s">
        <v>62</v>
      </c>
      <c r="V7" s="46" t="s">
        <v>63</v>
      </c>
      <c r="X7" s="50">
        <v>45292</v>
      </c>
      <c r="Y7" s="51" t="s">
        <v>37</v>
      </c>
    </row>
    <row r="8" spans="1:26" s="46" customFormat="1" ht="19" x14ac:dyDescent="0.25">
      <c r="A8" s="40">
        <v>7</v>
      </c>
      <c r="B8" s="41" t="s">
        <v>25</v>
      </c>
      <c r="C8" s="42"/>
      <c r="D8" s="3" t="s">
        <v>26</v>
      </c>
      <c r="E8" s="37" t="s">
        <v>64</v>
      </c>
      <c r="F8" s="3" t="s">
        <v>65</v>
      </c>
      <c r="G8" s="37" t="s">
        <v>29</v>
      </c>
      <c r="H8" s="37" t="s">
        <v>30</v>
      </c>
      <c r="I8" s="37">
        <v>6286</v>
      </c>
      <c r="J8" s="43">
        <v>37</v>
      </c>
      <c r="K8" s="4">
        <f>Table_Household_Alloc[[#This Row],[Unit Entitlement]]/1000</f>
        <v>3.6999999999999998E-2</v>
      </c>
      <c r="L8" s="44">
        <f t="shared" si="0"/>
        <v>8.5839999999999996</v>
      </c>
      <c r="M8" s="45"/>
      <c r="N8" s="52">
        <f>IF(Table_Household_Alloc[[#This Row],[PV Installed]]="Y",1,0)*Table_Household_Alloc[[#This Row],[Calculated Battery Allocation (kWh)]]</f>
        <v>0</v>
      </c>
      <c r="O8" s="45"/>
      <c r="P8" s="3" t="s">
        <v>31</v>
      </c>
      <c r="Q8" s="3" t="s">
        <v>32</v>
      </c>
      <c r="R8" s="47" t="s">
        <v>32</v>
      </c>
      <c r="S8" s="48" t="s">
        <v>44</v>
      </c>
      <c r="T8" s="46" t="s">
        <v>66</v>
      </c>
      <c r="U8" s="49"/>
      <c r="V8" s="46" t="s">
        <v>67</v>
      </c>
      <c r="X8" s="50">
        <v>45292</v>
      </c>
      <c r="Y8" s="51" t="s">
        <v>37</v>
      </c>
    </row>
    <row r="9" spans="1:26" s="46" customFormat="1" ht="19" x14ac:dyDescent="0.25">
      <c r="A9" s="40">
        <v>8</v>
      </c>
      <c r="B9" s="41" t="s">
        <v>25</v>
      </c>
      <c r="C9" s="53">
        <v>50002846</v>
      </c>
      <c r="D9" s="3" t="s">
        <v>26</v>
      </c>
      <c r="E9" s="37" t="s">
        <v>68</v>
      </c>
      <c r="F9" s="3" t="s">
        <v>69</v>
      </c>
      <c r="G9" s="37" t="s">
        <v>29</v>
      </c>
      <c r="H9" s="37" t="s">
        <v>30</v>
      </c>
      <c r="I9" s="37">
        <v>6286</v>
      </c>
      <c r="J9" s="43">
        <v>36</v>
      </c>
      <c r="K9" s="4">
        <f>Table_Household_Alloc[[#This Row],[Unit Entitlement]]/1000</f>
        <v>3.5999999999999997E-2</v>
      </c>
      <c r="L9" s="44">
        <f t="shared" si="0"/>
        <v>8.3519999999999985</v>
      </c>
      <c r="M9" s="45" t="s">
        <v>49</v>
      </c>
      <c r="N9" s="52">
        <f>IF(Table_Household_Alloc[[#This Row],[PV Installed]]="Y",1,0)*Table_Household_Alloc[[#This Row],[Calculated Battery Allocation (kWh)]]</f>
        <v>8.3519999999999985</v>
      </c>
      <c r="O9" s="45">
        <v>6.6</v>
      </c>
      <c r="P9" s="3" t="s">
        <v>31</v>
      </c>
      <c r="Q9" s="3" t="s">
        <v>31</v>
      </c>
      <c r="R9" s="47" t="s">
        <v>31</v>
      </c>
      <c r="S9" s="48" t="s">
        <v>44</v>
      </c>
      <c r="T9" s="46" t="s">
        <v>70</v>
      </c>
      <c r="U9" s="49" t="s">
        <v>71</v>
      </c>
      <c r="V9" s="46" t="s">
        <v>72</v>
      </c>
      <c r="X9" s="50">
        <v>45292</v>
      </c>
      <c r="Y9" s="51" t="s">
        <v>37</v>
      </c>
    </row>
    <row r="10" spans="1:26" s="46" customFormat="1" ht="19" x14ac:dyDescent="0.25">
      <c r="A10" s="40">
        <v>9</v>
      </c>
      <c r="B10" s="41" t="s">
        <v>25</v>
      </c>
      <c r="C10" s="42"/>
      <c r="D10" s="3" t="s">
        <v>26</v>
      </c>
      <c r="E10" s="37" t="s">
        <v>73</v>
      </c>
      <c r="F10" s="3" t="s">
        <v>74</v>
      </c>
      <c r="G10" s="37" t="s">
        <v>29</v>
      </c>
      <c r="H10" s="37" t="s">
        <v>30</v>
      </c>
      <c r="I10" s="37">
        <v>6286</v>
      </c>
      <c r="J10" s="43">
        <v>36</v>
      </c>
      <c r="K10" s="4">
        <f>Table_Household_Alloc[[#This Row],[Unit Entitlement]]/1000</f>
        <v>3.5999999999999997E-2</v>
      </c>
      <c r="L10" s="44">
        <f t="shared" si="0"/>
        <v>8.3519999999999985</v>
      </c>
      <c r="M10" s="45"/>
      <c r="N10" s="52">
        <f>IF(Table_Household_Alloc[[#This Row],[PV Installed]]="Y",1,0)*Table_Household_Alloc[[#This Row],[Calculated Battery Allocation (kWh)]]</f>
        <v>0</v>
      </c>
      <c r="O10" s="45"/>
      <c r="P10" s="3" t="s">
        <v>31</v>
      </c>
      <c r="Q10" s="3" t="s">
        <v>32</v>
      </c>
      <c r="R10" s="47" t="s">
        <v>32</v>
      </c>
      <c r="S10" s="48" t="s">
        <v>44</v>
      </c>
      <c r="T10" s="46" t="s">
        <v>75</v>
      </c>
      <c r="U10" s="49"/>
      <c r="V10" s="46" t="s">
        <v>76</v>
      </c>
      <c r="X10" s="50">
        <v>45292</v>
      </c>
      <c r="Y10" s="51" t="s">
        <v>37</v>
      </c>
    </row>
    <row r="11" spans="1:26" s="46" customFormat="1" ht="19" x14ac:dyDescent="0.25">
      <c r="A11" s="40">
        <v>10</v>
      </c>
      <c r="B11" s="41" t="s">
        <v>25</v>
      </c>
      <c r="C11" s="42"/>
      <c r="D11" s="3" t="s">
        <v>77</v>
      </c>
      <c r="E11" s="37" t="s">
        <v>78</v>
      </c>
      <c r="F11" s="3" t="s">
        <v>79</v>
      </c>
      <c r="G11" s="37" t="s">
        <v>29</v>
      </c>
      <c r="H11" s="37" t="s">
        <v>30</v>
      </c>
      <c r="I11" s="37">
        <v>6286</v>
      </c>
      <c r="J11" s="43">
        <v>53</v>
      </c>
      <c r="K11" s="4">
        <f>Table_Household_Alloc[[#This Row],[Unit Entitlement]]/1000</f>
        <v>5.2999999999999999E-2</v>
      </c>
      <c r="L11" s="44">
        <f t="shared" si="0"/>
        <v>12.295999999999999</v>
      </c>
      <c r="M11" s="45" t="s">
        <v>49</v>
      </c>
      <c r="N11" s="52">
        <f>IF(Table_Household_Alloc[[#This Row],[PV Installed]]="Y",1,0)*Table_Household_Alloc[[#This Row],[Calculated Battery Allocation (kWh)]]</f>
        <v>12.295999999999999</v>
      </c>
      <c r="O11" s="45">
        <v>6.4</v>
      </c>
      <c r="P11" s="3" t="s">
        <v>31</v>
      </c>
      <c r="Q11" s="3" t="s">
        <v>31</v>
      </c>
      <c r="R11" s="47" t="s">
        <v>31</v>
      </c>
      <c r="S11" s="48" t="s">
        <v>44</v>
      </c>
      <c r="T11" s="46" t="s">
        <v>80</v>
      </c>
      <c r="U11" s="49"/>
      <c r="V11" s="46" t="s">
        <v>81</v>
      </c>
      <c r="X11" s="50">
        <v>45292</v>
      </c>
      <c r="Y11" s="51" t="s">
        <v>37</v>
      </c>
    </row>
    <row r="12" spans="1:26" s="46" customFormat="1" ht="19" x14ac:dyDescent="0.25">
      <c r="A12" s="40">
        <v>11</v>
      </c>
      <c r="B12" s="41" t="s">
        <v>25</v>
      </c>
      <c r="C12" s="53">
        <v>50002848</v>
      </c>
      <c r="D12" s="3" t="s">
        <v>77</v>
      </c>
      <c r="E12" s="37" t="s">
        <v>82</v>
      </c>
      <c r="F12" s="3" t="s">
        <v>83</v>
      </c>
      <c r="G12" s="37" t="s">
        <v>29</v>
      </c>
      <c r="H12" s="37" t="s">
        <v>30</v>
      </c>
      <c r="I12" s="37">
        <v>6286</v>
      </c>
      <c r="J12" s="43">
        <v>52</v>
      </c>
      <c r="K12" s="4">
        <f>Table_Household_Alloc[[#This Row],[Unit Entitlement]]/1000</f>
        <v>5.1999999999999998E-2</v>
      </c>
      <c r="L12" s="44">
        <f t="shared" si="0"/>
        <v>12.064</v>
      </c>
      <c r="M12" s="45" t="s">
        <v>49</v>
      </c>
      <c r="N12" s="52">
        <f>IF(Table_Household_Alloc[[#This Row],[PV Installed]]="Y",1,0)*Table_Household_Alloc[[#This Row],[Calculated Battery Allocation (kWh)]]</f>
        <v>12.064</v>
      </c>
      <c r="O12" s="45">
        <v>6.4</v>
      </c>
      <c r="P12" s="3" t="s">
        <v>31</v>
      </c>
      <c r="Q12" s="3" t="s">
        <v>31</v>
      </c>
      <c r="R12" s="47" t="s">
        <v>31</v>
      </c>
      <c r="S12" s="48" t="s">
        <v>44</v>
      </c>
      <c r="T12" s="46" t="s">
        <v>84</v>
      </c>
      <c r="U12" s="49"/>
      <c r="V12" s="46" t="s">
        <v>85</v>
      </c>
      <c r="X12" s="50">
        <v>45292</v>
      </c>
      <c r="Y12" s="51" t="s">
        <v>37</v>
      </c>
    </row>
    <row r="13" spans="1:26" s="46" customFormat="1" ht="19" x14ac:dyDescent="0.25">
      <c r="A13" s="40">
        <v>12</v>
      </c>
      <c r="B13" s="41" t="s">
        <v>25</v>
      </c>
      <c r="C13" s="42"/>
      <c r="D13" s="3" t="s">
        <v>77</v>
      </c>
      <c r="E13" s="37" t="s">
        <v>86</v>
      </c>
      <c r="F13" s="3" t="s">
        <v>87</v>
      </c>
      <c r="G13" s="37" t="s">
        <v>29</v>
      </c>
      <c r="H13" s="37" t="s">
        <v>30</v>
      </c>
      <c r="I13" s="37">
        <v>6286</v>
      </c>
      <c r="J13" s="43">
        <v>52</v>
      </c>
      <c r="K13" s="4">
        <f>Table_Household_Alloc[[#This Row],[Unit Entitlement]]/1000</f>
        <v>5.1999999999999998E-2</v>
      </c>
      <c r="L13" s="44">
        <f t="shared" si="0"/>
        <v>12.064</v>
      </c>
      <c r="M13" s="45"/>
      <c r="N13" s="52">
        <f>IF(Table_Household_Alloc[[#This Row],[PV Installed]]="Y",1,0)*Table_Household_Alloc[[#This Row],[Calculated Battery Allocation (kWh)]]</f>
        <v>0</v>
      </c>
      <c r="O13" s="45"/>
      <c r="P13" s="3" t="s">
        <v>31</v>
      </c>
      <c r="Q13" s="3" t="s">
        <v>32</v>
      </c>
      <c r="R13" s="47" t="s">
        <v>32</v>
      </c>
      <c r="S13" s="48" t="s">
        <v>33</v>
      </c>
      <c r="T13" s="46" t="s">
        <v>88</v>
      </c>
      <c r="U13" s="49" t="s">
        <v>89</v>
      </c>
      <c r="V13" s="46" t="s">
        <v>90</v>
      </c>
      <c r="X13" s="50">
        <v>45292</v>
      </c>
      <c r="Y13" s="51" t="s">
        <v>37</v>
      </c>
    </row>
    <row r="14" spans="1:26" s="46" customFormat="1" ht="19" x14ac:dyDescent="0.25">
      <c r="A14" s="40">
        <v>13</v>
      </c>
      <c r="B14" s="41" t="s">
        <v>25</v>
      </c>
      <c r="C14" s="53">
        <v>50002739</v>
      </c>
      <c r="D14" s="3" t="s">
        <v>77</v>
      </c>
      <c r="E14" s="37" t="s">
        <v>91</v>
      </c>
      <c r="F14" s="3" t="s">
        <v>92</v>
      </c>
      <c r="G14" s="37" t="s">
        <v>29</v>
      </c>
      <c r="H14" s="37" t="s">
        <v>30</v>
      </c>
      <c r="I14" s="37">
        <v>6286</v>
      </c>
      <c r="J14" s="43">
        <v>52</v>
      </c>
      <c r="K14" s="4">
        <f>Table_Household_Alloc[[#This Row],[Unit Entitlement]]/1000</f>
        <v>5.1999999999999998E-2</v>
      </c>
      <c r="L14" s="44">
        <f t="shared" si="0"/>
        <v>12.064</v>
      </c>
      <c r="M14" s="45" t="s">
        <v>93</v>
      </c>
      <c r="N14" s="52">
        <f>IF(Table_Household_Alloc[[#This Row],[PV Installed]]="Y",1,0)*Table_Household_Alloc[[#This Row],[Calculated Battery Allocation (kWh)]]</f>
        <v>12.064</v>
      </c>
      <c r="O14" s="45">
        <v>12.8</v>
      </c>
      <c r="P14" s="3" t="s">
        <v>31</v>
      </c>
      <c r="Q14" s="3" t="s">
        <v>31</v>
      </c>
      <c r="R14" s="47" t="s">
        <v>31</v>
      </c>
      <c r="S14" s="48" t="s">
        <v>44</v>
      </c>
      <c r="T14" s="46" t="s">
        <v>94</v>
      </c>
      <c r="U14" s="49" t="s">
        <v>95</v>
      </c>
      <c r="V14" s="46" t="s">
        <v>96</v>
      </c>
      <c r="X14" s="50">
        <v>45292</v>
      </c>
      <c r="Y14" s="51" t="s">
        <v>37</v>
      </c>
    </row>
    <row r="15" spans="1:26" s="46" customFormat="1" ht="19" x14ac:dyDescent="0.25">
      <c r="A15" s="40">
        <v>14</v>
      </c>
      <c r="B15" s="41" t="s">
        <v>25</v>
      </c>
      <c r="C15" s="42"/>
      <c r="D15" s="3" t="s">
        <v>77</v>
      </c>
      <c r="E15" s="37" t="s">
        <v>97</v>
      </c>
      <c r="F15" s="3" t="s">
        <v>98</v>
      </c>
      <c r="G15" s="37" t="s">
        <v>29</v>
      </c>
      <c r="H15" s="37" t="s">
        <v>30</v>
      </c>
      <c r="I15" s="37">
        <v>6286</v>
      </c>
      <c r="J15" s="43">
        <v>52</v>
      </c>
      <c r="K15" s="4">
        <f>Table_Household_Alloc[[#This Row],[Unit Entitlement]]/1000</f>
        <v>5.1999999999999998E-2</v>
      </c>
      <c r="L15" s="44">
        <f t="shared" si="0"/>
        <v>12.064</v>
      </c>
      <c r="M15" s="45" t="s">
        <v>93</v>
      </c>
      <c r="N15" s="52">
        <f>IF(Table_Household_Alloc[[#This Row],[PV Installed]]="Y",1,0)*Table_Household_Alloc[[#This Row],[Calculated Battery Allocation (kWh)]]</f>
        <v>0</v>
      </c>
      <c r="O15" s="45">
        <v>13.2</v>
      </c>
      <c r="P15" s="3" t="s">
        <v>31</v>
      </c>
      <c r="Q15" s="3" t="s">
        <v>32</v>
      </c>
      <c r="R15" s="47" t="s">
        <v>32</v>
      </c>
      <c r="S15" s="48" t="s">
        <v>33</v>
      </c>
      <c r="T15" s="46" t="s">
        <v>99</v>
      </c>
      <c r="U15" s="49" t="s">
        <v>100</v>
      </c>
      <c r="V15" s="46" t="s">
        <v>101</v>
      </c>
      <c r="X15" s="50">
        <v>45292</v>
      </c>
      <c r="Y15" s="51" t="s">
        <v>37</v>
      </c>
    </row>
    <row r="16" spans="1:26" s="46" customFormat="1" ht="19" x14ac:dyDescent="0.25">
      <c r="A16" s="40">
        <v>15</v>
      </c>
      <c r="B16" s="41" t="s">
        <v>25</v>
      </c>
      <c r="C16" s="54"/>
      <c r="D16" s="3" t="s">
        <v>77</v>
      </c>
      <c r="E16" s="37" t="s">
        <v>102</v>
      </c>
      <c r="F16" s="3" t="s">
        <v>103</v>
      </c>
      <c r="G16" s="37" t="s">
        <v>29</v>
      </c>
      <c r="H16" s="37" t="s">
        <v>30</v>
      </c>
      <c r="I16" s="37">
        <v>6286</v>
      </c>
      <c r="J16" s="43">
        <v>53</v>
      </c>
      <c r="K16" s="4">
        <f>Table_Household_Alloc[[#This Row],[Unit Entitlement]]/1000</f>
        <v>5.2999999999999999E-2</v>
      </c>
      <c r="L16" s="44">
        <f t="shared" si="0"/>
        <v>12.295999999999999</v>
      </c>
      <c r="M16" s="45"/>
      <c r="N16" s="52">
        <f>IF(Table_Household_Alloc[[#This Row],[PV Installed]]="Y",1,0)*Table_Household_Alloc[[#This Row],[Calculated Battery Allocation (kWh)]]</f>
        <v>0</v>
      </c>
      <c r="O16" s="45"/>
      <c r="P16" s="3" t="s">
        <v>31</v>
      </c>
      <c r="Q16" s="3" t="s">
        <v>32</v>
      </c>
      <c r="R16" s="47" t="s">
        <v>32</v>
      </c>
      <c r="S16" s="48" t="s">
        <v>33</v>
      </c>
      <c r="T16" s="46" t="s">
        <v>104</v>
      </c>
      <c r="U16" s="49" t="s">
        <v>105</v>
      </c>
      <c r="V16" s="46" t="s">
        <v>106</v>
      </c>
      <c r="X16" s="50">
        <v>45292</v>
      </c>
      <c r="Y16" s="51" t="s">
        <v>37</v>
      </c>
    </row>
    <row r="17" spans="1:25" s="46" customFormat="1" ht="19" x14ac:dyDescent="0.25">
      <c r="A17" s="40">
        <v>16</v>
      </c>
      <c r="B17" s="41" t="s">
        <v>25</v>
      </c>
      <c r="C17" s="53">
        <v>50002855</v>
      </c>
      <c r="D17" s="3" t="s">
        <v>77</v>
      </c>
      <c r="E17" s="37" t="s">
        <v>107</v>
      </c>
      <c r="F17" s="3" t="s">
        <v>108</v>
      </c>
      <c r="G17" s="37" t="s">
        <v>29</v>
      </c>
      <c r="H17" s="37" t="s">
        <v>30</v>
      </c>
      <c r="I17" s="37">
        <v>6286</v>
      </c>
      <c r="J17" s="43">
        <v>55</v>
      </c>
      <c r="K17" s="4">
        <f>Table_Household_Alloc[[#This Row],[Unit Entitlement]]/1000</f>
        <v>5.5E-2</v>
      </c>
      <c r="L17" s="44">
        <f t="shared" si="0"/>
        <v>12.76</v>
      </c>
      <c r="M17" s="45" t="s">
        <v>49</v>
      </c>
      <c r="N17" s="52">
        <f>IF(Table_Household_Alloc[[#This Row],[PV Installed]]="Y",1,0)*Table_Household_Alloc[[#This Row],[Calculated Battery Allocation (kWh)]]</f>
        <v>12.76</v>
      </c>
      <c r="O17" s="45">
        <v>6.6</v>
      </c>
      <c r="P17" s="3" t="s">
        <v>31</v>
      </c>
      <c r="Q17" s="3" t="s">
        <v>31</v>
      </c>
      <c r="R17" s="47" t="s">
        <v>31</v>
      </c>
      <c r="S17" s="48" t="s">
        <v>44</v>
      </c>
      <c r="T17" s="46" t="s">
        <v>109</v>
      </c>
      <c r="U17" s="49"/>
      <c r="V17" s="46" t="s">
        <v>110</v>
      </c>
      <c r="X17" s="50">
        <v>45292</v>
      </c>
      <c r="Y17" s="51" t="s">
        <v>37</v>
      </c>
    </row>
    <row r="18" spans="1:25" s="46" customFormat="1" ht="19" x14ac:dyDescent="0.25">
      <c r="A18" s="40">
        <v>17</v>
      </c>
      <c r="B18" s="41" t="s">
        <v>25</v>
      </c>
      <c r="C18" s="53">
        <v>50002877</v>
      </c>
      <c r="D18" s="3" t="s">
        <v>77</v>
      </c>
      <c r="E18" s="37" t="s">
        <v>111</v>
      </c>
      <c r="F18" s="3" t="s">
        <v>112</v>
      </c>
      <c r="G18" s="37" t="s">
        <v>29</v>
      </c>
      <c r="H18" s="37" t="s">
        <v>30</v>
      </c>
      <c r="I18" s="37">
        <v>6286</v>
      </c>
      <c r="J18" s="43">
        <v>55</v>
      </c>
      <c r="K18" s="4">
        <f>Table_Household_Alloc[[#This Row],[Unit Entitlement]]/1000</f>
        <v>5.5E-2</v>
      </c>
      <c r="L18" s="44">
        <f t="shared" si="0"/>
        <v>12.76</v>
      </c>
      <c r="M18" s="45" t="s">
        <v>60</v>
      </c>
      <c r="N18" s="52">
        <f>IF(Table_Household_Alloc[[#This Row],[PV Installed]]="Y",1,0)*Table_Household_Alloc[[#This Row],[Calculated Battery Allocation (kWh)]]</f>
        <v>12.76</v>
      </c>
      <c r="O18" s="45">
        <v>10.9</v>
      </c>
      <c r="P18" s="3" t="s">
        <v>31</v>
      </c>
      <c r="Q18" s="3" t="s">
        <v>31</v>
      </c>
      <c r="R18" s="47" t="s">
        <v>31</v>
      </c>
      <c r="S18" s="48" t="s">
        <v>44</v>
      </c>
      <c r="T18" s="46" t="s">
        <v>113</v>
      </c>
      <c r="U18" s="49" t="s">
        <v>114</v>
      </c>
      <c r="V18" s="46" t="s">
        <v>115</v>
      </c>
      <c r="X18" s="50">
        <v>45292</v>
      </c>
      <c r="Y18" s="51" t="s">
        <v>37</v>
      </c>
    </row>
    <row r="19" spans="1:25" s="46" customFormat="1" ht="19" x14ac:dyDescent="0.25">
      <c r="A19" s="40">
        <v>18</v>
      </c>
      <c r="B19" s="41" t="s">
        <v>25</v>
      </c>
      <c r="C19" s="42"/>
      <c r="D19" s="3" t="s">
        <v>77</v>
      </c>
      <c r="E19" s="37" t="s">
        <v>116</v>
      </c>
      <c r="F19" s="3" t="s">
        <v>117</v>
      </c>
      <c r="G19" s="37" t="s">
        <v>29</v>
      </c>
      <c r="H19" s="37" t="s">
        <v>30</v>
      </c>
      <c r="I19" s="37">
        <v>6286</v>
      </c>
      <c r="J19" s="43">
        <v>55</v>
      </c>
      <c r="K19" s="4">
        <f>Table_Household_Alloc[[#This Row],[Unit Entitlement]]/1000</f>
        <v>5.5E-2</v>
      </c>
      <c r="L19" s="44">
        <f t="shared" si="0"/>
        <v>12.76</v>
      </c>
      <c r="M19" s="45"/>
      <c r="N19" s="52">
        <f>IF(Table_Household_Alloc[[#This Row],[PV Installed]]="Y",1,0)*Table_Household_Alloc[[#This Row],[Calculated Battery Allocation (kWh)]]</f>
        <v>0</v>
      </c>
      <c r="O19" s="45"/>
      <c r="P19" s="3"/>
      <c r="Q19" s="3" t="s">
        <v>32</v>
      </c>
      <c r="R19" s="47" t="s">
        <v>32</v>
      </c>
      <c r="S19" s="48" t="s">
        <v>118</v>
      </c>
      <c r="T19" s="46" t="s">
        <v>119</v>
      </c>
      <c r="U19" s="49"/>
      <c r="V19" s="46" t="s">
        <v>120</v>
      </c>
      <c r="X19" s="50">
        <v>45292</v>
      </c>
      <c r="Y19" s="51" t="s">
        <v>37</v>
      </c>
    </row>
    <row r="20" spans="1:25" s="46" customFormat="1" ht="19" x14ac:dyDescent="0.25">
      <c r="A20" s="40">
        <v>19</v>
      </c>
      <c r="B20" s="41" t="s">
        <v>25</v>
      </c>
      <c r="C20" s="53">
        <v>50002864</v>
      </c>
      <c r="D20" s="3" t="s">
        <v>77</v>
      </c>
      <c r="E20" s="37" t="s">
        <v>121</v>
      </c>
      <c r="F20" s="3" t="s">
        <v>122</v>
      </c>
      <c r="G20" s="37" t="s">
        <v>29</v>
      </c>
      <c r="H20" s="37" t="s">
        <v>30</v>
      </c>
      <c r="I20" s="37">
        <v>6286</v>
      </c>
      <c r="J20" s="43">
        <v>55</v>
      </c>
      <c r="K20" s="4">
        <f>Table_Household_Alloc[[#This Row],[Unit Entitlement]]/1000</f>
        <v>5.5E-2</v>
      </c>
      <c r="L20" s="44">
        <f t="shared" si="0"/>
        <v>12.76</v>
      </c>
      <c r="M20" s="45" t="s">
        <v>93</v>
      </c>
      <c r="N20" s="52">
        <f>IF(Table_Household_Alloc[[#This Row],[PV Installed]]="Y",1,0)*Table_Household_Alloc[[#This Row],[Calculated Battery Allocation (kWh)]]</f>
        <v>12.76</v>
      </c>
      <c r="O20" s="45">
        <v>12.8</v>
      </c>
      <c r="P20" s="3" t="s">
        <v>31</v>
      </c>
      <c r="Q20" s="3" t="s">
        <v>31</v>
      </c>
      <c r="R20" s="47" t="s">
        <v>31</v>
      </c>
      <c r="S20" s="48" t="s">
        <v>44</v>
      </c>
      <c r="T20" s="46" t="s">
        <v>123</v>
      </c>
      <c r="U20" s="49"/>
      <c r="V20" s="46" t="s">
        <v>124</v>
      </c>
      <c r="X20" s="50">
        <v>45292</v>
      </c>
      <c r="Y20" s="51" t="s">
        <v>37</v>
      </c>
    </row>
    <row r="21" spans="1:25" s="46" customFormat="1" ht="19" x14ac:dyDescent="0.25">
      <c r="A21" s="40">
        <v>20</v>
      </c>
      <c r="B21" s="41" t="s">
        <v>25</v>
      </c>
      <c r="C21" s="53">
        <v>50002710</v>
      </c>
      <c r="D21" s="3" t="s">
        <v>125</v>
      </c>
      <c r="E21" s="37" t="s">
        <v>126</v>
      </c>
      <c r="F21" s="3" t="s">
        <v>127</v>
      </c>
      <c r="G21" s="37" t="s">
        <v>29</v>
      </c>
      <c r="H21" s="37" t="s">
        <v>30</v>
      </c>
      <c r="I21" s="37">
        <v>6286</v>
      </c>
      <c r="J21" s="43">
        <v>26</v>
      </c>
      <c r="K21" s="4">
        <f>Table_Household_Alloc[[#This Row],[Unit Entitlement]]/1000</f>
        <v>2.5999999999999999E-2</v>
      </c>
      <c r="L21" s="44">
        <f t="shared" si="0"/>
        <v>6.032</v>
      </c>
      <c r="M21" s="45" t="s">
        <v>49</v>
      </c>
      <c r="N21" s="52">
        <f>IF(Table_Household_Alloc[[#This Row],[PV Installed]]="Y",1,0)*Table_Household_Alloc[[#This Row],[Calculated Battery Allocation (kWh)]]</f>
        <v>6.032</v>
      </c>
      <c r="O21" s="45">
        <v>6.4</v>
      </c>
      <c r="P21" s="3" t="s">
        <v>31</v>
      </c>
      <c r="Q21" s="3" t="s">
        <v>31</v>
      </c>
      <c r="R21" s="47" t="s">
        <v>31</v>
      </c>
      <c r="S21" s="48" t="s">
        <v>44</v>
      </c>
      <c r="T21" s="46" t="s">
        <v>128</v>
      </c>
      <c r="U21" s="49"/>
      <c r="V21" s="46" t="s">
        <v>129</v>
      </c>
      <c r="X21" s="50">
        <v>45292</v>
      </c>
      <c r="Y21" s="51" t="s">
        <v>37</v>
      </c>
    </row>
    <row r="22" spans="1:25" s="46" customFormat="1" ht="19" x14ac:dyDescent="0.25">
      <c r="A22" s="40">
        <v>21</v>
      </c>
      <c r="B22" s="41" t="s">
        <v>25</v>
      </c>
      <c r="C22" s="53">
        <v>50002719</v>
      </c>
      <c r="D22" s="3" t="s">
        <v>125</v>
      </c>
      <c r="E22" s="37" t="s">
        <v>130</v>
      </c>
      <c r="F22" s="3" t="s">
        <v>131</v>
      </c>
      <c r="G22" s="37" t="s">
        <v>29</v>
      </c>
      <c r="H22" s="37" t="s">
        <v>30</v>
      </c>
      <c r="I22" s="37">
        <v>6286</v>
      </c>
      <c r="J22" s="43">
        <v>26</v>
      </c>
      <c r="K22" s="4">
        <f>Table_Household_Alloc[[#This Row],[Unit Entitlement]]/1000</f>
        <v>2.5999999999999999E-2</v>
      </c>
      <c r="L22" s="44">
        <f t="shared" si="0"/>
        <v>6.032</v>
      </c>
      <c r="M22" s="45" t="s">
        <v>49</v>
      </c>
      <c r="N22" s="52">
        <f>IF(Table_Household_Alloc[[#This Row],[PV Installed]]="Y",1,0)*Table_Household_Alloc[[#This Row],[Calculated Battery Allocation (kWh)]]</f>
        <v>6.032</v>
      </c>
      <c r="O22" s="45">
        <v>6.4</v>
      </c>
      <c r="P22" s="3" t="s">
        <v>31</v>
      </c>
      <c r="Q22" s="3" t="s">
        <v>31</v>
      </c>
      <c r="R22" s="47" t="s">
        <v>31</v>
      </c>
      <c r="S22" s="48" t="s">
        <v>44</v>
      </c>
      <c r="T22" s="46" t="s">
        <v>132</v>
      </c>
      <c r="U22" s="49"/>
      <c r="V22" s="46" t="s">
        <v>133</v>
      </c>
      <c r="X22" s="50">
        <v>45292</v>
      </c>
      <c r="Y22" s="51" t="s">
        <v>37</v>
      </c>
    </row>
    <row r="23" spans="1:25" s="46" customFormat="1" ht="19" x14ac:dyDescent="0.25">
      <c r="A23" s="40">
        <v>22</v>
      </c>
      <c r="B23" s="41" t="s">
        <v>25</v>
      </c>
      <c r="C23" s="53">
        <v>50002876</v>
      </c>
      <c r="D23" s="3" t="s">
        <v>125</v>
      </c>
      <c r="E23" s="37" t="s">
        <v>134</v>
      </c>
      <c r="F23" s="3" t="s">
        <v>135</v>
      </c>
      <c r="G23" s="37" t="s">
        <v>29</v>
      </c>
      <c r="H23" s="37" t="s">
        <v>30</v>
      </c>
      <c r="I23" s="37">
        <v>6286</v>
      </c>
      <c r="J23" s="43">
        <v>26</v>
      </c>
      <c r="K23" s="4">
        <f>Table_Household_Alloc[[#This Row],[Unit Entitlement]]/1000</f>
        <v>2.5999999999999999E-2</v>
      </c>
      <c r="L23" s="44">
        <f t="shared" si="0"/>
        <v>6.032</v>
      </c>
      <c r="M23" s="45" t="s">
        <v>49</v>
      </c>
      <c r="N23" s="52">
        <f>IF(Table_Household_Alloc[[#This Row],[PV Installed]]="Y",1,0)*Table_Household_Alloc[[#This Row],[Calculated Battery Allocation (kWh)]]</f>
        <v>6.032</v>
      </c>
      <c r="O23" s="45">
        <v>6.4</v>
      </c>
      <c r="P23" s="3" t="s">
        <v>31</v>
      </c>
      <c r="Q23" s="3" t="s">
        <v>31</v>
      </c>
      <c r="R23" s="47" t="s">
        <v>31</v>
      </c>
      <c r="S23" s="48" t="s">
        <v>44</v>
      </c>
      <c r="T23" s="46" t="s">
        <v>136</v>
      </c>
      <c r="U23" s="49" t="s">
        <v>137</v>
      </c>
      <c r="V23" s="46" t="s">
        <v>138</v>
      </c>
      <c r="X23" s="50">
        <v>45292</v>
      </c>
      <c r="Y23" s="51" t="s">
        <v>37</v>
      </c>
    </row>
    <row r="24" spans="1:25" s="46" customFormat="1" ht="19" x14ac:dyDescent="0.25">
      <c r="A24" s="40">
        <v>23</v>
      </c>
      <c r="B24" s="41" t="s">
        <v>25</v>
      </c>
      <c r="C24" s="53">
        <v>50002860</v>
      </c>
      <c r="D24" s="3" t="s">
        <v>125</v>
      </c>
      <c r="E24" s="37" t="s">
        <v>139</v>
      </c>
      <c r="F24" s="3" t="s">
        <v>140</v>
      </c>
      <c r="G24" s="37" t="s">
        <v>29</v>
      </c>
      <c r="H24" s="37" t="s">
        <v>30</v>
      </c>
      <c r="I24" s="37">
        <v>6286</v>
      </c>
      <c r="J24" s="43">
        <v>26</v>
      </c>
      <c r="K24" s="4">
        <f>Table_Household_Alloc[[#This Row],[Unit Entitlement]]/1000</f>
        <v>2.5999999999999999E-2</v>
      </c>
      <c r="L24" s="44">
        <f t="shared" si="0"/>
        <v>6.032</v>
      </c>
      <c r="M24" s="45" t="s">
        <v>49</v>
      </c>
      <c r="N24" s="52">
        <f>IF(Table_Household_Alloc[[#This Row],[PV Installed]]="Y",1,0)*Table_Household_Alloc[[#This Row],[Calculated Battery Allocation (kWh)]]</f>
        <v>6.032</v>
      </c>
      <c r="O24" s="45">
        <v>6.4</v>
      </c>
      <c r="P24" s="3" t="s">
        <v>31</v>
      </c>
      <c r="Q24" s="3" t="s">
        <v>31</v>
      </c>
      <c r="R24" s="47" t="s">
        <v>31</v>
      </c>
      <c r="S24" s="48" t="s">
        <v>44</v>
      </c>
      <c r="T24" s="46" t="s">
        <v>141</v>
      </c>
      <c r="U24" s="49"/>
      <c r="V24" s="46" t="s">
        <v>142</v>
      </c>
      <c r="X24" s="50">
        <v>45292</v>
      </c>
      <c r="Y24" s="51" t="s">
        <v>37</v>
      </c>
    </row>
    <row r="25" spans="1:25" s="46" customFormat="1" ht="19" x14ac:dyDescent="0.25">
      <c r="A25" s="40">
        <v>24</v>
      </c>
      <c r="B25" s="41" t="s">
        <v>25</v>
      </c>
      <c r="C25" s="42"/>
      <c r="D25" s="3" t="s">
        <v>125</v>
      </c>
      <c r="E25" s="37" t="s">
        <v>143</v>
      </c>
      <c r="F25" s="3" t="s">
        <v>144</v>
      </c>
      <c r="G25" s="37" t="s">
        <v>29</v>
      </c>
      <c r="H25" s="37" t="s">
        <v>30</v>
      </c>
      <c r="I25" s="37">
        <v>6286</v>
      </c>
      <c r="J25" s="43">
        <v>28</v>
      </c>
      <c r="K25" s="4">
        <f>Table_Household_Alloc[[#This Row],[Unit Entitlement]]/1000</f>
        <v>2.8000000000000001E-2</v>
      </c>
      <c r="L25" s="44">
        <f t="shared" si="0"/>
        <v>6.4960000000000004</v>
      </c>
      <c r="M25" s="45"/>
      <c r="N25" s="52">
        <f>IF(Table_Household_Alloc[[#This Row],[PV Installed]]="Y",1,0)*Table_Household_Alloc[[#This Row],[Calculated Battery Allocation (kWh)]]</f>
        <v>0</v>
      </c>
      <c r="P25" s="3" t="s">
        <v>31</v>
      </c>
      <c r="Q25" s="3" t="s">
        <v>32</v>
      </c>
      <c r="R25" s="47" t="s">
        <v>32</v>
      </c>
      <c r="S25" s="48" t="s">
        <v>33</v>
      </c>
      <c r="T25" s="46" t="s">
        <v>145</v>
      </c>
      <c r="U25" s="49"/>
      <c r="V25" s="46" t="s">
        <v>146</v>
      </c>
      <c r="X25" s="50">
        <v>45292</v>
      </c>
      <c r="Y25" s="51" t="s">
        <v>37</v>
      </c>
    </row>
    <row r="26" spans="1:25" s="46" customFormat="1" ht="40" x14ac:dyDescent="0.25">
      <c r="A26" s="55" t="s">
        <v>147</v>
      </c>
      <c r="B26" s="41" t="s">
        <v>25</v>
      </c>
      <c r="C26" s="42">
        <v>40002686</v>
      </c>
      <c r="D26" s="37"/>
      <c r="E26" s="56" t="s">
        <v>148</v>
      </c>
      <c r="F26" s="5"/>
      <c r="G26" s="37"/>
      <c r="H26" s="37"/>
      <c r="I26" s="37"/>
      <c r="J26" s="57">
        <v>1000</v>
      </c>
      <c r="K26" s="6">
        <f>Table_Household_Alloc[[#This Row],[Unit Entitlement]]/1000</f>
        <v>1</v>
      </c>
      <c r="L26" s="44"/>
      <c r="M26" s="37"/>
      <c r="N26" s="52">
        <f>IF(Table_Household_Alloc[[#This Row],[PV Installed]]="Y",1,0)*Table_Household_Alloc[[#This Row],[Calculated Battery Allocation (kWh)]]</f>
        <v>0</v>
      </c>
      <c r="T26" s="58"/>
      <c r="U26" s="49"/>
      <c r="V26" s="7"/>
      <c r="X26" s="59"/>
      <c r="Y26" s="51"/>
    </row>
    <row r="27" spans="1:25" s="46" customFormat="1" ht="19" x14ac:dyDescent="0.25">
      <c r="A27" s="40" t="s">
        <v>149</v>
      </c>
      <c r="B27" s="41" t="s">
        <v>25</v>
      </c>
      <c r="C27" s="42">
        <v>40002693</v>
      </c>
      <c r="D27" s="37" t="s">
        <v>150</v>
      </c>
      <c r="E27" s="37" t="s">
        <v>151</v>
      </c>
      <c r="F27" s="37"/>
      <c r="G27" s="37" t="s">
        <v>29</v>
      </c>
      <c r="H27" s="37" t="s">
        <v>30</v>
      </c>
      <c r="I27" s="37">
        <v>6286</v>
      </c>
      <c r="J27" s="43"/>
      <c r="K27" s="4">
        <f>Table_Household_Alloc[[#This Row],[Unit Entitlement]]/1000</f>
        <v>0</v>
      </c>
      <c r="L27" s="44">
        <f t="shared" si="0"/>
        <v>0</v>
      </c>
      <c r="M27" s="37"/>
      <c r="N27" s="52">
        <f>IF(Table_Household_Alloc[[#This Row],[PV Installed]]="Y",1,0)*Table_Household_Alloc[[#This Row],[Calculated Battery Allocation (kWh)]]</f>
        <v>0</v>
      </c>
      <c r="P27" s="3" t="s">
        <v>31</v>
      </c>
      <c r="Q27" s="3" t="s">
        <v>32</v>
      </c>
      <c r="R27" s="37" t="s">
        <v>31</v>
      </c>
      <c r="S27" s="37"/>
      <c r="U27" s="49"/>
      <c r="X27" s="50"/>
      <c r="Y27" s="51"/>
    </row>
    <row r="28" spans="1:25" s="46" customFormat="1" ht="19" x14ac:dyDescent="0.25">
      <c r="A28" s="40" t="s">
        <v>152</v>
      </c>
      <c r="B28" s="41" t="s">
        <v>25</v>
      </c>
      <c r="C28" s="42"/>
      <c r="D28" s="37" t="s">
        <v>150</v>
      </c>
      <c r="E28" s="37" t="s">
        <v>153</v>
      </c>
      <c r="F28" s="37"/>
      <c r="G28" s="37" t="s">
        <v>29</v>
      </c>
      <c r="H28" s="37" t="s">
        <v>30</v>
      </c>
      <c r="I28" s="37">
        <v>6286</v>
      </c>
      <c r="J28" s="60"/>
      <c r="K28" s="61">
        <f>Table_Household_Alloc[[#This Row],[Unit Entitlement]]/1000</f>
        <v>0</v>
      </c>
      <c r="L28" s="44">
        <f t="shared" si="0"/>
        <v>0</v>
      </c>
      <c r="M28" s="37"/>
      <c r="N28" s="52">
        <f>IF(Table_Household_Alloc[[#This Row],[PV Installed]]="Y",1,0)*Table_Household_Alloc[[#This Row],[Calculated Battery Allocation (kWh)]]</f>
        <v>0</v>
      </c>
      <c r="P28" s="3" t="s">
        <v>31</v>
      </c>
      <c r="Q28" s="3" t="s">
        <v>32</v>
      </c>
      <c r="R28" s="37" t="s">
        <v>31</v>
      </c>
      <c r="S28" s="37"/>
      <c r="U28" s="49"/>
      <c r="X28" s="50"/>
      <c r="Y28" s="51"/>
    </row>
    <row r="29" spans="1:25" s="46" customFormat="1" ht="20" x14ac:dyDescent="0.25">
      <c r="A29" s="55" t="s">
        <v>642</v>
      </c>
      <c r="B29" s="41" t="s">
        <v>25</v>
      </c>
      <c r="C29" s="62"/>
      <c r="D29" s="37"/>
      <c r="E29" s="56"/>
      <c r="F29" s="56"/>
      <c r="G29" s="37"/>
      <c r="H29" s="37"/>
      <c r="I29" s="37"/>
      <c r="J29" s="63"/>
      <c r="K29" s="6">
        <f>Table_Household_Alloc[[#This Row],[Unit Entitlement]]/1000</f>
        <v>0</v>
      </c>
      <c r="L29" s="44"/>
      <c r="M29" s="37"/>
      <c r="N29" s="52">
        <f>IF(Table_Household_Alloc[[#This Row],[PV Installed]]="Y",1,0)*Table_Household_Alloc[[#This Row],[Calculated Battery Allocation (kWh)]]</f>
        <v>0</v>
      </c>
      <c r="T29" s="58"/>
      <c r="U29" s="49"/>
      <c r="V29" s="7"/>
      <c r="X29" s="59"/>
      <c r="Y29" s="51"/>
    </row>
    <row r="30" spans="1:25" s="46" customFormat="1" ht="20" x14ac:dyDescent="0.25">
      <c r="A30" s="64" t="s">
        <v>643</v>
      </c>
      <c r="B30" s="41" t="s">
        <v>25</v>
      </c>
      <c r="C30" s="62"/>
      <c r="D30" s="37"/>
      <c r="E30" s="56"/>
      <c r="F30" s="56"/>
      <c r="G30" s="37"/>
      <c r="H30" s="37"/>
      <c r="I30" s="37"/>
      <c r="J30" s="63"/>
      <c r="K30" s="6">
        <f>Table_Household_Alloc[[#This Row],[Unit Entitlement]]/1000</f>
        <v>0</v>
      </c>
      <c r="L30" s="44"/>
      <c r="M30" s="37"/>
      <c r="N30" s="52">
        <f>IF(Table_Household_Alloc[[#This Row],[PV Installed]]="Y",1,0)*Table_Household_Alloc[[#This Row],[Calculated Battery Allocation (kWh)]]</f>
        <v>0</v>
      </c>
      <c r="T30" s="58"/>
      <c r="U30" s="49"/>
      <c r="V30" s="7"/>
      <c r="X30" s="59"/>
      <c r="Y30" s="51"/>
    </row>
    <row r="31" spans="1:25" s="46" customFormat="1" ht="19" x14ac:dyDescent="0.25">
      <c r="A31" s="40">
        <v>1</v>
      </c>
      <c r="B31" s="41" t="s">
        <v>154</v>
      </c>
      <c r="C31" s="65">
        <v>50003409</v>
      </c>
      <c r="D31" s="37" t="s">
        <v>26</v>
      </c>
      <c r="E31" s="37" t="s">
        <v>155</v>
      </c>
      <c r="F31" s="37" t="s">
        <v>156</v>
      </c>
      <c r="G31" s="37" t="s">
        <v>29</v>
      </c>
      <c r="H31" s="37" t="s">
        <v>30</v>
      </c>
      <c r="I31" s="37">
        <v>6286</v>
      </c>
      <c r="J31" s="43">
        <v>42</v>
      </c>
      <c r="K31" s="4">
        <f>Table_Household_Alloc[[#This Row],[Unit Entitlement]]/1000</f>
        <v>4.2000000000000003E-2</v>
      </c>
      <c r="L31" s="44">
        <f t="shared" si="0"/>
        <v>9.7439999999999998</v>
      </c>
      <c r="M31" s="66" t="s">
        <v>49</v>
      </c>
      <c r="N31" s="52">
        <f>IF(Table_Household_Alloc[[#This Row],[PV Installed]]="Y",1,0)*Table_Household_Alloc[[#This Row],[Calculated Battery Allocation (kWh)]]</f>
        <v>9.7439999999999998</v>
      </c>
      <c r="O31" s="46">
        <v>5</v>
      </c>
      <c r="P31" s="46" t="s">
        <v>31</v>
      </c>
      <c r="Q31" s="46" t="s">
        <v>31</v>
      </c>
      <c r="R31" s="46" t="s">
        <v>31</v>
      </c>
      <c r="S31" s="46" t="s">
        <v>44</v>
      </c>
      <c r="U31" s="49"/>
      <c r="X31" s="50"/>
      <c r="Y31" s="51"/>
    </row>
    <row r="32" spans="1:25" s="46" customFormat="1" ht="19" x14ac:dyDescent="0.25">
      <c r="A32" s="40">
        <v>2</v>
      </c>
      <c r="B32" s="41" t="s">
        <v>154</v>
      </c>
      <c r="C32" s="65">
        <v>50003436</v>
      </c>
      <c r="D32" s="37" t="s">
        <v>26</v>
      </c>
      <c r="E32" s="37" t="s">
        <v>157</v>
      </c>
      <c r="F32" s="37" t="s">
        <v>158</v>
      </c>
      <c r="G32" s="37" t="s">
        <v>29</v>
      </c>
      <c r="H32" s="37" t="s">
        <v>30</v>
      </c>
      <c r="I32" s="37">
        <v>6286</v>
      </c>
      <c r="J32" s="43">
        <v>43</v>
      </c>
      <c r="K32" s="4">
        <f>Table_Household_Alloc[[#This Row],[Unit Entitlement]]/1000</f>
        <v>4.2999999999999997E-2</v>
      </c>
      <c r="L32" s="44">
        <f t="shared" si="0"/>
        <v>9.9759999999999991</v>
      </c>
      <c r="M32" s="66" t="s">
        <v>60</v>
      </c>
      <c r="N32" s="52">
        <f>IF(Table_Household_Alloc[[#This Row],[PV Installed]]="Y",1,0)*Table_Household_Alloc[[#This Row],[Calculated Battery Allocation (kWh)]]</f>
        <v>9.9759999999999991</v>
      </c>
      <c r="O32" s="46">
        <v>8.1999999999999993</v>
      </c>
      <c r="P32" s="46" t="s">
        <v>31</v>
      </c>
      <c r="Q32" s="46" t="s">
        <v>31</v>
      </c>
      <c r="R32" s="46" t="s">
        <v>31</v>
      </c>
      <c r="S32" s="46" t="s">
        <v>44</v>
      </c>
      <c r="U32" s="49"/>
      <c r="X32" s="50"/>
      <c r="Y32" s="51"/>
    </row>
    <row r="33" spans="1:25" s="46" customFormat="1" ht="19" x14ac:dyDescent="0.25">
      <c r="A33" s="40">
        <v>3</v>
      </c>
      <c r="B33" s="41" t="s">
        <v>154</v>
      </c>
      <c r="C33" s="65">
        <v>50004064</v>
      </c>
      <c r="D33" s="37" t="s">
        <v>26</v>
      </c>
      <c r="E33" s="37" t="s">
        <v>159</v>
      </c>
      <c r="F33" s="37" t="s">
        <v>160</v>
      </c>
      <c r="G33" s="37" t="s">
        <v>29</v>
      </c>
      <c r="H33" s="37" t="s">
        <v>30</v>
      </c>
      <c r="I33" s="37">
        <v>6286</v>
      </c>
      <c r="J33" s="43">
        <v>43</v>
      </c>
      <c r="K33" s="4">
        <f>Table_Household_Alloc[[#This Row],[Unit Entitlement]]/1000</f>
        <v>4.2999999999999997E-2</v>
      </c>
      <c r="L33" s="44">
        <f t="shared" si="0"/>
        <v>9.9759999999999991</v>
      </c>
      <c r="M33" s="66" t="s">
        <v>49</v>
      </c>
      <c r="N33" s="52">
        <f>IF(Table_Household_Alloc[[#This Row],[PV Installed]]="Y",1,0)*Table_Household_Alloc[[#This Row],[Calculated Battery Allocation (kWh)]]</f>
        <v>9.9759999999999991</v>
      </c>
      <c r="O33" s="46">
        <v>5</v>
      </c>
      <c r="P33" s="46" t="s">
        <v>31</v>
      </c>
      <c r="Q33" s="46" t="s">
        <v>31</v>
      </c>
      <c r="R33" s="46" t="s">
        <v>31</v>
      </c>
      <c r="S33" s="46" t="s">
        <v>44</v>
      </c>
      <c r="U33" s="49"/>
      <c r="X33" s="50"/>
      <c r="Y33" s="51"/>
    </row>
    <row r="34" spans="1:25" s="46" customFormat="1" ht="19" x14ac:dyDescent="0.25">
      <c r="A34" s="40">
        <v>4</v>
      </c>
      <c r="B34" s="41" t="s">
        <v>154</v>
      </c>
      <c r="C34" s="65">
        <v>50003414</v>
      </c>
      <c r="D34" s="37" t="s">
        <v>26</v>
      </c>
      <c r="E34" s="37" t="s">
        <v>161</v>
      </c>
      <c r="F34" s="37" t="s">
        <v>162</v>
      </c>
      <c r="G34" s="37" t="s">
        <v>29</v>
      </c>
      <c r="H34" s="37" t="s">
        <v>30</v>
      </c>
      <c r="I34" s="37">
        <v>6286</v>
      </c>
      <c r="J34" s="43">
        <v>45</v>
      </c>
      <c r="K34" s="4">
        <f>Table_Household_Alloc[[#This Row],[Unit Entitlement]]/1000</f>
        <v>4.4999999999999998E-2</v>
      </c>
      <c r="L34" s="44">
        <f t="shared" si="0"/>
        <v>10.44</v>
      </c>
      <c r="M34" s="66" t="s">
        <v>49</v>
      </c>
      <c r="N34" s="52">
        <f>IF(Table_Household_Alloc[[#This Row],[PV Installed]]="Y",1,0)*Table_Household_Alloc[[#This Row],[Calculated Battery Allocation (kWh)]]</f>
        <v>10.44</v>
      </c>
      <c r="O34" s="46">
        <v>5</v>
      </c>
      <c r="P34" s="46" t="s">
        <v>31</v>
      </c>
      <c r="Q34" s="46" t="s">
        <v>31</v>
      </c>
      <c r="R34" s="46" t="s">
        <v>31</v>
      </c>
      <c r="S34" s="46" t="s">
        <v>44</v>
      </c>
      <c r="U34" s="49"/>
      <c r="X34" s="50"/>
      <c r="Y34" s="51"/>
    </row>
    <row r="35" spans="1:25" s="46" customFormat="1" ht="19" x14ac:dyDescent="0.25">
      <c r="A35" s="40">
        <v>5</v>
      </c>
      <c r="B35" s="41" t="s">
        <v>154</v>
      </c>
      <c r="C35" s="65">
        <v>50003389</v>
      </c>
      <c r="D35" s="37" t="s">
        <v>26</v>
      </c>
      <c r="E35" s="37" t="s">
        <v>163</v>
      </c>
      <c r="F35" s="37" t="s">
        <v>164</v>
      </c>
      <c r="G35" s="37" t="s">
        <v>29</v>
      </c>
      <c r="H35" s="37" t="s">
        <v>30</v>
      </c>
      <c r="I35" s="37">
        <v>6286</v>
      </c>
      <c r="J35" s="43">
        <v>46</v>
      </c>
      <c r="K35" s="4">
        <f>Table_Household_Alloc[[#This Row],[Unit Entitlement]]/1000</f>
        <v>4.5999999999999999E-2</v>
      </c>
      <c r="L35" s="44">
        <f t="shared" si="0"/>
        <v>10.672000000000001</v>
      </c>
      <c r="M35" s="66" t="s">
        <v>60</v>
      </c>
      <c r="N35" s="52">
        <f>IF(Table_Household_Alloc[[#This Row],[PV Installed]]="Y",1,0)*Table_Household_Alloc[[#This Row],[Calculated Battery Allocation (kWh)]]</f>
        <v>10.672000000000001</v>
      </c>
      <c r="O35" s="46">
        <v>8.1999999999999993</v>
      </c>
      <c r="P35" s="46" t="s">
        <v>31</v>
      </c>
      <c r="Q35" s="46" t="s">
        <v>31</v>
      </c>
      <c r="R35" s="46" t="s">
        <v>31</v>
      </c>
      <c r="S35" s="46" t="s">
        <v>44</v>
      </c>
      <c r="U35" s="49"/>
      <c r="X35" s="50"/>
      <c r="Y35" s="51"/>
    </row>
    <row r="36" spans="1:25" s="46" customFormat="1" ht="19" x14ac:dyDescent="0.25">
      <c r="A36" s="40">
        <v>6</v>
      </c>
      <c r="B36" s="41" t="s">
        <v>154</v>
      </c>
      <c r="C36" s="65">
        <v>50002969</v>
      </c>
      <c r="D36" s="37" t="s">
        <v>26</v>
      </c>
      <c r="E36" s="37" t="s">
        <v>165</v>
      </c>
      <c r="F36" s="37" t="s">
        <v>166</v>
      </c>
      <c r="G36" s="37" t="s">
        <v>29</v>
      </c>
      <c r="H36" s="37" t="s">
        <v>30</v>
      </c>
      <c r="I36" s="37">
        <v>6286</v>
      </c>
      <c r="J36" s="43">
        <v>50</v>
      </c>
      <c r="K36" s="4">
        <f>Table_Household_Alloc[[#This Row],[Unit Entitlement]]/1000</f>
        <v>0.05</v>
      </c>
      <c r="L36" s="44">
        <f t="shared" si="0"/>
        <v>11.600000000000001</v>
      </c>
      <c r="M36" s="66" t="s">
        <v>60</v>
      </c>
      <c r="N36" s="52">
        <f>IF(Table_Household_Alloc[[#This Row],[PV Installed]]="Y",1,0)*Table_Household_Alloc[[#This Row],[Calculated Battery Allocation (kWh)]]</f>
        <v>11.600000000000001</v>
      </c>
      <c r="O36" s="46">
        <v>8.1999999999999993</v>
      </c>
      <c r="P36" s="46" t="s">
        <v>31</v>
      </c>
      <c r="Q36" s="46" t="s">
        <v>31</v>
      </c>
      <c r="R36" s="46" t="s">
        <v>31</v>
      </c>
      <c r="S36" s="46" t="s">
        <v>44</v>
      </c>
      <c r="U36" s="49"/>
      <c r="X36" s="50"/>
      <c r="Y36" s="51"/>
    </row>
    <row r="37" spans="1:25" s="46" customFormat="1" ht="19" x14ac:dyDescent="0.25">
      <c r="A37" s="40">
        <v>7</v>
      </c>
      <c r="B37" s="41" t="s">
        <v>154</v>
      </c>
      <c r="C37" s="65">
        <v>50002951</v>
      </c>
      <c r="D37" s="37" t="s">
        <v>26</v>
      </c>
      <c r="E37" s="37" t="s">
        <v>167</v>
      </c>
      <c r="F37" s="37" t="s">
        <v>168</v>
      </c>
      <c r="G37" s="37" t="s">
        <v>29</v>
      </c>
      <c r="H37" s="37" t="s">
        <v>30</v>
      </c>
      <c r="I37" s="37">
        <v>6286</v>
      </c>
      <c r="J37" s="43">
        <v>52</v>
      </c>
      <c r="K37" s="4">
        <f>Table_Household_Alloc[[#This Row],[Unit Entitlement]]/1000</f>
        <v>5.1999999999999998E-2</v>
      </c>
      <c r="L37" s="44">
        <f t="shared" si="0"/>
        <v>12.064</v>
      </c>
      <c r="M37" s="66" t="s">
        <v>49</v>
      </c>
      <c r="N37" s="52">
        <f>IF(Table_Household_Alloc[[#This Row],[PV Installed]]="Y",1,0)*Table_Household_Alloc[[#This Row],[Calculated Battery Allocation (kWh)]]</f>
        <v>12.064</v>
      </c>
      <c r="O37" s="46">
        <v>5</v>
      </c>
      <c r="P37" s="46" t="s">
        <v>31</v>
      </c>
      <c r="Q37" s="46" t="s">
        <v>31</v>
      </c>
      <c r="R37" s="46" t="s">
        <v>31</v>
      </c>
      <c r="S37" s="46" t="s">
        <v>44</v>
      </c>
      <c r="U37" s="49"/>
      <c r="X37" s="50"/>
      <c r="Y37" s="51"/>
    </row>
    <row r="38" spans="1:25" s="46" customFormat="1" ht="19" x14ac:dyDescent="0.25">
      <c r="A38" s="40">
        <v>8</v>
      </c>
      <c r="B38" s="41" t="s">
        <v>154</v>
      </c>
      <c r="C38" s="65">
        <v>50002959</v>
      </c>
      <c r="D38" s="37" t="s">
        <v>77</v>
      </c>
      <c r="E38" s="37" t="s">
        <v>169</v>
      </c>
      <c r="F38" s="37" t="s">
        <v>170</v>
      </c>
      <c r="G38" s="37" t="s">
        <v>29</v>
      </c>
      <c r="H38" s="37" t="s">
        <v>30</v>
      </c>
      <c r="I38" s="37">
        <v>6286</v>
      </c>
      <c r="J38" s="43">
        <v>69</v>
      </c>
      <c r="K38" s="4">
        <f>Table_Household_Alloc[[#This Row],[Unit Entitlement]]/1000</f>
        <v>6.9000000000000006E-2</v>
      </c>
      <c r="L38" s="44">
        <f t="shared" si="0"/>
        <v>16.008000000000003</v>
      </c>
      <c r="M38" s="66" t="s">
        <v>171</v>
      </c>
      <c r="N38" s="52">
        <f>IF(Table_Household_Alloc[[#This Row],[PV Installed]]="Y",1,0)*Table_Household_Alloc[[#This Row],[Calculated Battery Allocation (kWh)]]</f>
        <v>16.008000000000003</v>
      </c>
      <c r="O38" s="46">
        <v>6</v>
      </c>
      <c r="P38" s="46" t="s">
        <v>31</v>
      </c>
      <c r="Q38" s="46" t="s">
        <v>31</v>
      </c>
      <c r="R38" s="46" t="s">
        <v>31</v>
      </c>
      <c r="S38" s="46" t="s">
        <v>44</v>
      </c>
      <c r="U38" s="49"/>
      <c r="X38" s="50"/>
      <c r="Y38" s="51"/>
    </row>
    <row r="39" spans="1:25" s="46" customFormat="1" ht="19" x14ac:dyDescent="0.25">
      <c r="A39" s="40">
        <v>9</v>
      </c>
      <c r="B39" s="41" t="s">
        <v>154</v>
      </c>
      <c r="C39" s="42"/>
      <c r="D39" s="37" t="s">
        <v>77</v>
      </c>
      <c r="E39" s="37" t="s">
        <v>172</v>
      </c>
      <c r="F39" s="37" t="s">
        <v>173</v>
      </c>
      <c r="G39" s="37" t="s">
        <v>29</v>
      </c>
      <c r="H39" s="37" t="s">
        <v>30</v>
      </c>
      <c r="I39" s="37">
        <v>6286</v>
      </c>
      <c r="J39" s="67">
        <v>55</v>
      </c>
      <c r="K39" s="8">
        <f>Table_Household_Alloc[[#This Row],[Unit Entitlement]]/1000</f>
        <v>5.5E-2</v>
      </c>
      <c r="L39" s="68">
        <f t="shared" si="0"/>
        <v>12.76</v>
      </c>
      <c r="M39" s="66" t="s">
        <v>93</v>
      </c>
      <c r="N39" s="52">
        <f>IF(Table_Household_Alloc[[#This Row],[PV Installed]]="Y",1,0)*Table_Household_Alloc[[#This Row],[Calculated Battery Allocation (kWh)]]</f>
        <v>0</v>
      </c>
      <c r="P39" s="46" t="s">
        <v>32</v>
      </c>
      <c r="Q39" s="46" t="s">
        <v>32</v>
      </c>
      <c r="R39" s="46" t="s">
        <v>32</v>
      </c>
      <c r="S39" s="46" t="s">
        <v>118</v>
      </c>
      <c r="U39" s="49"/>
      <c r="X39" s="50"/>
      <c r="Y39" s="51"/>
    </row>
    <row r="40" spans="1:25" s="46" customFormat="1" ht="19" x14ac:dyDescent="0.25">
      <c r="A40" s="40">
        <v>10</v>
      </c>
      <c r="B40" s="41" t="s">
        <v>154</v>
      </c>
      <c r="C40" s="65">
        <v>50003420</v>
      </c>
      <c r="D40" s="37" t="s">
        <v>77</v>
      </c>
      <c r="E40" s="37" t="s">
        <v>174</v>
      </c>
      <c r="F40" s="37" t="s">
        <v>175</v>
      </c>
      <c r="G40" s="37" t="s">
        <v>29</v>
      </c>
      <c r="H40" s="37" t="s">
        <v>30</v>
      </c>
      <c r="I40" s="37">
        <v>6286</v>
      </c>
      <c r="J40" s="69">
        <v>57</v>
      </c>
      <c r="K40" s="8">
        <f>Table_Household_Alloc[[#This Row],[Unit Entitlement]]/1000</f>
        <v>5.7000000000000002E-2</v>
      </c>
      <c r="L40" s="44">
        <f t="shared" si="0"/>
        <v>13.224</v>
      </c>
      <c r="M40" s="66" t="s">
        <v>49</v>
      </c>
      <c r="N40" s="52">
        <f>IF(Table_Household_Alloc[[#This Row],[PV Installed]]="Y",1,0)*Table_Household_Alloc[[#This Row],[Calculated Battery Allocation (kWh)]]</f>
        <v>13.224</v>
      </c>
      <c r="O40" s="46">
        <v>5</v>
      </c>
      <c r="P40" s="46" t="s">
        <v>31</v>
      </c>
      <c r="Q40" s="46" t="s">
        <v>31</v>
      </c>
      <c r="R40" s="46" t="s">
        <v>31</v>
      </c>
      <c r="S40" s="46" t="s">
        <v>44</v>
      </c>
      <c r="U40" s="49"/>
      <c r="X40" s="50"/>
      <c r="Y40" s="51"/>
    </row>
    <row r="41" spans="1:25" s="46" customFormat="1" ht="19" x14ac:dyDescent="0.25">
      <c r="A41" s="40">
        <v>11</v>
      </c>
      <c r="B41" s="41" t="s">
        <v>154</v>
      </c>
      <c r="C41" s="70">
        <v>50003410</v>
      </c>
      <c r="D41" s="37" t="s">
        <v>77</v>
      </c>
      <c r="E41" s="37" t="s">
        <v>176</v>
      </c>
      <c r="F41" s="37" t="s">
        <v>177</v>
      </c>
      <c r="G41" s="37" t="s">
        <v>29</v>
      </c>
      <c r="H41" s="37" t="s">
        <v>30</v>
      </c>
      <c r="I41" s="37">
        <v>6286</v>
      </c>
      <c r="J41" s="69">
        <v>59</v>
      </c>
      <c r="K41" s="8">
        <f>Table_Household_Alloc[[#This Row],[Unit Entitlement]]/1000</f>
        <v>5.8999999999999997E-2</v>
      </c>
      <c r="L41" s="44">
        <f t="shared" si="0"/>
        <v>13.687999999999999</v>
      </c>
      <c r="M41" s="66" t="s">
        <v>171</v>
      </c>
      <c r="N41" s="52">
        <f>IF(Table_Household_Alloc[[#This Row],[PV Installed]]="Y",1,0)*Table_Household_Alloc[[#This Row],[Calculated Battery Allocation (kWh)]]</f>
        <v>13.687999999999999</v>
      </c>
      <c r="O41" s="46">
        <v>6</v>
      </c>
      <c r="P41" s="46" t="s">
        <v>31</v>
      </c>
      <c r="Q41" s="46" t="s">
        <v>31</v>
      </c>
      <c r="R41" s="46" t="s">
        <v>31</v>
      </c>
      <c r="S41" s="46" t="s">
        <v>44</v>
      </c>
      <c r="U41" s="49"/>
      <c r="X41" s="50"/>
      <c r="Y41" s="51"/>
    </row>
    <row r="42" spans="1:25" s="46" customFormat="1" ht="19" x14ac:dyDescent="0.25">
      <c r="A42" s="40">
        <v>12</v>
      </c>
      <c r="B42" s="41" t="s">
        <v>154</v>
      </c>
      <c r="C42" s="65">
        <v>50003418</v>
      </c>
      <c r="D42" s="37" t="s">
        <v>77</v>
      </c>
      <c r="E42" s="37" t="s">
        <v>178</v>
      </c>
      <c r="F42" s="37" t="s">
        <v>179</v>
      </c>
      <c r="G42" s="37" t="s">
        <v>29</v>
      </c>
      <c r="H42" s="37" t="s">
        <v>30</v>
      </c>
      <c r="I42" s="37">
        <v>6286</v>
      </c>
      <c r="J42" s="69">
        <v>60</v>
      </c>
      <c r="K42" s="8">
        <f>Table_Household_Alloc[[#This Row],[Unit Entitlement]]/1000</f>
        <v>0.06</v>
      </c>
      <c r="L42" s="44">
        <f t="shared" si="0"/>
        <v>13.92</v>
      </c>
      <c r="M42" s="66" t="s">
        <v>93</v>
      </c>
      <c r="N42" s="52">
        <f>IF(Table_Household_Alloc[[#This Row],[PV Installed]]="Y",1,0)*Table_Household_Alloc[[#This Row],[Calculated Battery Allocation (kWh)]]</f>
        <v>13.92</v>
      </c>
      <c r="O42" s="46">
        <v>10</v>
      </c>
      <c r="P42" s="46" t="s">
        <v>31</v>
      </c>
      <c r="Q42" s="46" t="s">
        <v>31</v>
      </c>
      <c r="R42" s="46" t="s">
        <v>31</v>
      </c>
      <c r="S42" s="46" t="s">
        <v>44</v>
      </c>
      <c r="U42" s="49"/>
      <c r="X42" s="50"/>
      <c r="Y42" s="51"/>
    </row>
    <row r="43" spans="1:25" s="46" customFormat="1" ht="19" x14ac:dyDescent="0.25">
      <c r="A43" s="40">
        <v>13</v>
      </c>
      <c r="B43" s="41" t="s">
        <v>154</v>
      </c>
      <c r="C43" s="65">
        <v>50002859</v>
      </c>
      <c r="D43" s="37" t="s">
        <v>77</v>
      </c>
      <c r="E43" s="37" t="s">
        <v>180</v>
      </c>
      <c r="F43" s="37" t="s">
        <v>181</v>
      </c>
      <c r="G43" s="37" t="s">
        <v>29</v>
      </c>
      <c r="H43" s="37" t="s">
        <v>30</v>
      </c>
      <c r="I43" s="37">
        <v>6286</v>
      </c>
      <c r="J43" s="69">
        <v>60</v>
      </c>
      <c r="K43" s="8">
        <f>Table_Household_Alloc[[#This Row],[Unit Entitlement]]/1000</f>
        <v>0.06</v>
      </c>
      <c r="L43" s="44">
        <f t="shared" si="0"/>
        <v>13.92</v>
      </c>
      <c r="M43" s="66" t="s">
        <v>93</v>
      </c>
      <c r="N43" s="52">
        <f>IF(Table_Household_Alloc[[#This Row],[PV Installed]]="Y",1,0)*Table_Household_Alloc[[#This Row],[Calculated Battery Allocation (kWh)]]</f>
        <v>13.92</v>
      </c>
      <c r="O43" s="46">
        <v>10</v>
      </c>
      <c r="P43" s="46" t="s">
        <v>31</v>
      </c>
      <c r="Q43" s="46" t="s">
        <v>31</v>
      </c>
      <c r="R43" s="46" t="s">
        <v>31</v>
      </c>
      <c r="S43" s="46" t="s">
        <v>44</v>
      </c>
      <c r="U43" s="49"/>
      <c r="X43" s="50"/>
      <c r="Y43" s="51"/>
    </row>
    <row r="44" spans="1:25" s="46" customFormat="1" ht="19" x14ac:dyDescent="0.25">
      <c r="A44" s="40">
        <v>14</v>
      </c>
      <c r="B44" s="41" t="s">
        <v>154</v>
      </c>
      <c r="C44" s="65">
        <v>50003396</v>
      </c>
      <c r="D44" s="37" t="s">
        <v>77</v>
      </c>
      <c r="E44" s="37" t="s">
        <v>182</v>
      </c>
      <c r="F44" s="37" t="s">
        <v>183</v>
      </c>
      <c r="G44" s="37" t="s">
        <v>29</v>
      </c>
      <c r="H44" s="37" t="s">
        <v>30</v>
      </c>
      <c r="I44" s="37">
        <v>6286</v>
      </c>
      <c r="J44" s="69">
        <v>63</v>
      </c>
      <c r="K44" s="8">
        <f>Table_Household_Alloc[[#This Row],[Unit Entitlement]]/1000</f>
        <v>6.3E-2</v>
      </c>
      <c r="L44" s="44">
        <f t="shared" si="0"/>
        <v>14.616</v>
      </c>
      <c r="M44" s="66" t="s">
        <v>93</v>
      </c>
      <c r="N44" s="52">
        <f>IF(Table_Household_Alloc[[#This Row],[PV Installed]]="Y",1,0)*Table_Household_Alloc[[#This Row],[Calculated Battery Allocation (kWh)]]</f>
        <v>14.616</v>
      </c>
      <c r="O44" s="46">
        <v>10</v>
      </c>
      <c r="P44" s="46" t="s">
        <v>31</v>
      </c>
      <c r="Q44" s="46" t="s">
        <v>31</v>
      </c>
      <c r="R44" s="46" t="s">
        <v>31</v>
      </c>
      <c r="S44" s="46" t="s">
        <v>44</v>
      </c>
      <c r="U44" s="49"/>
      <c r="X44" s="50"/>
      <c r="Y44" s="51"/>
    </row>
    <row r="45" spans="1:25" s="46" customFormat="1" ht="19" x14ac:dyDescent="0.25">
      <c r="A45" s="40">
        <v>15</v>
      </c>
      <c r="B45" s="41" t="s">
        <v>154</v>
      </c>
      <c r="C45" s="65">
        <v>50003401</v>
      </c>
      <c r="D45" s="37" t="s">
        <v>125</v>
      </c>
      <c r="E45" s="37" t="s">
        <v>184</v>
      </c>
      <c r="F45" s="37" t="s">
        <v>185</v>
      </c>
      <c r="G45" s="37" t="s">
        <v>29</v>
      </c>
      <c r="H45" s="37" t="s">
        <v>30</v>
      </c>
      <c r="I45" s="37">
        <v>6286</v>
      </c>
      <c r="J45" s="69">
        <v>27</v>
      </c>
      <c r="K45" s="8">
        <f>Table_Household_Alloc[[#This Row],[Unit Entitlement]]/1000</f>
        <v>2.7E-2</v>
      </c>
      <c r="L45" s="44">
        <f t="shared" si="0"/>
        <v>6.2640000000000002</v>
      </c>
      <c r="M45" s="66" t="s">
        <v>49</v>
      </c>
      <c r="N45" s="52">
        <f>IF(Table_Household_Alloc[[#This Row],[PV Installed]]="Y",1,0)*Table_Household_Alloc[[#This Row],[Calculated Battery Allocation (kWh)]]</f>
        <v>6.2640000000000002</v>
      </c>
      <c r="O45" s="46">
        <v>5</v>
      </c>
      <c r="P45" s="46" t="s">
        <v>31</v>
      </c>
      <c r="Q45" s="46" t="s">
        <v>31</v>
      </c>
      <c r="R45" s="46" t="s">
        <v>32</v>
      </c>
      <c r="S45" s="46" t="s">
        <v>44</v>
      </c>
      <c r="U45" s="49"/>
      <c r="X45" s="50"/>
      <c r="Y45" s="51"/>
    </row>
    <row r="46" spans="1:25" s="46" customFormat="1" ht="19" x14ac:dyDescent="0.25">
      <c r="A46" s="40">
        <v>16</v>
      </c>
      <c r="B46" s="41" t="s">
        <v>154</v>
      </c>
      <c r="C46" s="65">
        <v>50003430</v>
      </c>
      <c r="D46" s="37" t="s">
        <v>125</v>
      </c>
      <c r="E46" s="37" t="s">
        <v>186</v>
      </c>
      <c r="F46" s="37" t="s">
        <v>187</v>
      </c>
      <c r="G46" s="37" t="s">
        <v>29</v>
      </c>
      <c r="H46" s="37" t="s">
        <v>30</v>
      </c>
      <c r="I46" s="37">
        <v>6286</v>
      </c>
      <c r="J46" s="69">
        <v>27</v>
      </c>
      <c r="K46" s="8">
        <f>Table_Household_Alloc[[#This Row],[Unit Entitlement]]/1000</f>
        <v>2.7E-2</v>
      </c>
      <c r="L46" s="44">
        <f t="shared" si="0"/>
        <v>6.2640000000000002</v>
      </c>
      <c r="M46" s="66" t="s">
        <v>49</v>
      </c>
      <c r="N46" s="52">
        <f>IF(Table_Household_Alloc[[#This Row],[PV Installed]]="Y",1,0)*Table_Household_Alloc[[#This Row],[Calculated Battery Allocation (kWh)]]</f>
        <v>6.2640000000000002</v>
      </c>
      <c r="O46" s="46">
        <v>5</v>
      </c>
      <c r="P46" s="46" t="s">
        <v>31</v>
      </c>
      <c r="Q46" s="46" t="s">
        <v>31</v>
      </c>
      <c r="R46" s="46" t="s">
        <v>31</v>
      </c>
      <c r="S46" s="46" t="s">
        <v>44</v>
      </c>
      <c r="U46" s="49"/>
      <c r="X46" s="50"/>
      <c r="Y46" s="51"/>
    </row>
    <row r="47" spans="1:25" s="46" customFormat="1" ht="19" x14ac:dyDescent="0.25">
      <c r="A47" s="40">
        <v>17</v>
      </c>
      <c r="B47" s="41" t="s">
        <v>154</v>
      </c>
      <c r="C47" s="65">
        <v>50003415</v>
      </c>
      <c r="D47" s="37" t="s">
        <v>125</v>
      </c>
      <c r="E47" s="37" t="s">
        <v>188</v>
      </c>
      <c r="F47" s="37" t="s">
        <v>189</v>
      </c>
      <c r="G47" s="37" t="s">
        <v>29</v>
      </c>
      <c r="H47" s="37" t="s">
        <v>30</v>
      </c>
      <c r="I47" s="37">
        <v>6286</v>
      </c>
      <c r="J47" s="69">
        <v>27</v>
      </c>
      <c r="K47" s="8">
        <f>Table_Household_Alloc[[#This Row],[Unit Entitlement]]/1000</f>
        <v>2.7E-2</v>
      </c>
      <c r="L47" s="44">
        <f t="shared" si="0"/>
        <v>6.2640000000000002</v>
      </c>
      <c r="M47" s="66" t="s">
        <v>49</v>
      </c>
      <c r="N47" s="52">
        <f>IF(Table_Household_Alloc[[#This Row],[PV Installed]]="Y",1,0)*Table_Household_Alloc[[#This Row],[Calculated Battery Allocation (kWh)]]</f>
        <v>6.2640000000000002</v>
      </c>
      <c r="O47" s="46">
        <v>5</v>
      </c>
      <c r="P47" s="46" t="s">
        <v>31</v>
      </c>
      <c r="Q47" s="46" t="s">
        <v>31</v>
      </c>
      <c r="R47" s="46" t="s">
        <v>32</v>
      </c>
      <c r="S47" s="46" t="s">
        <v>44</v>
      </c>
      <c r="U47" s="49"/>
      <c r="X47" s="50"/>
      <c r="Y47" s="51"/>
    </row>
    <row r="48" spans="1:25" s="46" customFormat="1" ht="19" x14ac:dyDescent="0.25">
      <c r="A48" s="40">
        <v>18</v>
      </c>
      <c r="B48" s="41" t="s">
        <v>154</v>
      </c>
      <c r="C48" s="42"/>
      <c r="D48" s="37" t="s">
        <v>125</v>
      </c>
      <c r="E48" s="37" t="s">
        <v>190</v>
      </c>
      <c r="F48" s="37" t="s">
        <v>191</v>
      </c>
      <c r="G48" s="37" t="s">
        <v>29</v>
      </c>
      <c r="H48" s="37" t="s">
        <v>30</v>
      </c>
      <c r="I48" s="37">
        <v>6286</v>
      </c>
      <c r="J48" s="67">
        <v>27</v>
      </c>
      <c r="K48" s="8">
        <f>Table_Household_Alloc[[#This Row],[Unit Entitlement]]/1000</f>
        <v>2.7E-2</v>
      </c>
      <c r="L48" s="68">
        <f t="shared" si="0"/>
        <v>6.2640000000000002</v>
      </c>
      <c r="M48" s="66" t="s">
        <v>49</v>
      </c>
      <c r="N48" s="52">
        <f>IF(Table_Household_Alloc[[#This Row],[PV Installed]]="Y",1,0)*Table_Household_Alloc[[#This Row],[Calculated Battery Allocation (kWh)]]</f>
        <v>0</v>
      </c>
      <c r="P48" s="46" t="s">
        <v>31</v>
      </c>
      <c r="Q48" s="46" t="s">
        <v>32</v>
      </c>
      <c r="R48" s="46" t="s">
        <v>32</v>
      </c>
      <c r="S48" s="46" t="s">
        <v>33</v>
      </c>
      <c r="U48" s="49"/>
      <c r="X48" s="50"/>
      <c r="Y48" s="51"/>
    </row>
    <row r="49" spans="1:25" s="46" customFormat="1" ht="19" x14ac:dyDescent="0.25">
      <c r="A49" s="40">
        <v>19</v>
      </c>
      <c r="B49" s="41" t="s">
        <v>154</v>
      </c>
      <c r="C49" s="65">
        <v>50003432</v>
      </c>
      <c r="D49" s="37" t="s">
        <v>125</v>
      </c>
      <c r="E49" s="37" t="s">
        <v>192</v>
      </c>
      <c r="F49" s="37" t="s">
        <v>193</v>
      </c>
      <c r="G49" s="37" t="s">
        <v>29</v>
      </c>
      <c r="H49" s="37" t="s">
        <v>30</v>
      </c>
      <c r="I49" s="37">
        <v>6286</v>
      </c>
      <c r="J49" s="69">
        <v>30</v>
      </c>
      <c r="K49" s="8">
        <f>Table_Household_Alloc[[#This Row],[Unit Entitlement]]/1000</f>
        <v>0.03</v>
      </c>
      <c r="L49" s="44">
        <f t="shared" si="0"/>
        <v>6.96</v>
      </c>
      <c r="M49" s="66" t="s">
        <v>49</v>
      </c>
      <c r="N49" s="52">
        <f>IF(Table_Household_Alloc[[#This Row],[PV Installed]]="Y",1,0)*Table_Household_Alloc[[#This Row],[Calculated Battery Allocation (kWh)]]</f>
        <v>6.96</v>
      </c>
      <c r="O49" s="46">
        <v>5</v>
      </c>
      <c r="P49" s="46" t="s">
        <v>31</v>
      </c>
      <c r="Q49" s="46" t="s">
        <v>31</v>
      </c>
      <c r="R49" s="46" t="s">
        <v>31</v>
      </c>
      <c r="S49" s="46" t="s">
        <v>44</v>
      </c>
      <c r="U49" s="49"/>
      <c r="X49" s="50"/>
      <c r="Y49" s="51"/>
    </row>
    <row r="50" spans="1:25" s="46" customFormat="1" ht="19" x14ac:dyDescent="0.25">
      <c r="A50" s="40">
        <v>20</v>
      </c>
      <c r="B50" s="41" t="s">
        <v>154</v>
      </c>
      <c r="C50" s="65">
        <v>50002972</v>
      </c>
      <c r="D50" s="37" t="s">
        <v>77</v>
      </c>
      <c r="E50" s="37" t="s">
        <v>194</v>
      </c>
      <c r="F50" s="37" t="s">
        <v>195</v>
      </c>
      <c r="G50" s="37" t="s">
        <v>29</v>
      </c>
      <c r="H50" s="37" t="s">
        <v>30</v>
      </c>
      <c r="I50" s="37">
        <v>6286</v>
      </c>
      <c r="J50" s="43">
        <v>59</v>
      </c>
      <c r="K50" s="4">
        <f>Table_Household_Alloc[[#This Row],[Unit Entitlement]]/1000</f>
        <v>5.8999999999999997E-2</v>
      </c>
      <c r="L50" s="44">
        <f t="shared" si="0"/>
        <v>13.687999999999999</v>
      </c>
      <c r="M50" s="66" t="s">
        <v>93</v>
      </c>
      <c r="N50" s="52">
        <f>IF(Table_Household_Alloc[[#This Row],[PV Installed]]="Y",1,0)*Table_Household_Alloc[[#This Row],[Calculated Battery Allocation (kWh)]]</f>
        <v>13.687999999999999</v>
      </c>
      <c r="O50" s="46">
        <v>10</v>
      </c>
      <c r="P50" s="46" t="s">
        <v>31</v>
      </c>
      <c r="Q50" s="46" t="s">
        <v>31</v>
      </c>
      <c r="R50" s="46" t="s">
        <v>31</v>
      </c>
      <c r="S50" s="46" t="s">
        <v>44</v>
      </c>
      <c r="U50" s="49"/>
      <c r="X50" s="50"/>
      <c r="Y50" s="51"/>
    </row>
    <row r="51" spans="1:25" s="46" customFormat="1" ht="19" x14ac:dyDescent="0.25">
      <c r="A51" s="40">
        <v>21</v>
      </c>
      <c r="B51" s="41" t="s">
        <v>154</v>
      </c>
      <c r="C51" s="65">
        <v>50002650</v>
      </c>
      <c r="D51" s="37" t="s">
        <v>196</v>
      </c>
      <c r="E51" s="37" t="s">
        <v>197</v>
      </c>
      <c r="F51" s="37" t="s">
        <v>198</v>
      </c>
      <c r="G51" s="37" t="s">
        <v>29</v>
      </c>
      <c r="H51" s="37" t="s">
        <v>30</v>
      </c>
      <c r="I51" s="37">
        <v>6286</v>
      </c>
      <c r="J51" s="43">
        <v>59</v>
      </c>
      <c r="K51" s="4">
        <f>Table_Household_Alloc[[#This Row],[Unit Entitlement]]/1000</f>
        <v>5.8999999999999997E-2</v>
      </c>
      <c r="L51" s="44">
        <f t="shared" si="0"/>
        <v>13.687999999999999</v>
      </c>
      <c r="M51" s="66" t="s">
        <v>93</v>
      </c>
      <c r="N51" s="52">
        <f>IF(Table_Household_Alloc[[#This Row],[PV Installed]]="Y",1,0)*Table_Household_Alloc[[#This Row],[Calculated Battery Allocation (kWh)]]</f>
        <v>13.687999999999999</v>
      </c>
      <c r="O51" s="46">
        <v>10</v>
      </c>
      <c r="P51" s="46" t="s">
        <v>31</v>
      </c>
      <c r="Q51" s="46" t="s">
        <v>31</v>
      </c>
      <c r="R51" s="46" t="s">
        <v>31</v>
      </c>
      <c r="S51" s="46" t="s">
        <v>44</v>
      </c>
      <c r="U51" s="49"/>
      <c r="X51" s="50"/>
      <c r="Y51" s="51"/>
    </row>
    <row r="52" spans="1:25" s="46" customFormat="1" ht="40" x14ac:dyDescent="0.25">
      <c r="A52" s="55" t="s">
        <v>147</v>
      </c>
      <c r="B52" s="41" t="s">
        <v>154</v>
      </c>
      <c r="C52" s="65">
        <v>40002670</v>
      </c>
      <c r="D52" s="37"/>
      <c r="E52" s="71" t="s">
        <v>148</v>
      </c>
      <c r="F52" s="56"/>
      <c r="G52" s="37"/>
      <c r="H52" s="37"/>
      <c r="I52" s="37"/>
      <c r="J52" s="57"/>
      <c r="K52" s="6">
        <f>Table_Household_Alloc[[#This Row],[Unit Entitlement]]/1000</f>
        <v>0</v>
      </c>
      <c r="L52" s="44"/>
      <c r="M52" s="37"/>
      <c r="N52" s="52">
        <f>IF(Table_Household_Alloc[[#This Row],[PV Installed]]="Y",1,0)*Table_Household_Alloc[[#This Row],[Calculated Battery Allocation (kWh)]]</f>
        <v>0</v>
      </c>
      <c r="T52" s="58"/>
      <c r="U52" s="49"/>
      <c r="V52" s="7"/>
      <c r="X52" s="59"/>
      <c r="Y52" s="51"/>
    </row>
    <row r="53" spans="1:25" s="46" customFormat="1" ht="19" x14ac:dyDescent="0.25">
      <c r="A53" s="40" t="s">
        <v>149</v>
      </c>
      <c r="B53" s="41" t="s">
        <v>154</v>
      </c>
      <c r="C53" s="65">
        <v>40002667</v>
      </c>
      <c r="D53" s="37" t="s">
        <v>150</v>
      </c>
      <c r="E53" s="71" t="s">
        <v>151</v>
      </c>
      <c r="F53" s="37"/>
      <c r="G53" s="37" t="s">
        <v>29</v>
      </c>
      <c r="H53" s="37" t="s">
        <v>30</v>
      </c>
      <c r="I53" s="37">
        <v>6286</v>
      </c>
      <c r="J53" s="43"/>
      <c r="K53" s="4">
        <f>Table_Household_Alloc[[#This Row],[Unit Entitlement]]/1000</f>
        <v>0</v>
      </c>
      <c r="L53" s="44">
        <f t="shared" si="0"/>
        <v>0</v>
      </c>
      <c r="M53" s="66"/>
      <c r="N53" s="52">
        <f>IF(Table_Household_Alloc[[#This Row],[PV Installed]]="Y",1,0)*Table_Household_Alloc[[#This Row],[Calculated Battery Allocation (kWh)]]</f>
        <v>0</v>
      </c>
      <c r="P53" s="3" t="s">
        <v>31</v>
      </c>
      <c r="Q53" s="3" t="s">
        <v>32</v>
      </c>
      <c r="R53" s="37" t="s">
        <v>31</v>
      </c>
      <c r="S53" s="37"/>
      <c r="U53" s="49"/>
      <c r="X53" s="50"/>
      <c r="Y53" s="51"/>
    </row>
    <row r="54" spans="1:25" s="46" customFormat="1" ht="19" x14ac:dyDescent="0.25">
      <c r="A54" s="40" t="s">
        <v>152</v>
      </c>
      <c r="B54" s="41" t="s">
        <v>154</v>
      </c>
      <c r="C54" s="65">
        <v>50003399</v>
      </c>
      <c r="D54" s="37" t="s">
        <v>150</v>
      </c>
      <c r="E54" s="71" t="s">
        <v>153</v>
      </c>
      <c r="F54" s="37"/>
      <c r="G54" s="37" t="s">
        <v>29</v>
      </c>
      <c r="H54" s="37" t="s">
        <v>30</v>
      </c>
      <c r="I54" s="37">
        <v>6286</v>
      </c>
      <c r="J54" s="60"/>
      <c r="K54" s="61">
        <f>Table_Household_Alloc[[#This Row],[Unit Entitlement]]/1000</f>
        <v>0</v>
      </c>
      <c r="L54" s="44">
        <f t="shared" si="0"/>
        <v>0</v>
      </c>
      <c r="M54" s="66"/>
      <c r="N54" s="52">
        <f>IF(Table_Household_Alloc[[#This Row],[PV Installed]]="Y",1,0)*Table_Household_Alloc[[#This Row],[Calculated Battery Allocation (kWh)]]</f>
        <v>0</v>
      </c>
      <c r="P54" s="3" t="s">
        <v>31</v>
      </c>
      <c r="Q54" s="3" t="s">
        <v>32</v>
      </c>
      <c r="R54" s="37" t="s">
        <v>31</v>
      </c>
      <c r="S54" s="37"/>
      <c r="U54" s="49"/>
      <c r="X54" s="50"/>
      <c r="Y54" s="51"/>
    </row>
    <row r="55" spans="1:25" s="46" customFormat="1" ht="20" x14ac:dyDescent="0.25">
      <c r="A55" s="55" t="s">
        <v>642</v>
      </c>
      <c r="B55" s="41" t="s">
        <v>154</v>
      </c>
      <c r="C55" s="65"/>
      <c r="D55" s="37"/>
      <c r="E55" s="56"/>
      <c r="F55" s="56"/>
      <c r="G55" s="37"/>
      <c r="H55" s="37"/>
      <c r="I55" s="37"/>
      <c r="J55" s="63"/>
      <c r="K55" s="6">
        <f>Table_Household_Alloc[[#This Row],[Unit Entitlement]]/1000</f>
        <v>0</v>
      </c>
      <c r="L55" s="44"/>
      <c r="M55" s="37"/>
      <c r="N55" s="52">
        <f>IF(Table_Household_Alloc[[#This Row],[PV Installed]]="Y",1,0)*Table_Household_Alloc[[#This Row],[Calculated Battery Allocation (kWh)]]</f>
        <v>0</v>
      </c>
      <c r="T55" s="58"/>
      <c r="U55" s="49"/>
      <c r="V55" s="7"/>
      <c r="X55" s="59"/>
      <c r="Y55" s="51"/>
    </row>
    <row r="56" spans="1:25" s="46" customFormat="1" ht="20" x14ac:dyDescent="0.25">
      <c r="A56" s="64" t="s">
        <v>643</v>
      </c>
      <c r="B56" s="41" t="s">
        <v>154</v>
      </c>
      <c r="C56" s="65"/>
      <c r="D56" s="37"/>
      <c r="E56" s="56"/>
      <c r="F56" s="56"/>
      <c r="G56" s="37"/>
      <c r="H56" s="37"/>
      <c r="I56" s="37"/>
      <c r="J56" s="63"/>
      <c r="K56" s="6">
        <f>Table_Household_Alloc[[#This Row],[Unit Entitlement]]/1000</f>
        <v>0</v>
      </c>
      <c r="L56" s="44"/>
      <c r="M56" s="37"/>
      <c r="N56" s="52">
        <f>IF(Table_Household_Alloc[[#This Row],[PV Installed]]="Y",1,0)*Table_Household_Alloc[[#This Row],[Calculated Battery Allocation (kWh)]]</f>
        <v>0</v>
      </c>
      <c r="T56" s="58"/>
      <c r="U56" s="49"/>
      <c r="V56" s="7"/>
      <c r="X56" s="59"/>
      <c r="Y56" s="51"/>
    </row>
    <row r="57" spans="1:25" s="46" customFormat="1" ht="19" x14ac:dyDescent="0.25">
      <c r="A57" s="40">
        <v>1</v>
      </c>
      <c r="B57" s="41" t="s">
        <v>644</v>
      </c>
      <c r="C57" s="65">
        <v>50003397</v>
      </c>
      <c r="D57" s="37"/>
      <c r="E57" s="37" t="s">
        <v>199</v>
      </c>
      <c r="F57" s="37" t="s">
        <v>200</v>
      </c>
      <c r="G57" s="37" t="s">
        <v>201</v>
      </c>
      <c r="H57" s="37" t="s">
        <v>202</v>
      </c>
      <c r="I57" s="37">
        <v>6286</v>
      </c>
      <c r="J57" s="9">
        <v>42</v>
      </c>
      <c r="K57" s="10">
        <f>Table_Household_Alloc[[#This Row],[Unit Entitlement]]/1000</f>
        <v>4.2000000000000003E-2</v>
      </c>
      <c r="L57" s="44">
        <f>(J57/1000)*232</f>
        <v>9.7439999999999998</v>
      </c>
      <c r="M57" s="66" t="s">
        <v>60</v>
      </c>
      <c r="N57" s="52">
        <f>IF(Table_Household_Alloc[[#This Row],[PV Installed]]="Y",1,0)*Table_Household_Alloc[[#This Row],[Calculated Battery Allocation (kWh)]]</f>
        <v>9.7439999999999998</v>
      </c>
      <c r="O57" s="46">
        <v>8.1999999999999993</v>
      </c>
      <c r="P57" s="37" t="s">
        <v>31</v>
      </c>
      <c r="Q57" s="37" t="s">
        <v>31</v>
      </c>
      <c r="R57" s="37" t="s">
        <v>31</v>
      </c>
      <c r="S57" s="37" t="s">
        <v>44</v>
      </c>
      <c r="U57" s="49"/>
      <c r="X57" s="50">
        <v>44381</v>
      </c>
      <c r="Y57" s="51" t="s">
        <v>37</v>
      </c>
    </row>
    <row r="58" spans="1:25" s="46" customFormat="1" ht="19" x14ac:dyDescent="0.25">
      <c r="A58" s="40">
        <v>2</v>
      </c>
      <c r="B58" s="41" t="s">
        <v>644</v>
      </c>
      <c r="C58" s="65">
        <v>50003402</v>
      </c>
      <c r="D58" s="37"/>
      <c r="E58" s="37" t="s">
        <v>203</v>
      </c>
      <c r="F58" s="37" t="s">
        <v>204</v>
      </c>
      <c r="G58" s="37" t="s">
        <v>201</v>
      </c>
      <c r="H58" s="37" t="s">
        <v>202</v>
      </c>
      <c r="I58" s="37">
        <v>6286</v>
      </c>
      <c r="J58" s="9">
        <v>43</v>
      </c>
      <c r="K58" s="10">
        <f>Table_Household_Alloc[[#This Row],[Unit Entitlement]]/1000</f>
        <v>4.2999999999999997E-2</v>
      </c>
      <c r="L58" s="44">
        <f t="shared" ref="L58:L78" si="1">(J58/1000)*232</f>
        <v>9.9759999999999991</v>
      </c>
      <c r="M58" s="66" t="str">
        <f>CONCATENATE("Symo ",Table_Household_Alloc[[#This Row],[Export Capacity (kW)]])</f>
        <v>Symo 5</v>
      </c>
      <c r="N58" s="52">
        <f>IF(Table_Household_Alloc[[#This Row],[PV Installed]]="Y",1,0)*Table_Household_Alloc[[#This Row],[Calculated Battery Allocation (kWh)]]</f>
        <v>9.9759999999999991</v>
      </c>
      <c r="O58" s="46">
        <v>5</v>
      </c>
      <c r="P58" s="37" t="s">
        <v>31</v>
      </c>
      <c r="Q58" s="37" t="s">
        <v>31</v>
      </c>
      <c r="R58" s="37" t="s">
        <v>31</v>
      </c>
      <c r="S58" s="37" t="s">
        <v>44</v>
      </c>
      <c r="U58" s="49"/>
      <c r="X58" s="50">
        <v>44774</v>
      </c>
      <c r="Y58" s="51" t="s">
        <v>37</v>
      </c>
    </row>
    <row r="59" spans="1:25" s="46" customFormat="1" ht="19" x14ac:dyDescent="0.25">
      <c r="A59" s="40">
        <v>3</v>
      </c>
      <c r="B59" s="41" t="s">
        <v>644</v>
      </c>
      <c r="C59" s="65">
        <v>50003431</v>
      </c>
      <c r="D59" s="37"/>
      <c r="E59" s="37" t="s">
        <v>205</v>
      </c>
      <c r="F59" s="37" t="s">
        <v>206</v>
      </c>
      <c r="G59" s="37" t="s">
        <v>201</v>
      </c>
      <c r="H59" s="37" t="s">
        <v>202</v>
      </c>
      <c r="I59" s="37">
        <v>6286</v>
      </c>
      <c r="J59" s="9">
        <v>44</v>
      </c>
      <c r="K59" s="10">
        <f>Table_Household_Alloc[[#This Row],[Unit Entitlement]]/1000</f>
        <v>4.3999999999999997E-2</v>
      </c>
      <c r="L59" s="44">
        <f t="shared" si="1"/>
        <v>10.208</v>
      </c>
      <c r="M59" s="66" t="str">
        <f>CONCATENATE("Symo ",Table_Household_Alloc[[#This Row],[Export Capacity (kW)]])</f>
        <v>Symo 8.2</v>
      </c>
      <c r="N59" s="52">
        <f>IF(Table_Household_Alloc[[#This Row],[PV Installed]]="Y",1,0)*Table_Household_Alloc[[#This Row],[Calculated Battery Allocation (kWh)]]</f>
        <v>10.208</v>
      </c>
      <c r="O59" s="46">
        <v>8.1999999999999993</v>
      </c>
      <c r="P59" s="37" t="s">
        <v>31</v>
      </c>
      <c r="Q59" s="37" t="s">
        <v>31</v>
      </c>
      <c r="R59" s="37" t="s">
        <v>31</v>
      </c>
      <c r="S59" s="37" t="s">
        <v>44</v>
      </c>
      <c r="U59" s="49"/>
      <c r="X59" s="50">
        <v>45023</v>
      </c>
      <c r="Y59" s="51" t="s">
        <v>37</v>
      </c>
    </row>
    <row r="60" spans="1:25" s="46" customFormat="1" ht="19" x14ac:dyDescent="0.25">
      <c r="A60" s="40">
        <v>4</v>
      </c>
      <c r="B60" s="41" t="s">
        <v>644</v>
      </c>
      <c r="C60" s="65">
        <v>50003394</v>
      </c>
      <c r="D60" s="37"/>
      <c r="E60" s="37" t="s">
        <v>207</v>
      </c>
      <c r="F60" s="37" t="s">
        <v>208</v>
      </c>
      <c r="G60" s="37" t="s">
        <v>201</v>
      </c>
      <c r="H60" s="37" t="s">
        <v>202</v>
      </c>
      <c r="I60" s="37">
        <v>6286</v>
      </c>
      <c r="J60" s="9">
        <v>45</v>
      </c>
      <c r="K60" s="10">
        <f>Table_Household_Alloc[[#This Row],[Unit Entitlement]]/1000</f>
        <v>4.4999999999999998E-2</v>
      </c>
      <c r="L60" s="44">
        <f t="shared" si="1"/>
        <v>10.44</v>
      </c>
      <c r="M60" s="66" t="str">
        <f>CONCATENATE("Symo ",Table_Household_Alloc[[#This Row],[Export Capacity (kW)]])</f>
        <v>Symo 5</v>
      </c>
      <c r="N60" s="52">
        <f>IF(Table_Household_Alloc[[#This Row],[PV Installed]]="Y",1,0)*Table_Household_Alloc[[#This Row],[Calculated Battery Allocation (kWh)]]</f>
        <v>10.44</v>
      </c>
      <c r="O60" s="46">
        <v>5</v>
      </c>
      <c r="P60" s="37" t="s">
        <v>31</v>
      </c>
      <c r="Q60" s="37" t="s">
        <v>31</v>
      </c>
      <c r="R60" s="37" t="s">
        <v>31</v>
      </c>
      <c r="S60" s="37" t="s">
        <v>44</v>
      </c>
      <c r="U60" s="49"/>
      <c r="X60" s="50">
        <v>45078</v>
      </c>
      <c r="Y60" s="51" t="s">
        <v>37</v>
      </c>
    </row>
    <row r="61" spans="1:25" s="46" customFormat="1" ht="19" x14ac:dyDescent="0.25">
      <c r="A61" s="40">
        <v>5</v>
      </c>
      <c r="B61" s="41" t="s">
        <v>644</v>
      </c>
      <c r="C61" s="65">
        <v>50003433</v>
      </c>
      <c r="D61" s="37"/>
      <c r="E61" s="37" t="s">
        <v>209</v>
      </c>
      <c r="F61" s="37" t="s">
        <v>210</v>
      </c>
      <c r="G61" s="37" t="s">
        <v>201</v>
      </c>
      <c r="H61" s="37" t="s">
        <v>202</v>
      </c>
      <c r="I61" s="37">
        <v>6286</v>
      </c>
      <c r="J61" s="9">
        <v>46</v>
      </c>
      <c r="K61" s="10">
        <f>Table_Household_Alloc[[#This Row],[Unit Entitlement]]/1000</f>
        <v>4.5999999999999999E-2</v>
      </c>
      <c r="L61" s="44">
        <f t="shared" si="1"/>
        <v>10.672000000000001</v>
      </c>
      <c r="M61" s="66" t="str">
        <f>CONCATENATE("Symo ",Table_Household_Alloc[[#This Row],[Export Capacity (kW)]])</f>
        <v>Symo 8.2</v>
      </c>
      <c r="N61" s="52">
        <f>IF(Table_Household_Alloc[[#This Row],[PV Installed]]="Y",1,0)*Table_Household_Alloc[[#This Row],[Calculated Battery Allocation (kWh)]]</f>
        <v>10.672000000000001</v>
      </c>
      <c r="O61" s="46">
        <v>8.1999999999999993</v>
      </c>
      <c r="P61" s="37" t="s">
        <v>31</v>
      </c>
      <c r="Q61" s="37" t="s">
        <v>31</v>
      </c>
      <c r="R61" s="37" t="s">
        <v>31</v>
      </c>
      <c r="S61" s="37" t="s">
        <v>44</v>
      </c>
      <c r="U61" s="49"/>
      <c r="X61" s="50">
        <v>44599</v>
      </c>
      <c r="Y61" s="51" t="s">
        <v>37</v>
      </c>
    </row>
    <row r="62" spans="1:25" s="46" customFormat="1" ht="19" x14ac:dyDescent="0.25">
      <c r="A62" s="40">
        <v>6</v>
      </c>
      <c r="B62" s="41" t="s">
        <v>644</v>
      </c>
      <c r="C62" s="65">
        <v>50003421</v>
      </c>
      <c r="D62" s="37"/>
      <c r="E62" s="37" t="s">
        <v>211</v>
      </c>
      <c r="F62" s="37" t="s">
        <v>212</v>
      </c>
      <c r="G62" s="37" t="s">
        <v>201</v>
      </c>
      <c r="H62" s="37" t="s">
        <v>202</v>
      </c>
      <c r="I62" s="37">
        <v>6286</v>
      </c>
      <c r="J62" s="9">
        <v>66</v>
      </c>
      <c r="K62" s="10">
        <f>Table_Household_Alloc[[#This Row],[Unit Entitlement]]/1000</f>
        <v>6.6000000000000003E-2</v>
      </c>
      <c r="L62" s="44">
        <f t="shared" si="1"/>
        <v>15.312000000000001</v>
      </c>
      <c r="M62" s="66" t="str">
        <f>CONCATENATE("Symo ",Table_Household_Alloc[[#This Row],[Export Capacity (kW)]])</f>
        <v>Symo 10</v>
      </c>
      <c r="N62" s="52">
        <f>IF(Table_Household_Alloc[[#This Row],[PV Installed]]="Y",1,0)*Table_Household_Alloc[[#This Row],[Calculated Battery Allocation (kWh)]]</f>
        <v>15.312000000000001</v>
      </c>
      <c r="O62" s="46">
        <v>10</v>
      </c>
      <c r="P62" s="37" t="s">
        <v>31</v>
      </c>
      <c r="Q62" s="37" t="s">
        <v>31</v>
      </c>
      <c r="R62" s="37" t="s">
        <v>31</v>
      </c>
      <c r="S62" s="37" t="s">
        <v>44</v>
      </c>
      <c r="U62" s="49"/>
      <c r="X62" s="50">
        <v>45020</v>
      </c>
      <c r="Y62" s="51" t="s">
        <v>37</v>
      </c>
    </row>
    <row r="63" spans="1:25" s="46" customFormat="1" ht="19" x14ac:dyDescent="0.25">
      <c r="A63" s="72">
        <v>7</v>
      </c>
      <c r="B63" s="73" t="s">
        <v>644</v>
      </c>
      <c r="C63" s="74">
        <v>50002953</v>
      </c>
      <c r="D63" s="37"/>
      <c r="E63" s="37" t="s">
        <v>213</v>
      </c>
      <c r="F63" s="37" t="s">
        <v>214</v>
      </c>
      <c r="G63" s="37" t="s">
        <v>201</v>
      </c>
      <c r="H63" s="37" t="s">
        <v>202</v>
      </c>
      <c r="I63" s="37">
        <v>6286</v>
      </c>
      <c r="J63" s="9">
        <v>66</v>
      </c>
      <c r="K63" s="10">
        <f>Table_Household_Alloc[[#This Row],[Unit Entitlement]]/1000</f>
        <v>6.6000000000000003E-2</v>
      </c>
      <c r="L63" s="44">
        <f t="shared" si="1"/>
        <v>15.312000000000001</v>
      </c>
      <c r="M63" s="66"/>
      <c r="N63" s="52">
        <f>IF(Table_Household_Alloc[[#This Row],[PV Installed]]="Y",1,0)*Table_Household_Alloc[[#This Row],[Calculated Battery Allocation (kWh)]]</f>
        <v>0</v>
      </c>
      <c r="P63" s="37"/>
      <c r="Q63" s="37"/>
      <c r="R63" s="37"/>
      <c r="S63" s="37" t="s">
        <v>215</v>
      </c>
      <c r="U63" s="49"/>
      <c r="X63" s="50"/>
      <c r="Y63" s="51"/>
    </row>
    <row r="64" spans="1:25" s="46" customFormat="1" ht="19" x14ac:dyDescent="0.25">
      <c r="A64" s="40">
        <v>8</v>
      </c>
      <c r="B64" s="41" t="s">
        <v>644</v>
      </c>
      <c r="C64" s="65">
        <v>50003395</v>
      </c>
      <c r="D64" s="37"/>
      <c r="E64" s="37" t="s">
        <v>216</v>
      </c>
      <c r="F64" s="37" t="s">
        <v>217</v>
      </c>
      <c r="G64" s="37" t="s">
        <v>201</v>
      </c>
      <c r="H64" s="37" t="s">
        <v>202</v>
      </c>
      <c r="I64" s="37">
        <v>6286</v>
      </c>
      <c r="J64" s="9">
        <v>66</v>
      </c>
      <c r="K64" s="10">
        <f>Table_Household_Alloc[[#This Row],[Unit Entitlement]]/1000</f>
        <v>6.6000000000000003E-2</v>
      </c>
      <c r="L64" s="44">
        <f t="shared" si="1"/>
        <v>15.312000000000001</v>
      </c>
      <c r="M64" s="66" t="str">
        <f>CONCATENATE("Symo ",Table_Household_Alloc[[#This Row],[Export Capacity (kW)]])</f>
        <v>Symo 10</v>
      </c>
      <c r="N64" s="52">
        <f>IF(Table_Household_Alloc[[#This Row],[PV Installed]]="Y",1,0)*Table_Household_Alloc[[#This Row],[Calculated Battery Allocation (kWh)]]</f>
        <v>15.312000000000001</v>
      </c>
      <c r="O64" s="11">
        <v>10</v>
      </c>
      <c r="P64" s="37" t="s">
        <v>31</v>
      </c>
      <c r="Q64" s="37" t="s">
        <v>31</v>
      </c>
      <c r="R64" s="37" t="s">
        <v>31</v>
      </c>
      <c r="S64" s="37" t="s">
        <v>44</v>
      </c>
      <c r="U64" s="49"/>
      <c r="X64" s="50">
        <v>44682</v>
      </c>
      <c r="Y64" s="51" t="s">
        <v>37</v>
      </c>
    </row>
    <row r="65" spans="1:25" s="46" customFormat="1" ht="19" x14ac:dyDescent="0.25">
      <c r="A65" s="40">
        <v>9</v>
      </c>
      <c r="B65" s="41" t="s">
        <v>644</v>
      </c>
      <c r="C65" s="75">
        <v>50003435</v>
      </c>
      <c r="D65" s="37"/>
      <c r="E65" s="37" t="s">
        <v>218</v>
      </c>
      <c r="F65" s="37" t="s">
        <v>219</v>
      </c>
      <c r="G65" s="37" t="s">
        <v>201</v>
      </c>
      <c r="H65" s="37" t="s">
        <v>202</v>
      </c>
      <c r="I65" s="37">
        <v>6286</v>
      </c>
      <c r="J65" s="9">
        <v>66</v>
      </c>
      <c r="K65" s="10">
        <f>Table_Household_Alloc[[#This Row],[Unit Entitlement]]/1000</f>
        <v>6.6000000000000003E-2</v>
      </c>
      <c r="L65" s="44">
        <f t="shared" si="1"/>
        <v>15.312000000000001</v>
      </c>
      <c r="M65" s="66"/>
      <c r="N65" s="52">
        <f>IF(Table_Household_Alloc[[#This Row],[PV Installed]]="Y",1,0)*Table_Household_Alloc[[#This Row],[Calculated Battery Allocation (kWh)]]</f>
        <v>0</v>
      </c>
      <c r="P65" s="37"/>
      <c r="Q65" s="37"/>
      <c r="R65" s="37"/>
      <c r="S65" s="37" t="s">
        <v>33</v>
      </c>
      <c r="U65" s="49"/>
      <c r="X65" s="50"/>
      <c r="Y65" s="51"/>
    </row>
    <row r="66" spans="1:25" s="46" customFormat="1" ht="19" x14ac:dyDescent="0.25">
      <c r="A66" s="40">
        <v>10</v>
      </c>
      <c r="B66" s="41" t="s">
        <v>644</v>
      </c>
      <c r="C66" s="65">
        <v>50002952</v>
      </c>
      <c r="D66" s="37"/>
      <c r="E66" s="37" t="s">
        <v>220</v>
      </c>
      <c r="F66" s="37" t="s">
        <v>221</v>
      </c>
      <c r="G66" s="37" t="s">
        <v>201</v>
      </c>
      <c r="H66" s="37" t="s">
        <v>202</v>
      </c>
      <c r="I66" s="37">
        <v>6286</v>
      </c>
      <c r="J66" s="9">
        <v>31</v>
      </c>
      <c r="K66" s="10">
        <f>Table_Household_Alloc[[#This Row],[Unit Entitlement]]/1000</f>
        <v>3.1E-2</v>
      </c>
      <c r="L66" s="44">
        <f t="shared" si="1"/>
        <v>7.1920000000000002</v>
      </c>
      <c r="M66" s="66" t="str">
        <f>CONCATENATE("Symo ",Table_Household_Alloc[[#This Row],[Export Capacity (kW)]])</f>
        <v>Symo 5</v>
      </c>
      <c r="N66" s="52">
        <f>IF(Table_Household_Alloc[[#This Row],[PV Installed]]="Y",1,0)*Table_Household_Alloc[[#This Row],[Calculated Battery Allocation (kWh)]]</f>
        <v>7.1920000000000002</v>
      </c>
      <c r="O66" s="46">
        <v>5</v>
      </c>
      <c r="P66" s="37" t="s">
        <v>31</v>
      </c>
      <c r="Q66" s="37" t="s">
        <v>31</v>
      </c>
      <c r="R66" s="37" t="s">
        <v>31</v>
      </c>
      <c r="S66" s="37" t="s">
        <v>44</v>
      </c>
      <c r="U66" s="49"/>
      <c r="X66" s="50">
        <v>44593</v>
      </c>
      <c r="Y66" s="51" t="s">
        <v>37</v>
      </c>
    </row>
    <row r="67" spans="1:25" s="46" customFormat="1" ht="19" x14ac:dyDescent="0.25">
      <c r="A67" s="40">
        <v>11</v>
      </c>
      <c r="B67" s="41" t="s">
        <v>644</v>
      </c>
      <c r="C67" s="76">
        <v>50002944</v>
      </c>
      <c r="D67" s="37"/>
      <c r="E67" s="37" t="s">
        <v>222</v>
      </c>
      <c r="F67" s="37" t="s">
        <v>223</v>
      </c>
      <c r="G67" s="37" t="s">
        <v>201</v>
      </c>
      <c r="H67" s="37" t="s">
        <v>202</v>
      </c>
      <c r="I67" s="37">
        <v>6286</v>
      </c>
      <c r="J67" s="9">
        <v>31</v>
      </c>
      <c r="K67" s="10">
        <f>Table_Household_Alloc[[#This Row],[Unit Entitlement]]/1000</f>
        <v>3.1E-2</v>
      </c>
      <c r="L67" s="44">
        <f t="shared" si="1"/>
        <v>7.1920000000000002</v>
      </c>
      <c r="M67" s="66"/>
      <c r="N67" s="52">
        <f>IF(Table_Household_Alloc[[#This Row],[PV Installed]]="Y",1,0)*Table_Household_Alloc[[#This Row],[Calculated Battery Allocation (kWh)]]</f>
        <v>0</v>
      </c>
      <c r="P67" s="37"/>
      <c r="Q67" s="37"/>
      <c r="R67" s="37"/>
      <c r="S67" s="37" t="s">
        <v>215</v>
      </c>
      <c r="U67" s="49"/>
      <c r="X67" s="50"/>
      <c r="Y67" s="51"/>
    </row>
    <row r="68" spans="1:25" s="46" customFormat="1" ht="19" x14ac:dyDescent="0.25">
      <c r="A68" s="72">
        <v>12</v>
      </c>
      <c r="B68" s="72" t="s">
        <v>644</v>
      </c>
      <c r="C68" s="77">
        <v>3308026898</v>
      </c>
      <c r="D68" s="78"/>
      <c r="E68" s="78" t="s">
        <v>224</v>
      </c>
      <c r="F68" s="78" t="s">
        <v>225</v>
      </c>
      <c r="G68" s="78" t="s">
        <v>201</v>
      </c>
      <c r="H68" s="78" t="s">
        <v>202</v>
      </c>
      <c r="I68" s="78">
        <v>6286</v>
      </c>
      <c r="J68" s="12">
        <v>31</v>
      </c>
      <c r="K68" s="13">
        <f>Table_Household_Alloc[[#This Row],[Unit Entitlement]]/1000</f>
        <v>3.1E-2</v>
      </c>
      <c r="L68" s="79">
        <f t="shared" si="1"/>
        <v>7.1920000000000002</v>
      </c>
      <c r="M68" s="66" t="str">
        <f>CONCATENATE("Symo ",Table_Household_Alloc[[#This Row],[Export Capacity (kW)]])</f>
        <v>Symo 5</v>
      </c>
      <c r="N68" s="52">
        <f>IF(Table_Household_Alloc[[#This Row],[PV Installed]]="Y",1,0)*Table_Household_Alloc[[#This Row],[Calculated Battery Allocation (kWh)]]</f>
        <v>7.1920000000000002</v>
      </c>
      <c r="O68" s="80">
        <v>5</v>
      </c>
      <c r="P68" s="37" t="s">
        <v>32</v>
      </c>
      <c r="Q68" s="37" t="s">
        <v>31</v>
      </c>
      <c r="R68" s="37" t="s">
        <v>31</v>
      </c>
      <c r="S68" s="78" t="s">
        <v>44</v>
      </c>
      <c r="T68" s="80"/>
      <c r="U68" s="81"/>
      <c r="V68" s="80"/>
      <c r="W68" s="80"/>
      <c r="X68" s="82">
        <v>45139</v>
      </c>
      <c r="Y68" s="83" t="s">
        <v>37</v>
      </c>
    </row>
    <row r="69" spans="1:25" s="46" customFormat="1" ht="19" x14ac:dyDescent="0.25">
      <c r="A69" s="40">
        <v>13</v>
      </c>
      <c r="B69" s="41" t="s">
        <v>644</v>
      </c>
      <c r="C69" s="65">
        <v>50003424</v>
      </c>
      <c r="D69" s="37"/>
      <c r="E69" s="37" t="s">
        <v>226</v>
      </c>
      <c r="F69" s="37" t="s">
        <v>227</v>
      </c>
      <c r="G69" s="37" t="s">
        <v>201</v>
      </c>
      <c r="H69" s="37" t="s">
        <v>202</v>
      </c>
      <c r="I69" s="37">
        <v>6286</v>
      </c>
      <c r="J69" s="9">
        <v>31</v>
      </c>
      <c r="K69" s="10">
        <f>Table_Household_Alloc[[#This Row],[Unit Entitlement]]/1000</f>
        <v>3.1E-2</v>
      </c>
      <c r="L69" s="44">
        <f t="shared" si="1"/>
        <v>7.1920000000000002</v>
      </c>
      <c r="M69" s="66" t="str">
        <f>CONCATENATE("Symo ",Table_Household_Alloc[[#This Row],[Export Capacity (kW)]])</f>
        <v>Symo 5</v>
      </c>
      <c r="N69" s="52">
        <f>IF(Table_Household_Alloc[[#This Row],[PV Installed]]="Y",1,0)*Table_Household_Alloc[[#This Row],[Calculated Battery Allocation (kWh)]]</f>
        <v>7.1920000000000002</v>
      </c>
      <c r="O69" s="46">
        <v>5</v>
      </c>
      <c r="P69" s="37" t="s">
        <v>31</v>
      </c>
      <c r="Q69" s="37" t="s">
        <v>31</v>
      </c>
      <c r="R69" s="37" t="s">
        <v>31</v>
      </c>
      <c r="S69" s="37" t="s">
        <v>44</v>
      </c>
      <c r="U69" s="49"/>
      <c r="X69" s="50">
        <v>44621</v>
      </c>
      <c r="Y69" s="51" t="s">
        <v>37</v>
      </c>
    </row>
    <row r="70" spans="1:25" s="46" customFormat="1" ht="19" x14ac:dyDescent="0.25">
      <c r="A70" s="40">
        <v>14</v>
      </c>
      <c r="B70" s="41" t="s">
        <v>644</v>
      </c>
      <c r="C70" s="65">
        <v>50003438</v>
      </c>
      <c r="D70" s="37"/>
      <c r="E70" s="37" t="s">
        <v>228</v>
      </c>
      <c r="F70" s="37" t="s">
        <v>229</v>
      </c>
      <c r="G70" s="37" t="s">
        <v>201</v>
      </c>
      <c r="H70" s="37" t="s">
        <v>202</v>
      </c>
      <c r="I70" s="37">
        <v>6286</v>
      </c>
      <c r="J70" s="9">
        <v>37</v>
      </c>
      <c r="K70" s="10">
        <f>Table_Household_Alloc[[#This Row],[Unit Entitlement]]/1000</f>
        <v>3.6999999999999998E-2</v>
      </c>
      <c r="L70" s="44">
        <f t="shared" si="1"/>
        <v>8.5839999999999996</v>
      </c>
      <c r="M70" s="66" t="str">
        <f>CONCATENATE("Symo ",Table_Household_Alloc[[#This Row],[Export Capacity (kW)]])</f>
        <v>Symo 5</v>
      </c>
      <c r="N70" s="52">
        <f>IF(Table_Household_Alloc[[#This Row],[PV Installed]]="Y",1,0)*Table_Household_Alloc[[#This Row],[Calculated Battery Allocation (kWh)]]</f>
        <v>8.5839999999999996</v>
      </c>
      <c r="O70" s="46">
        <v>5</v>
      </c>
      <c r="P70" s="37" t="s">
        <v>31</v>
      </c>
      <c r="Q70" s="37" t="s">
        <v>31</v>
      </c>
      <c r="R70" s="37" t="s">
        <v>31</v>
      </c>
      <c r="S70" s="37" t="s">
        <v>44</v>
      </c>
      <c r="U70" s="49"/>
      <c r="X70" s="50">
        <v>44643</v>
      </c>
      <c r="Y70" s="51" t="s">
        <v>37</v>
      </c>
    </row>
    <row r="71" spans="1:25" s="46" customFormat="1" ht="19" x14ac:dyDescent="0.25">
      <c r="A71" s="40">
        <v>15</v>
      </c>
      <c r="B71" s="41" t="s">
        <v>644</v>
      </c>
      <c r="C71" s="65">
        <v>50003404</v>
      </c>
      <c r="D71" s="37"/>
      <c r="E71" s="37" t="s">
        <v>230</v>
      </c>
      <c r="F71" s="37" t="s">
        <v>231</v>
      </c>
      <c r="G71" s="37" t="s">
        <v>201</v>
      </c>
      <c r="H71" s="37" t="s">
        <v>202</v>
      </c>
      <c r="I71" s="37">
        <v>6286</v>
      </c>
      <c r="J71" s="9">
        <v>69</v>
      </c>
      <c r="K71" s="10">
        <f>Table_Household_Alloc[[#This Row],[Unit Entitlement]]/1000</f>
        <v>6.9000000000000006E-2</v>
      </c>
      <c r="L71" s="44">
        <f t="shared" si="1"/>
        <v>16.008000000000003</v>
      </c>
      <c r="M71" s="66" t="str">
        <f>CONCATENATE("Symo ",Table_Household_Alloc[[#This Row],[Export Capacity (kW)]])</f>
        <v>Symo 8.2</v>
      </c>
      <c r="N71" s="52">
        <f>IF(Table_Household_Alloc[[#This Row],[PV Installed]]="Y",1,0)*Table_Household_Alloc[[#This Row],[Calculated Battery Allocation (kWh)]]</f>
        <v>16.008000000000003</v>
      </c>
      <c r="O71" s="46">
        <v>8.1999999999999993</v>
      </c>
      <c r="P71" s="37" t="s">
        <v>31</v>
      </c>
      <c r="Q71" s="37" t="s">
        <v>31</v>
      </c>
      <c r="R71" s="37" t="s">
        <v>31</v>
      </c>
      <c r="S71" s="37" t="s">
        <v>44</v>
      </c>
      <c r="U71" s="49"/>
      <c r="X71" s="50">
        <v>44835</v>
      </c>
      <c r="Y71" s="51" t="s">
        <v>37</v>
      </c>
    </row>
    <row r="72" spans="1:25" s="46" customFormat="1" ht="19" x14ac:dyDescent="0.25">
      <c r="A72" s="40">
        <v>16</v>
      </c>
      <c r="B72" s="41" t="s">
        <v>644</v>
      </c>
      <c r="C72" s="65">
        <v>50003419</v>
      </c>
      <c r="D72" s="37"/>
      <c r="E72" s="37" t="s">
        <v>232</v>
      </c>
      <c r="F72" s="37" t="s">
        <v>233</v>
      </c>
      <c r="G72" s="37" t="s">
        <v>201</v>
      </c>
      <c r="H72" s="37" t="s">
        <v>202</v>
      </c>
      <c r="I72" s="37">
        <v>6286</v>
      </c>
      <c r="J72" s="9">
        <v>69</v>
      </c>
      <c r="K72" s="10">
        <f>Table_Household_Alloc[[#This Row],[Unit Entitlement]]/1000</f>
        <v>6.9000000000000006E-2</v>
      </c>
      <c r="L72" s="44">
        <f t="shared" si="1"/>
        <v>16.008000000000003</v>
      </c>
      <c r="M72" s="66" t="str">
        <f>CONCATENATE("Symo ",Table_Household_Alloc[[#This Row],[Export Capacity (kW)]])</f>
        <v>Symo 10</v>
      </c>
      <c r="N72" s="52">
        <f>IF(Table_Household_Alloc[[#This Row],[PV Installed]]="Y",1,0)*Table_Household_Alloc[[#This Row],[Calculated Battery Allocation (kWh)]]</f>
        <v>16.008000000000003</v>
      </c>
      <c r="O72" s="46">
        <v>10</v>
      </c>
      <c r="P72" s="37" t="s">
        <v>31</v>
      </c>
      <c r="Q72" s="37" t="s">
        <v>31</v>
      </c>
      <c r="R72" s="37" t="s">
        <v>31</v>
      </c>
      <c r="S72" s="37" t="s">
        <v>44</v>
      </c>
      <c r="U72" s="49"/>
      <c r="X72" s="50">
        <v>45047</v>
      </c>
      <c r="Y72" s="51" t="s">
        <v>37</v>
      </c>
    </row>
    <row r="73" spans="1:25" s="46" customFormat="1" ht="19" x14ac:dyDescent="0.25">
      <c r="A73" s="40">
        <v>17</v>
      </c>
      <c r="B73" s="41" t="s">
        <v>644</v>
      </c>
      <c r="C73" s="76">
        <v>50003428</v>
      </c>
      <c r="D73" s="37"/>
      <c r="E73" s="37" t="s">
        <v>234</v>
      </c>
      <c r="F73" s="37" t="s">
        <v>235</v>
      </c>
      <c r="G73" s="37" t="s">
        <v>201</v>
      </c>
      <c r="H73" s="37" t="s">
        <v>202</v>
      </c>
      <c r="I73" s="37">
        <v>6286</v>
      </c>
      <c r="J73" s="9">
        <v>69</v>
      </c>
      <c r="K73" s="10">
        <f>Table_Household_Alloc[[#This Row],[Unit Entitlement]]/1000</f>
        <v>6.9000000000000006E-2</v>
      </c>
      <c r="L73" s="44">
        <f t="shared" si="1"/>
        <v>16.008000000000003</v>
      </c>
      <c r="M73" s="66"/>
      <c r="N73" s="52">
        <f>IF(Table_Household_Alloc[[#This Row],[PV Installed]]="Y",1,0)*Table_Household_Alloc[[#This Row],[Calculated Battery Allocation (kWh)]]</f>
        <v>0</v>
      </c>
      <c r="P73" s="37"/>
      <c r="Q73" s="37"/>
      <c r="R73" s="37"/>
      <c r="S73" s="37" t="s">
        <v>215</v>
      </c>
      <c r="U73" s="49"/>
      <c r="X73" s="50"/>
      <c r="Y73" s="51"/>
    </row>
    <row r="74" spans="1:25" s="46" customFormat="1" ht="19" x14ac:dyDescent="0.25">
      <c r="A74" s="40">
        <v>18</v>
      </c>
      <c r="B74" s="41" t="s">
        <v>644</v>
      </c>
      <c r="C74" s="65">
        <v>50002935</v>
      </c>
      <c r="D74" s="37"/>
      <c r="E74" s="37" t="s">
        <v>236</v>
      </c>
      <c r="F74" s="37" t="s">
        <v>237</v>
      </c>
      <c r="G74" s="37" t="s">
        <v>201</v>
      </c>
      <c r="H74" s="37" t="s">
        <v>202</v>
      </c>
      <c r="I74" s="37">
        <v>6286</v>
      </c>
      <c r="J74" s="9">
        <v>69</v>
      </c>
      <c r="K74" s="10">
        <f>Table_Household_Alloc[[#This Row],[Unit Entitlement]]/1000</f>
        <v>6.9000000000000006E-2</v>
      </c>
      <c r="L74" s="44">
        <f t="shared" si="1"/>
        <v>16.008000000000003</v>
      </c>
      <c r="M74" s="66" t="str">
        <f>CONCATENATE("Symo ",Table_Household_Alloc[[#This Row],[Export Capacity (kW)]])</f>
        <v>Symo 10</v>
      </c>
      <c r="N74" s="52">
        <f>IF(Table_Household_Alloc[[#This Row],[PV Installed]]="Y",1,0)*Table_Household_Alloc[[#This Row],[Calculated Battery Allocation (kWh)]]</f>
        <v>16.008000000000003</v>
      </c>
      <c r="O74" s="46">
        <v>10</v>
      </c>
      <c r="P74" s="37" t="s">
        <v>31</v>
      </c>
      <c r="Q74" s="37" t="s">
        <v>31</v>
      </c>
      <c r="R74" s="37" t="s">
        <v>31</v>
      </c>
      <c r="S74" s="37" t="s">
        <v>44</v>
      </c>
      <c r="U74" s="49"/>
      <c r="X74" s="50">
        <v>45481</v>
      </c>
      <c r="Y74" s="51" t="s">
        <v>37</v>
      </c>
    </row>
    <row r="75" spans="1:25" s="46" customFormat="1" ht="20" thickBot="1" x14ac:dyDescent="0.3">
      <c r="A75" s="40">
        <v>19</v>
      </c>
      <c r="B75" s="41" t="s">
        <v>644</v>
      </c>
      <c r="C75" s="65">
        <v>50003417</v>
      </c>
      <c r="D75" s="37"/>
      <c r="E75" s="37" t="s">
        <v>238</v>
      </c>
      <c r="F75" s="37" t="s">
        <v>239</v>
      </c>
      <c r="G75" s="37" t="s">
        <v>201</v>
      </c>
      <c r="H75" s="37" t="s">
        <v>202</v>
      </c>
      <c r="I75" s="37">
        <v>6286</v>
      </c>
      <c r="J75" s="14">
        <v>79</v>
      </c>
      <c r="K75" s="10">
        <f>Table_Household_Alloc[[#This Row],[Unit Entitlement]]/1000</f>
        <v>7.9000000000000001E-2</v>
      </c>
      <c r="L75" s="44">
        <f t="shared" si="1"/>
        <v>18.327999999999999</v>
      </c>
      <c r="M75" s="66" t="str">
        <f>CONCATENATE("Symo ",Table_Household_Alloc[[#This Row],[Export Capacity (kW)]])</f>
        <v>Symo 10</v>
      </c>
      <c r="N75" s="52">
        <f>IF(Table_Household_Alloc[[#This Row],[PV Installed]]="Y",1,0)*Table_Household_Alloc[[#This Row],[Calculated Battery Allocation (kWh)]]</f>
        <v>18.327999999999999</v>
      </c>
      <c r="O75" s="46">
        <v>10</v>
      </c>
      <c r="P75" s="37" t="s">
        <v>31</v>
      </c>
      <c r="Q75" s="37" t="s">
        <v>31</v>
      </c>
      <c r="R75" s="37" t="s">
        <v>31</v>
      </c>
      <c r="S75" s="46" t="s">
        <v>44</v>
      </c>
      <c r="U75" s="49"/>
      <c r="X75" s="50">
        <v>44913</v>
      </c>
      <c r="Y75" s="51" t="s">
        <v>37</v>
      </c>
    </row>
    <row r="76" spans="1:25" s="46" customFormat="1" ht="40" x14ac:dyDescent="0.25">
      <c r="A76" s="55" t="s">
        <v>147</v>
      </c>
      <c r="B76" s="41" t="s">
        <v>644</v>
      </c>
      <c r="C76" s="65">
        <v>40002722</v>
      </c>
      <c r="D76" s="37"/>
      <c r="E76" s="71" t="s">
        <v>148</v>
      </c>
      <c r="F76" s="56"/>
      <c r="G76" s="37"/>
      <c r="H76" s="37"/>
      <c r="I76" s="37"/>
      <c r="J76" s="15"/>
      <c r="K76" s="16">
        <f>Table_Household_Alloc[[#This Row],[Unit Entitlement]]/1000</f>
        <v>0</v>
      </c>
      <c r="L76" s="44"/>
      <c r="M76" s="37"/>
      <c r="N76" s="52">
        <f>IF(Table_Household_Alloc[[#This Row],[PV Installed]]="Y",1,0)*Table_Household_Alloc[[#This Row],[Calculated Battery Allocation (kWh)]]</f>
        <v>0</v>
      </c>
      <c r="T76" s="58"/>
      <c r="U76" s="49"/>
      <c r="V76" s="7"/>
      <c r="X76" s="59"/>
      <c r="Y76" s="51"/>
    </row>
    <row r="77" spans="1:25" s="46" customFormat="1" ht="19" x14ac:dyDescent="0.25">
      <c r="A77" s="72" t="s">
        <v>149</v>
      </c>
      <c r="B77" s="73" t="s">
        <v>644</v>
      </c>
      <c r="C77" s="77">
        <v>40002728</v>
      </c>
      <c r="D77" s="37"/>
      <c r="E77" s="71" t="s">
        <v>151</v>
      </c>
      <c r="F77" s="37" t="s">
        <v>240</v>
      </c>
      <c r="G77" s="37" t="s">
        <v>29</v>
      </c>
      <c r="H77" s="37" t="s">
        <v>30</v>
      </c>
      <c r="I77" s="37">
        <v>6286</v>
      </c>
      <c r="J77" s="17"/>
      <c r="K77" s="18">
        <f>Table_Household_Alloc[[#This Row],[Unit Entitlement]]/1000</f>
        <v>0</v>
      </c>
      <c r="L77" s="44"/>
      <c r="M77" s="66"/>
      <c r="N77" s="52">
        <f>IF(Table_Household_Alloc[[#This Row],[PV Installed]]="Y",1,0)*Table_Household_Alloc[[#This Row],[Calculated Battery Allocation (kWh)]]</f>
        <v>0</v>
      </c>
      <c r="U77" s="49"/>
      <c r="X77" s="50"/>
      <c r="Y77" s="51"/>
    </row>
    <row r="78" spans="1:25" s="46" customFormat="1" ht="19" x14ac:dyDescent="0.25">
      <c r="A78" s="40" t="s">
        <v>152</v>
      </c>
      <c r="B78" s="41" t="s">
        <v>644</v>
      </c>
      <c r="C78" s="65">
        <v>50003429</v>
      </c>
      <c r="D78" s="37"/>
      <c r="E78" s="71" t="s">
        <v>153</v>
      </c>
      <c r="F78" s="37" t="s">
        <v>240</v>
      </c>
      <c r="G78" s="37" t="s">
        <v>29</v>
      </c>
      <c r="H78" s="37" t="s">
        <v>30</v>
      </c>
      <c r="I78" s="37">
        <v>6286</v>
      </c>
      <c r="J78" s="60"/>
      <c r="K78" s="61">
        <f>Table_Household_Alloc[[#This Row],[Unit Entitlement]]/1000</f>
        <v>0</v>
      </c>
      <c r="L78" s="44">
        <f t="shared" si="1"/>
        <v>0</v>
      </c>
      <c r="M78" s="66"/>
      <c r="N78" s="52">
        <f>IF(Table_Household_Alloc[[#This Row],[PV Installed]]="Y",1,0)*Table_Household_Alloc[[#This Row],[Calculated Battery Allocation (kWh)]]</f>
        <v>0</v>
      </c>
      <c r="P78" s="37"/>
      <c r="Q78" s="37"/>
      <c r="R78" s="37"/>
      <c r="S78" s="37"/>
      <c r="U78" s="49"/>
      <c r="X78" s="50"/>
      <c r="Y78" s="51"/>
    </row>
    <row r="79" spans="1:25" s="46" customFormat="1" ht="20" x14ac:dyDescent="0.25">
      <c r="A79" s="55" t="s">
        <v>642</v>
      </c>
      <c r="B79" s="41" t="s">
        <v>644</v>
      </c>
      <c r="C79" s="65"/>
      <c r="D79" s="37"/>
      <c r="E79" s="56"/>
      <c r="F79" s="56"/>
      <c r="G79" s="37"/>
      <c r="H79" s="37"/>
      <c r="I79" s="37"/>
      <c r="J79" s="63"/>
      <c r="K79" s="6">
        <f>Table_Household_Alloc[[#This Row],[Unit Entitlement]]/1000</f>
        <v>0</v>
      </c>
      <c r="L79" s="44"/>
      <c r="M79" s="37"/>
      <c r="N79" s="52">
        <f>IF(Table_Household_Alloc[[#This Row],[PV Installed]]="Y",1,0)*Table_Household_Alloc[[#This Row],[Calculated Battery Allocation (kWh)]]</f>
        <v>0</v>
      </c>
      <c r="T79" s="58"/>
      <c r="U79" s="49"/>
      <c r="V79" s="7"/>
      <c r="X79" s="59"/>
      <c r="Y79" s="51"/>
    </row>
    <row r="80" spans="1:25" s="46" customFormat="1" ht="20" x14ac:dyDescent="0.25">
      <c r="A80" s="64" t="s">
        <v>643</v>
      </c>
      <c r="B80" s="41" t="s">
        <v>644</v>
      </c>
      <c r="C80" s="65"/>
      <c r="D80" s="37"/>
      <c r="E80" s="56"/>
      <c r="F80" s="56"/>
      <c r="G80" s="37"/>
      <c r="H80" s="37"/>
      <c r="I80" s="37"/>
      <c r="J80" s="63"/>
      <c r="K80" s="6">
        <f>Table_Household_Alloc[[#This Row],[Unit Entitlement]]/1000</f>
        <v>0</v>
      </c>
      <c r="L80" s="44"/>
      <c r="M80" s="37"/>
      <c r="N80" s="52">
        <f>IF(Table_Household_Alloc[[#This Row],[PV Installed]]="Y",1,0)*Table_Household_Alloc[[#This Row],[Calculated Battery Allocation (kWh)]]</f>
        <v>0</v>
      </c>
      <c r="T80" s="58"/>
      <c r="U80" s="49"/>
      <c r="V80" s="7"/>
      <c r="X80" s="59"/>
      <c r="Y80" s="51"/>
    </row>
    <row r="81" spans="1:25" s="46" customFormat="1" ht="19" x14ac:dyDescent="0.25">
      <c r="A81" s="40">
        <v>1</v>
      </c>
      <c r="B81" s="41" t="s">
        <v>241</v>
      </c>
      <c r="C81" s="42">
        <v>50002920</v>
      </c>
      <c r="D81" s="37"/>
      <c r="E81" s="37" t="s">
        <v>242</v>
      </c>
      <c r="F81" s="37" t="s">
        <v>243</v>
      </c>
      <c r="G81" s="37" t="s">
        <v>201</v>
      </c>
      <c r="H81" s="37" t="s">
        <v>202</v>
      </c>
      <c r="I81" s="37">
        <v>6286</v>
      </c>
      <c r="J81" s="60">
        <v>40</v>
      </c>
      <c r="K81" s="61">
        <f>Table_Household_Alloc[[#This Row],[Unit Entitlement]]/1000</f>
        <v>0.04</v>
      </c>
      <c r="L81" s="44">
        <f>J81/1000*232</f>
        <v>9.2799999999999994</v>
      </c>
      <c r="M81" s="66"/>
      <c r="N81" s="52">
        <f>IF(Table_Household_Alloc[[#This Row],[PV Installed]]="Y",1,0)*Table_Household_Alloc[[#This Row],[Calculated Battery Allocation (kWh)]]</f>
        <v>0</v>
      </c>
      <c r="P81" s="37"/>
      <c r="Q81" s="37"/>
      <c r="R81" s="37"/>
      <c r="S81" s="37" t="s">
        <v>33</v>
      </c>
      <c r="T81" s="46" t="s">
        <v>244</v>
      </c>
      <c r="U81" s="49" t="s">
        <v>245</v>
      </c>
      <c r="V81" s="46" t="s">
        <v>246</v>
      </c>
      <c r="X81" s="50"/>
      <c r="Y81" s="51"/>
    </row>
    <row r="82" spans="1:25" s="46" customFormat="1" ht="19" x14ac:dyDescent="0.25">
      <c r="A82" s="40">
        <v>2</v>
      </c>
      <c r="B82" s="41" t="s">
        <v>241</v>
      </c>
      <c r="C82" s="65">
        <v>50002903</v>
      </c>
      <c r="D82" s="37"/>
      <c r="E82" s="37" t="s">
        <v>247</v>
      </c>
      <c r="F82" s="37" t="s">
        <v>248</v>
      </c>
      <c r="G82" s="37" t="s">
        <v>201</v>
      </c>
      <c r="H82" s="37" t="s">
        <v>202</v>
      </c>
      <c r="I82" s="37">
        <v>6286</v>
      </c>
      <c r="J82" s="60">
        <v>40</v>
      </c>
      <c r="K82" s="61">
        <f>Table_Household_Alloc[[#This Row],[Unit Entitlement]]/1000</f>
        <v>0.04</v>
      </c>
      <c r="L82" s="44">
        <f t="shared" ref="L82:L154" si="2">J82/1000*232</f>
        <v>9.2799999999999994</v>
      </c>
      <c r="M82" s="66" t="str">
        <f>CONCATENATE("Symo ",Table_Household_Alloc[[#This Row],[Export Capacity (kW)]])</f>
        <v>Symo 8.2</v>
      </c>
      <c r="N82" s="52">
        <f>IF(Table_Household_Alloc[[#This Row],[PV Installed]]="Y",1,0)*Table_Household_Alloc[[#This Row],[Calculated Battery Allocation (kWh)]]</f>
        <v>9.2799999999999994</v>
      </c>
      <c r="O82" s="46">
        <v>8.1999999999999993</v>
      </c>
      <c r="P82" s="37" t="s">
        <v>31</v>
      </c>
      <c r="Q82" s="37" t="s">
        <v>31</v>
      </c>
      <c r="R82" s="37" t="s">
        <v>31</v>
      </c>
      <c r="S82" s="37" t="s">
        <v>44</v>
      </c>
      <c r="T82" s="46" t="s">
        <v>249</v>
      </c>
      <c r="U82" s="49" t="s">
        <v>250</v>
      </c>
      <c r="V82" s="46" t="s">
        <v>251</v>
      </c>
      <c r="X82" s="50">
        <v>44986</v>
      </c>
      <c r="Y82" s="51" t="s">
        <v>37</v>
      </c>
    </row>
    <row r="83" spans="1:25" s="46" customFormat="1" ht="19" x14ac:dyDescent="0.25">
      <c r="A83" s="40">
        <v>3</v>
      </c>
      <c r="B83" s="41" t="s">
        <v>241</v>
      </c>
      <c r="C83" s="42"/>
      <c r="D83" s="37"/>
      <c r="E83" s="37" t="s">
        <v>252</v>
      </c>
      <c r="F83" s="37" t="s">
        <v>253</v>
      </c>
      <c r="G83" s="37" t="s">
        <v>201</v>
      </c>
      <c r="H83" s="37" t="s">
        <v>202</v>
      </c>
      <c r="I83" s="37">
        <v>6286</v>
      </c>
      <c r="J83" s="60">
        <v>40</v>
      </c>
      <c r="K83" s="61">
        <f>Table_Household_Alloc[[#This Row],[Unit Entitlement]]/1000</f>
        <v>0.04</v>
      </c>
      <c r="L83" s="44">
        <f t="shared" si="2"/>
        <v>9.2799999999999994</v>
      </c>
      <c r="M83" s="66"/>
      <c r="N83" s="52">
        <f>IF(Table_Household_Alloc[[#This Row],[PV Installed]]="Y",1,0)*Table_Household_Alloc[[#This Row],[Calculated Battery Allocation (kWh)]]</f>
        <v>0</v>
      </c>
      <c r="P83" s="37"/>
      <c r="Q83" s="37"/>
      <c r="R83" s="37"/>
      <c r="S83" s="37" t="s">
        <v>118</v>
      </c>
      <c r="T83" s="46" t="s">
        <v>254</v>
      </c>
      <c r="U83" s="49"/>
      <c r="V83" s="46" t="s">
        <v>255</v>
      </c>
      <c r="X83" s="50"/>
      <c r="Y83" s="51"/>
    </row>
    <row r="84" spans="1:25" s="46" customFormat="1" ht="19" x14ac:dyDescent="0.25">
      <c r="A84" s="40">
        <v>4</v>
      </c>
      <c r="B84" s="41" t="s">
        <v>241</v>
      </c>
      <c r="C84" s="42"/>
      <c r="D84" s="37"/>
      <c r="E84" s="37" t="s">
        <v>256</v>
      </c>
      <c r="F84" s="37" t="s">
        <v>257</v>
      </c>
      <c r="G84" s="37" t="s">
        <v>201</v>
      </c>
      <c r="H84" s="37" t="s">
        <v>202</v>
      </c>
      <c r="I84" s="37">
        <v>6286</v>
      </c>
      <c r="J84" s="60">
        <v>40</v>
      </c>
      <c r="K84" s="61">
        <f>Table_Household_Alloc[[#This Row],[Unit Entitlement]]/1000</f>
        <v>0.04</v>
      </c>
      <c r="L84" s="44">
        <f t="shared" si="2"/>
        <v>9.2799999999999994</v>
      </c>
      <c r="M84" s="66"/>
      <c r="N84" s="52">
        <f>IF(Table_Household_Alloc[[#This Row],[PV Installed]]="Y",1,0)*Table_Household_Alloc[[#This Row],[Calculated Battery Allocation (kWh)]]</f>
        <v>0</v>
      </c>
      <c r="P84" s="37"/>
      <c r="Q84" s="37"/>
      <c r="R84" s="37"/>
      <c r="S84" s="37" t="s">
        <v>118</v>
      </c>
      <c r="T84" s="46" t="s">
        <v>258</v>
      </c>
      <c r="U84" s="49"/>
      <c r="V84" s="46" t="s">
        <v>259</v>
      </c>
      <c r="X84" s="50"/>
      <c r="Y84" s="51"/>
    </row>
    <row r="85" spans="1:25" s="46" customFormat="1" ht="19" x14ac:dyDescent="0.25">
      <c r="A85" s="40">
        <v>5</v>
      </c>
      <c r="B85" s="41" t="s">
        <v>241</v>
      </c>
      <c r="C85" s="65">
        <v>50002911</v>
      </c>
      <c r="D85" s="37"/>
      <c r="E85" s="37" t="s">
        <v>260</v>
      </c>
      <c r="F85" s="37" t="s">
        <v>261</v>
      </c>
      <c r="G85" s="37" t="s">
        <v>201</v>
      </c>
      <c r="H85" s="37" t="s">
        <v>202</v>
      </c>
      <c r="I85" s="37">
        <v>6286</v>
      </c>
      <c r="J85" s="60">
        <v>42</v>
      </c>
      <c r="K85" s="61">
        <f>Table_Household_Alloc[[#This Row],[Unit Entitlement]]/1000</f>
        <v>4.2000000000000003E-2</v>
      </c>
      <c r="L85" s="44">
        <f t="shared" si="2"/>
        <v>9.7439999999999998</v>
      </c>
      <c r="M85" s="66" t="str">
        <f>CONCATENATE("Symo ",Table_Household_Alloc[[#This Row],[Export Capacity (kW)]])</f>
        <v>Symo 8.2</v>
      </c>
      <c r="N85" s="52">
        <f>IF(Table_Household_Alloc[[#This Row],[PV Installed]]="Y",1,0)*Table_Household_Alloc[[#This Row],[Calculated Battery Allocation (kWh)]]</f>
        <v>9.7439999999999998</v>
      </c>
      <c r="O85" s="46">
        <v>8.1999999999999993</v>
      </c>
      <c r="P85" s="37" t="s">
        <v>31</v>
      </c>
      <c r="Q85" s="37" t="s">
        <v>31</v>
      </c>
      <c r="R85" s="37" t="s">
        <v>31</v>
      </c>
      <c r="S85" s="37" t="s">
        <v>44</v>
      </c>
      <c r="T85" s="46" t="s">
        <v>262</v>
      </c>
      <c r="U85" s="49" t="s">
        <v>263</v>
      </c>
      <c r="V85" s="46" t="s">
        <v>264</v>
      </c>
      <c r="X85" s="50">
        <v>45108</v>
      </c>
      <c r="Y85" s="51" t="s">
        <v>37</v>
      </c>
    </row>
    <row r="86" spans="1:25" s="46" customFormat="1" ht="19" x14ac:dyDescent="0.25">
      <c r="A86" s="40">
        <v>6</v>
      </c>
      <c r="B86" s="41" t="s">
        <v>241</v>
      </c>
      <c r="C86" s="42"/>
      <c r="D86" s="37"/>
      <c r="E86" s="37" t="s">
        <v>265</v>
      </c>
      <c r="F86" s="37" t="s">
        <v>266</v>
      </c>
      <c r="G86" s="37" t="s">
        <v>201</v>
      </c>
      <c r="H86" s="37" t="s">
        <v>202</v>
      </c>
      <c r="I86" s="37">
        <v>6286</v>
      </c>
      <c r="J86" s="60">
        <v>41</v>
      </c>
      <c r="K86" s="61">
        <f>Table_Household_Alloc[[#This Row],[Unit Entitlement]]/1000</f>
        <v>4.1000000000000002E-2</v>
      </c>
      <c r="L86" s="44">
        <f t="shared" si="2"/>
        <v>9.5120000000000005</v>
      </c>
      <c r="M86" s="66"/>
      <c r="N86" s="52">
        <f>IF(Table_Household_Alloc[[#This Row],[PV Installed]]="Y",1,0)*Table_Household_Alloc[[#This Row],[Calculated Battery Allocation (kWh)]]</f>
        <v>0</v>
      </c>
      <c r="P86" s="37"/>
      <c r="Q86" s="37"/>
      <c r="R86" s="37"/>
      <c r="S86" s="37" t="s">
        <v>118</v>
      </c>
      <c r="T86" s="46" t="s">
        <v>267</v>
      </c>
      <c r="U86" s="49"/>
      <c r="V86" s="46" t="s">
        <v>268</v>
      </c>
      <c r="X86" s="50"/>
      <c r="Y86" s="51"/>
    </row>
    <row r="87" spans="1:25" s="46" customFormat="1" ht="19" x14ac:dyDescent="0.25">
      <c r="A87" s="40">
        <v>7</v>
      </c>
      <c r="B87" s="41" t="s">
        <v>241</v>
      </c>
      <c r="C87" s="42"/>
      <c r="D87" s="37"/>
      <c r="E87" s="37" t="s">
        <v>269</v>
      </c>
      <c r="F87" s="37" t="s">
        <v>270</v>
      </c>
      <c r="G87" s="37" t="s">
        <v>201</v>
      </c>
      <c r="H87" s="37" t="s">
        <v>202</v>
      </c>
      <c r="I87" s="37">
        <v>6286</v>
      </c>
      <c r="J87" s="60">
        <v>40</v>
      </c>
      <c r="K87" s="61">
        <f>Table_Household_Alloc[[#This Row],[Unit Entitlement]]/1000</f>
        <v>0.04</v>
      </c>
      <c r="L87" s="44">
        <f t="shared" si="2"/>
        <v>9.2799999999999994</v>
      </c>
      <c r="M87" s="66"/>
      <c r="N87" s="52">
        <f>IF(Table_Household_Alloc[[#This Row],[PV Installed]]="Y",1,0)*Table_Household_Alloc[[#This Row],[Calculated Battery Allocation (kWh)]]</f>
        <v>0</v>
      </c>
      <c r="P87" s="37"/>
      <c r="Q87" s="37"/>
      <c r="R87" s="37"/>
      <c r="S87" s="37" t="s">
        <v>118</v>
      </c>
      <c r="T87" s="46" t="s">
        <v>271</v>
      </c>
      <c r="U87" s="49" t="s">
        <v>272</v>
      </c>
      <c r="V87" s="46" t="s">
        <v>273</v>
      </c>
      <c r="X87" s="50"/>
      <c r="Y87" s="51"/>
    </row>
    <row r="88" spans="1:25" s="46" customFormat="1" ht="19" x14ac:dyDescent="0.25">
      <c r="A88" s="40">
        <v>8</v>
      </c>
      <c r="B88" s="41" t="s">
        <v>241</v>
      </c>
      <c r="C88" s="42"/>
      <c r="D88" s="37"/>
      <c r="E88" s="37" t="s">
        <v>274</v>
      </c>
      <c r="F88" s="37" t="s">
        <v>275</v>
      </c>
      <c r="G88" s="37" t="s">
        <v>201</v>
      </c>
      <c r="H88" s="37" t="s">
        <v>202</v>
      </c>
      <c r="I88" s="37">
        <v>6286</v>
      </c>
      <c r="J88" s="60">
        <v>39</v>
      </c>
      <c r="K88" s="61">
        <f>Table_Household_Alloc[[#This Row],[Unit Entitlement]]/1000</f>
        <v>3.9E-2</v>
      </c>
      <c r="L88" s="44">
        <f t="shared" si="2"/>
        <v>9.048</v>
      </c>
      <c r="M88" s="66"/>
      <c r="N88" s="52">
        <f>IF(Table_Household_Alloc[[#This Row],[PV Installed]]="Y",1,0)*Table_Household_Alloc[[#This Row],[Calculated Battery Allocation (kWh)]]</f>
        <v>0</v>
      </c>
      <c r="P88" s="37"/>
      <c r="Q88" s="37"/>
      <c r="R88" s="37"/>
      <c r="S88" s="37" t="s">
        <v>118</v>
      </c>
      <c r="T88" s="46" t="s">
        <v>276</v>
      </c>
      <c r="U88" s="49"/>
      <c r="V88" s="46" t="s">
        <v>277</v>
      </c>
      <c r="X88" s="50"/>
      <c r="Y88" s="51"/>
    </row>
    <row r="89" spans="1:25" s="46" customFormat="1" ht="19" x14ac:dyDescent="0.25">
      <c r="A89" s="40">
        <v>9</v>
      </c>
      <c r="B89" s="41" t="s">
        <v>241</v>
      </c>
      <c r="C89" s="42">
        <v>50002909</v>
      </c>
      <c r="D89" s="37"/>
      <c r="E89" s="37" t="s">
        <v>278</v>
      </c>
      <c r="F89" s="37" t="s">
        <v>279</v>
      </c>
      <c r="G89" s="37" t="s">
        <v>201</v>
      </c>
      <c r="H89" s="37" t="s">
        <v>202</v>
      </c>
      <c r="I89" s="37">
        <v>6286</v>
      </c>
      <c r="J89" s="60">
        <v>54</v>
      </c>
      <c r="K89" s="61">
        <f>Table_Household_Alloc[[#This Row],[Unit Entitlement]]/1000</f>
        <v>5.3999999999999999E-2</v>
      </c>
      <c r="L89" s="44">
        <f t="shared" si="2"/>
        <v>12.528</v>
      </c>
      <c r="M89" s="66"/>
      <c r="N89" s="52">
        <f>IF(Table_Household_Alloc[[#This Row],[PV Installed]]="Y",1,0)*Table_Household_Alloc[[#This Row],[Calculated Battery Allocation (kWh)]]</f>
        <v>0</v>
      </c>
      <c r="P89" s="37"/>
      <c r="Q89" s="37"/>
      <c r="R89" s="37"/>
      <c r="S89" s="37" t="s">
        <v>44</v>
      </c>
      <c r="T89" s="46" t="s">
        <v>280</v>
      </c>
      <c r="U89" s="49" t="s">
        <v>281</v>
      </c>
      <c r="V89" s="46" t="s">
        <v>282</v>
      </c>
      <c r="X89" s="50">
        <v>45139</v>
      </c>
      <c r="Y89" s="51" t="s">
        <v>37</v>
      </c>
    </row>
    <row r="90" spans="1:25" s="46" customFormat="1" ht="19" x14ac:dyDescent="0.25">
      <c r="A90" s="40">
        <v>10</v>
      </c>
      <c r="B90" s="41" t="s">
        <v>241</v>
      </c>
      <c r="C90" s="42"/>
      <c r="D90" s="37"/>
      <c r="E90" s="37" t="s">
        <v>283</v>
      </c>
      <c r="F90" s="37" t="s">
        <v>284</v>
      </c>
      <c r="G90" s="37" t="s">
        <v>201</v>
      </c>
      <c r="H90" s="37" t="s">
        <v>202</v>
      </c>
      <c r="I90" s="37">
        <v>6286</v>
      </c>
      <c r="J90" s="60">
        <v>54</v>
      </c>
      <c r="K90" s="61">
        <f>Table_Household_Alloc[[#This Row],[Unit Entitlement]]/1000</f>
        <v>5.3999999999999999E-2</v>
      </c>
      <c r="L90" s="44">
        <f t="shared" si="2"/>
        <v>12.528</v>
      </c>
      <c r="M90" s="66"/>
      <c r="N90" s="52">
        <f>IF(Table_Household_Alloc[[#This Row],[PV Installed]]="Y",1,0)*Table_Household_Alloc[[#This Row],[Calculated Battery Allocation (kWh)]]</f>
        <v>0</v>
      </c>
      <c r="P90" s="37"/>
      <c r="Q90" s="37"/>
      <c r="R90" s="37"/>
      <c r="S90" s="37" t="s">
        <v>118</v>
      </c>
      <c r="T90" s="46" t="s">
        <v>285</v>
      </c>
      <c r="U90" s="49" t="s">
        <v>286</v>
      </c>
      <c r="V90" s="46" t="s">
        <v>287</v>
      </c>
      <c r="X90" s="50"/>
      <c r="Y90" s="51"/>
    </row>
    <row r="91" spans="1:25" s="46" customFormat="1" ht="19" x14ac:dyDescent="0.25">
      <c r="A91" s="40">
        <v>11</v>
      </c>
      <c r="B91" s="41" t="s">
        <v>241</v>
      </c>
      <c r="C91" s="42"/>
      <c r="D91" s="37"/>
      <c r="E91" s="37" t="s">
        <v>288</v>
      </c>
      <c r="F91" s="37" t="s">
        <v>289</v>
      </c>
      <c r="G91" s="37" t="s">
        <v>201</v>
      </c>
      <c r="H91" s="37" t="s">
        <v>202</v>
      </c>
      <c r="I91" s="37">
        <v>6286</v>
      </c>
      <c r="J91" s="60">
        <v>54</v>
      </c>
      <c r="K91" s="61">
        <f>Table_Household_Alloc[[#This Row],[Unit Entitlement]]/1000</f>
        <v>5.3999999999999999E-2</v>
      </c>
      <c r="L91" s="44">
        <f t="shared" si="2"/>
        <v>12.528</v>
      </c>
      <c r="M91" s="66"/>
      <c r="N91" s="52">
        <f>IF(Table_Household_Alloc[[#This Row],[PV Installed]]="Y",1,0)*Table_Household_Alloc[[#This Row],[Calculated Battery Allocation (kWh)]]</f>
        <v>0</v>
      </c>
      <c r="P91" s="37"/>
      <c r="Q91" s="37"/>
      <c r="R91" s="37"/>
      <c r="S91" s="37" t="s">
        <v>118</v>
      </c>
      <c r="T91" s="46" t="s">
        <v>290</v>
      </c>
      <c r="U91" s="49"/>
      <c r="V91" s="46" t="s">
        <v>291</v>
      </c>
      <c r="X91" s="50"/>
      <c r="Y91" s="51"/>
    </row>
    <row r="92" spans="1:25" s="46" customFormat="1" ht="19" x14ac:dyDescent="0.25">
      <c r="A92" s="40">
        <v>12</v>
      </c>
      <c r="B92" s="41" t="s">
        <v>241</v>
      </c>
      <c r="C92" s="65">
        <v>50002897</v>
      </c>
      <c r="D92" s="37"/>
      <c r="E92" s="37" t="s">
        <v>292</v>
      </c>
      <c r="F92" s="37" t="s">
        <v>293</v>
      </c>
      <c r="G92" s="37" t="s">
        <v>201</v>
      </c>
      <c r="H92" s="37" t="s">
        <v>202</v>
      </c>
      <c r="I92" s="37">
        <v>6286</v>
      </c>
      <c r="J92" s="60">
        <v>54</v>
      </c>
      <c r="K92" s="61">
        <f>Table_Household_Alloc[[#This Row],[Unit Entitlement]]/1000</f>
        <v>5.3999999999999999E-2</v>
      </c>
      <c r="L92" s="44">
        <f t="shared" si="2"/>
        <v>12.528</v>
      </c>
      <c r="M92" s="66" t="str">
        <f>CONCATENATE("Symo ",Table_Household_Alloc[[#This Row],[Export Capacity (kW)]])</f>
        <v>Symo 10</v>
      </c>
      <c r="N92" s="52">
        <f>IF(Table_Household_Alloc[[#This Row],[PV Installed]]="Y",1,0)*Table_Household_Alloc[[#This Row],[Calculated Battery Allocation (kWh)]]</f>
        <v>12.528</v>
      </c>
      <c r="O92" s="46">
        <v>10</v>
      </c>
      <c r="P92" s="37" t="s">
        <v>31</v>
      </c>
      <c r="Q92" s="37" t="s">
        <v>31</v>
      </c>
      <c r="R92" s="37" t="s">
        <v>31</v>
      </c>
      <c r="S92" s="37" t="s">
        <v>44</v>
      </c>
      <c r="T92" s="46" t="s">
        <v>294</v>
      </c>
      <c r="U92" s="49" t="s">
        <v>295</v>
      </c>
      <c r="V92" s="46" t="s">
        <v>296</v>
      </c>
      <c r="X92" s="50">
        <v>45078</v>
      </c>
      <c r="Y92" s="51" t="s">
        <v>37</v>
      </c>
    </row>
    <row r="93" spans="1:25" s="46" customFormat="1" ht="19" x14ac:dyDescent="0.25">
      <c r="A93" s="40">
        <v>13</v>
      </c>
      <c r="B93" s="41" t="s">
        <v>241</v>
      </c>
      <c r="C93" s="65">
        <v>50002839</v>
      </c>
      <c r="D93" s="37"/>
      <c r="E93" s="37" t="s">
        <v>297</v>
      </c>
      <c r="F93" s="37" t="s">
        <v>298</v>
      </c>
      <c r="G93" s="37" t="s">
        <v>201</v>
      </c>
      <c r="H93" s="37" t="s">
        <v>202</v>
      </c>
      <c r="I93" s="37">
        <v>6286</v>
      </c>
      <c r="J93" s="60">
        <v>56</v>
      </c>
      <c r="K93" s="61">
        <f>Table_Household_Alloc[[#This Row],[Unit Entitlement]]/1000</f>
        <v>5.6000000000000001E-2</v>
      </c>
      <c r="L93" s="44">
        <f t="shared" si="2"/>
        <v>12.992000000000001</v>
      </c>
      <c r="M93" s="66"/>
      <c r="N93" s="52">
        <f>IF(Table_Household_Alloc[[#This Row],[PV Installed]]="Y",1,0)*Table_Household_Alloc[[#This Row],[Calculated Battery Allocation (kWh)]]</f>
        <v>0</v>
      </c>
      <c r="P93" s="37" t="s">
        <v>31</v>
      </c>
      <c r="Q93" s="37"/>
      <c r="R93" s="37" t="s">
        <v>31</v>
      </c>
      <c r="S93" s="37" t="s">
        <v>44</v>
      </c>
      <c r="T93" s="46" t="s">
        <v>299</v>
      </c>
      <c r="U93" s="49" t="s">
        <v>300</v>
      </c>
      <c r="V93" s="46" t="s">
        <v>301</v>
      </c>
      <c r="X93" s="50">
        <v>45261</v>
      </c>
      <c r="Y93" s="51" t="s">
        <v>37</v>
      </c>
    </row>
    <row r="94" spans="1:25" s="46" customFormat="1" ht="19" x14ac:dyDescent="0.25">
      <c r="A94" s="40">
        <v>14</v>
      </c>
      <c r="B94" s="41" t="s">
        <v>241</v>
      </c>
      <c r="C94" s="84">
        <v>50002863</v>
      </c>
      <c r="D94" s="37"/>
      <c r="E94" s="37" t="s">
        <v>302</v>
      </c>
      <c r="F94" s="37" t="s">
        <v>303</v>
      </c>
      <c r="G94" s="37" t="s">
        <v>201</v>
      </c>
      <c r="H94" s="37" t="s">
        <v>202</v>
      </c>
      <c r="I94" s="37">
        <v>6286</v>
      </c>
      <c r="J94" s="60">
        <v>28</v>
      </c>
      <c r="K94" s="61">
        <f>Table_Household_Alloc[[#This Row],[Unit Entitlement]]/1000</f>
        <v>2.8000000000000001E-2</v>
      </c>
      <c r="L94" s="44">
        <f t="shared" si="2"/>
        <v>6.4960000000000004</v>
      </c>
      <c r="M94" s="66" t="str">
        <f>CONCATENATE("Symo ",Table_Household_Alloc[[#This Row],[Export Capacity (kW)]])</f>
        <v>Symo 5</v>
      </c>
      <c r="N94" s="52">
        <f>IF(Table_Household_Alloc[[#This Row],[PV Installed]]="Y",1,0)*Table_Household_Alloc[[#This Row],[Calculated Battery Allocation (kWh)]]</f>
        <v>6.4960000000000004</v>
      </c>
      <c r="O94" s="46">
        <v>5</v>
      </c>
      <c r="P94" s="37" t="s">
        <v>31</v>
      </c>
      <c r="Q94" s="37" t="s">
        <v>31</v>
      </c>
      <c r="R94" s="37" t="s">
        <v>31</v>
      </c>
      <c r="S94" s="37" t="s">
        <v>44</v>
      </c>
      <c r="T94" s="46" t="s">
        <v>304</v>
      </c>
      <c r="U94" s="49" t="s">
        <v>305</v>
      </c>
      <c r="V94" s="46" t="s">
        <v>306</v>
      </c>
      <c r="X94" s="50">
        <v>45536</v>
      </c>
      <c r="Y94" s="51" t="s">
        <v>37</v>
      </c>
    </row>
    <row r="95" spans="1:25" s="46" customFormat="1" ht="19" x14ac:dyDescent="0.25">
      <c r="A95" s="40">
        <v>15</v>
      </c>
      <c r="B95" s="41" t="s">
        <v>241</v>
      </c>
      <c r="C95" s="65">
        <v>50002947</v>
      </c>
      <c r="D95" s="37"/>
      <c r="E95" s="37" t="s">
        <v>307</v>
      </c>
      <c r="F95" s="37" t="s">
        <v>308</v>
      </c>
      <c r="G95" s="37" t="s">
        <v>201</v>
      </c>
      <c r="H95" s="37" t="s">
        <v>202</v>
      </c>
      <c r="I95" s="37">
        <v>6286</v>
      </c>
      <c r="J95" s="60">
        <v>28</v>
      </c>
      <c r="K95" s="61">
        <f>Table_Household_Alloc[[#This Row],[Unit Entitlement]]/1000</f>
        <v>2.8000000000000001E-2</v>
      </c>
      <c r="L95" s="44">
        <f t="shared" si="2"/>
        <v>6.4960000000000004</v>
      </c>
      <c r="M95" s="66" t="str">
        <f>CONCATENATE("Symo ",Table_Household_Alloc[[#This Row],[Export Capacity (kW)]])</f>
        <v>Symo 5</v>
      </c>
      <c r="N95" s="52">
        <f>IF(Table_Household_Alloc[[#This Row],[PV Installed]]="Y",1,0)*Table_Household_Alloc[[#This Row],[Calculated Battery Allocation (kWh)]]</f>
        <v>6.4960000000000004</v>
      </c>
      <c r="O95" s="46">
        <v>5</v>
      </c>
      <c r="P95" s="37" t="s">
        <v>31</v>
      </c>
      <c r="Q95" s="37" t="s">
        <v>31</v>
      </c>
      <c r="R95" s="37" t="s">
        <v>31</v>
      </c>
      <c r="S95" s="37" t="s">
        <v>44</v>
      </c>
      <c r="T95" s="46" t="s">
        <v>309</v>
      </c>
      <c r="U95" s="49"/>
      <c r="V95" s="46" t="s">
        <v>310</v>
      </c>
      <c r="X95" s="50">
        <v>45413</v>
      </c>
      <c r="Y95" s="51" t="s">
        <v>37</v>
      </c>
    </row>
    <row r="96" spans="1:25" s="46" customFormat="1" ht="19" x14ac:dyDescent="0.25">
      <c r="A96" s="40">
        <v>16</v>
      </c>
      <c r="B96" s="41" t="s">
        <v>241</v>
      </c>
      <c r="C96" s="42"/>
      <c r="D96" s="37"/>
      <c r="E96" s="37" t="s">
        <v>311</v>
      </c>
      <c r="F96" s="37" t="s">
        <v>312</v>
      </c>
      <c r="G96" s="37" t="s">
        <v>201</v>
      </c>
      <c r="H96" s="37" t="s">
        <v>202</v>
      </c>
      <c r="I96" s="37">
        <v>6286</v>
      </c>
      <c r="J96" s="60">
        <v>28</v>
      </c>
      <c r="K96" s="61">
        <f>Table_Household_Alloc[[#This Row],[Unit Entitlement]]/1000</f>
        <v>2.8000000000000001E-2</v>
      </c>
      <c r="L96" s="44">
        <f t="shared" si="2"/>
        <v>6.4960000000000004</v>
      </c>
      <c r="M96" s="66"/>
      <c r="N96" s="52">
        <f>IF(Table_Household_Alloc[[#This Row],[PV Installed]]="Y",1,0)*Table_Household_Alloc[[#This Row],[Calculated Battery Allocation (kWh)]]</f>
        <v>0</v>
      </c>
      <c r="P96" s="37"/>
      <c r="Q96" s="37"/>
      <c r="R96" s="37"/>
      <c r="S96" s="37" t="s">
        <v>118</v>
      </c>
      <c r="T96" s="46" t="s">
        <v>313</v>
      </c>
      <c r="U96" s="49"/>
      <c r="V96" s="46" t="s">
        <v>314</v>
      </c>
      <c r="X96" s="50"/>
      <c r="Y96" s="51"/>
    </row>
    <row r="97" spans="1:25" s="46" customFormat="1" ht="19" x14ac:dyDescent="0.25">
      <c r="A97" s="40">
        <v>17</v>
      </c>
      <c r="B97" s="41" t="s">
        <v>241</v>
      </c>
      <c r="C97" s="65">
        <v>50002902</v>
      </c>
      <c r="D97" s="37"/>
      <c r="E97" s="37" t="s">
        <v>315</v>
      </c>
      <c r="F97" s="37" t="s">
        <v>316</v>
      </c>
      <c r="G97" s="37" t="s">
        <v>201</v>
      </c>
      <c r="H97" s="37" t="s">
        <v>202</v>
      </c>
      <c r="I97" s="37">
        <v>6286</v>
      </c>
      <c r="J97" s="60">
        <v>28</v>
      </c>
      <c r="K97" s="61">
        <f>Table_Household_Alloc[[#This Row],[Unit Entitlement]]/1000</f>
        <v>2.8000000000000001E-2</v>
      </c>
      <c r="L97" s="44">
        <f t="shared" si="2"/>
        <v>6.4960000000000004</v>
      </c>
      <c r="M97" s="66" t="str">
        <f>CONCATENATE("Symo ",Table_Household_Alloc[[#This Row],[Export Capacity (kW)]])</f>
        <v>Symo 5</v>
      </c>
      <c r="N97" s="52">
        <f>IF(Table_Household_Alloc[[#This Row],[PV Installed]]="Y",1,0)*Table_Household_Alloc[[#This Row],[Calculated Battery Allocation (kWh)]]</f>
        <v>6.4960000000000004</v>
      </c>
      <c r="O97" s="46">
        <v>5</v>
      </c>
      <c r="P97" s="37" t="s">
        <v>31</v>
      </c>
      <c r="Q97" s="37" t="s">
        <v>31</v>
      </c>
      <c r="R97" s="37" t="s">
        <v>31</v>
      </c>
      <c r="S97" s="37" t="s">
        <v>44</v>
      </c>
      <c r="T97" s="46" t="s">
        <v>317</v>
      </c>
      <c r="U97" s="49"/>
      <c r="V97" s="46" t="s">
        <v>318</v>
      </c>
      <c r="X97" s="50">
        <v>45536</v>
      </c>
      <c r="Y97" s="51" t="s">
        <v>37</v>
      </c>
    </row>
    <row r="98" spans="1:25" s="46" customFormat="1" ht="19" x14ac:dyDescent="0.25">
      <c r="A98" s="40">
        <v>18</v>
      </c>
      <c r="B98" s="41" t="s">
        <v>241</v>
      </c>
      <c r="C98" s="65">
        <v>50002950</v>
      </c>
      <c r="D98" s="37"/>
      <c r="E98" s="37" t="s">
        <v>319</v>
      </c>
      <c r="F98" s="37" t="s">
        <v>320</v>
      </c>
      <c r="G98" s="37" t="s">
        <v>201</v>
      </c>
      <c r="H98" s="37" t="s">
        <v>202</v>
      </c>
      <c r="I98" s="37">
        <v>6286</v>
      </c>
      <c r="J98" s="60">
        <v>28</v>
      </c>
      <c r="K98" s="61">
        <f>Table_Household_Alloc[[#This Row],[Unit Entitlement]]/1000</f>
        <v>2.8000000000000001E-2</v>
      </c>
      <c r="L98" s="44">
        <f t="shared" si="2"/>
        <v>6.4960000000000004</v>
      </c>
      <c r="M98" s="66" t="str">
        <f>CONCATENATE("Symo ",Table_Household_Alloc[[#This Row],[Export Capacity (kW)]])</f>
        <v>Symo 5</v>
      </c>
      <c r="N98" s="52">
        <f>IF(Table_Household_Alloc[[#This Row],[PV Installed]]="Y",1,0)*Table_Household_Alloc[[#This Row],[Calculated Battery Allocation (kWh)]]</f>
        <v>6.4960000000000004</v>
      </c>
      <c r="O98" s="46">
        <v>5</v>
      </c>
      <c r="P98" s="37" t="s">
        <v>31</v>
      </c>
      <c r="Q98" s="37" t="s">
        <v>31</v>
      </c>
      <c r="R98" s="37" t="s">
        <v>31</v>
      </c>
      <c r="S98" s="37" t="s">
        <v>44</v>
      </c>
      <c r="T98" s="46" t="s">
        <v>321</v>
      </c>
      <c r="U98" s="49" t="s">
        <v>322</v>
      </c>
      <c r="V98" s="46" t="s">
        <v>323</v>
      </c>
      <c r="X98" s="50">
        <v>45536</v>
      </c>
      <c r="Y98" s="51" t="s">
        <v>37</v>
      </c>
    </row>
    <row r="99" spans="1:25" s="46" customFormat="1" ht="19" x14ac:dyDescent="0.25">
      <c r="A99" s="40">
        <v>19</v>
      </c>
      <c r="B99" s="41" t="s">
        <v>241</v>
      </c>
      <c r="C99" s="65">
        <v>50002936</v>
      </c>
      <c r="D99" s="37"/>
      <c r="E99" s="37" t="s">
        <v>324</v>
      </c>
      <c r="F99" s="37" t="s">
        <v>325</v>
      </c>
      <c r="G99" s="37" t="s">
        <v>201</v>
      </c>
      <c r="H99" s="37" t="s">
        <v>202</v>
      </c>
      <c r="I99" s="37">
        <v>6286</v>
      </c>
      <c r="J99" s="60">
        <v>30</v>
      </c>
      <c r="K99" s="61">
        <f>Table_Household_Alloc[[#This Row],[Unit Entitlement]]/1000</f>
        <v>0.03</v>
      </c>
      <c r="L99" s="44">
        <f t="shared" si="2"/>
        <v>6.96</v>
      </c>
      <c r="M99" s="66" t="str">
        <f>CONCATENATE("Symo ",Table_Household_Alloc[[#This Row],[Export Capacity (kW)]])</f>
        <v>Symo 5</v>
      </c>
      <c r="N99" s="52">
        <f>IF(Table_Household_Alloc[[#This Row],[PV Installed]]="Y",1,0)*Table_Household_Alloc[[#This Row],[Calculated Battery Allocation (kWh)]]</f>
        <v>6.96</v>
      </c>
      <c r="O99" s="46">
        <v>5</v>
      </c>
      <c r="P99" s="37" t="s">
        <v>31</v>
      </c>
      <c r="Q99" s="37" t="s">
        <v>31</v>
      </c>
      <c r="R99" s="37" t="s">
        <v>31</v>
      </c>
      <c r="S99" s="37" t="s">
        <v>44</v>
      </c>
      <c r="T99" s="46" t="s">
        <v>326</v>
      </c>
      <c r="U99" s="49"/>
      <c r="V99" s="46" t="s">
        <v>327</v>
      </c>
      <c r="X99" s="50">
        <v>45505</v>
      </c>
      <c r="Y99" s="51" t="s">
        <v>37</v>
      </c>
    </row>
    <row r="100" spans="1:25" s="46" customFormat="1" ht="19" x14ac:dyDescent="0.25">
      <c r="A100" s="40">
        <v>20</v>
      </c>
      <c r="B100" s="41" t="s">
        <v>241</v>
      </c>
      <c r="C100" s="42"/>
      <c r="D100" s="37"/>
      <c r="E100" s="37" t="s">
        <v>328</v>
      </c>
      <c r="F100" s="37" t="s">
        <v>329</v>
      </c>
      <c r="G100" s="37" t="s">
        <v>201</v>
      </c>
      <c r="H100" s="37" t="s">
        <v>202</v>
      </c>
      <c r="I100" s="37">
        <v>6286</v>
      </c>
      <c r="J100" s="60">
        <v>59</v>
      </c>
      <c r="K100" s="61">
        <f>Table_Household_Alloc[[#This Row],[Unit Entitlement]]/1000</f>
        <v>5.8999999999999997E-2</v>
      </c>
      <c r="L100" s="44">
        <f t="shared" si="2"/>
        <v>13.687999999999999</v>
      </c>
      <c r="M100" s="66"/>
      <c r="N100" s="52">
        <f>IF(Table_Household_Alloc[[#This Row],[PV Installed]]="Y",1,0)*Table_Household_Alloc[[#This Row],[Calculated Battery Allocation (kWh)]]</f>
        <v>0</v>
      </c>
      <c r="P100" s="37"/>
      <c r="Q100" s="37"/>
      <c r="R100" s="37"/>
      <c r="S100" s="37" t="s">
        <v>118</v>
      </c>
      <c r="T100" s="46" t="s">
        <v>330</v>
      </c>
      <c r="U100" s="49"/>
      <c r="V100" s="46" t="s">
        <v>331</v>
      </c>
      <c r="X100" s="50"/>
      <c r="Y100" s="51"/>
    </row>
    <row r="101" spans="1:25" s="46" customFormat="1" ht="19" x14ac:dyDescent="0.25">
      <c r="A101" s="40">
        <v>21</v>
      </c>
      <c r="B101" s="41" t="s">
        <v>241</v>
      </c>
      <c r="C101" s="65">
        <v>50002922</v>
      </c>
      <c r="D101" s="37"/>
      <c r="E101" s="37" t="s">
        <v>332</v>
      </c>
      <c r="F101" s="37" t="s">
        <v>333</v>
      </c>
      <c r="G101" s="37" t="s">
        <v>201</v>
      </c>
      <c r="H101" s="37" t="s">
        <v>202</v>
      </c>
      <c r="I101" s="37">
        <v>6286</v>
      </c>
      <c r="J101" s="60">
        <v>59</v>
      </c>
      <c r="K101" s="61">
        <f>Table_Household_Alloc[[#This Row],[Unit Entitlement]]/1000</f>
        <v>5.8999999999999997E-2</v>
      </c>
      <c r="L101" s="44">
        <f t="shared" si="2"/>
        <v>13.687999999999999</v>
      </c>
      <c r="M101" s="66" t="str">
        <f>CONCATENATE("Symo ",Table_Household_Alloc[[#This Row],[Export Capacity (kW)]])</f>
        <v>Symo 10</v>
      </c>
      <c r="N101" s="52">
        <f>IF(Table_Household_Alloc[[#This Row],[PV Installed]]="Y",1,0)*Table_Household_Alloc[[#This Row],[Calculated Battery Allocation (kWh)]]</f>
        <v>13.687999999999999</v>
      </c>
      <c r="O101" s="46">
        <v>10</v>
      </c>
      <c r="P101" s="37" t="s">
        <v>31</v>
      </c>
      <c r="Q101" s="37" t="s">
        <v>31</v>
      </c>
      <c r="R101" s="37" t="s">
        <v>31</v>
      </c>
      <c r="S101" s="37" t="s">
        <v>44</v>
      </c>
      <c r="T101" s="46" t="s">
        <v>334</v>
      </c>
      <c r="U101" s="49" t="s">
        <v>335</v>
      </c>
      <c r="V101" s="46" t="s">
        <v>336</v>
      </c>
      <c r="X101" s="50">
        <v>44896</v>
      </c>
      <c r="Y101" s="51" t="s">
        <v>37</v>
      </c>
    </row>
    <row r="102" spans="1:25" s="46" customFormat="1" ht="19" x14ac:dyDescent="0.25">
      <c r="A102" s="40">
        <v>22</v>
      </c>
      <c r="B102" s="41" t="s">
        <v>241</v>
      </c>
      <c r="C102" s="42"/>
      <c r="D102" s="37"/>
      <c r="E102" s="37" t="s">
        <v>337</v>
      </c>
      <c r="F102" s="37" t="s">
        <v>338</v>
      </c>
      <c r="G102" s="37" t="s">
        <v>201</v>
      </c>
      <c r="H102" s="37" t="s">
        <v>202</v>
      </c>
      <c r="I102" s="37">
        <v>6286</v>
      </c>
      <c r="J102" s="60">
        <v>59</v>
      </c>
      <c r="K102" s="61">
        <f>Table_Household_Alloc[[#This Row],[Unit Entitlement]]/1000</f>
        <v>5.8999999999999997E-2</v>
      </c>
      <c r="L102" s="44">
        <f t="shared" si="2"/>
        <v>13.687999999999999</v>
      </c>
      <c r="M102" s="66"/>
      <c r="N102" s="52">
        <f>IF(Table_Household_Alloc[[#This Row],[PV Installed]]="Y",1,0)*Table_Household_Alloc[[#This Row],[Calculated Battery Allocation (kWh)]]</f>
        <v>0</v>
      </c>
      <c r="P102" s="37"/>
      <c r="Q102" s="37"/>
      <c r="R102" s="37"/>
      <c r="S102" s="37" t="s">
        <v>118</v>
      </c>
      <c r="T102" s="46" t="s">
        <v>339</v>
      </c>
      <c r="U102" s="49"/>
      <c r="V102" s="46" t="s">
        <v>340</v>
      </c>
      <c r="X102" s="50"/>
      <c r="Y102" s="51"/>
    </row>
    <row r="103" spans="1:25" s="46" customFormat="1" ht="19" x14ac:dyDescent="0.25">
      <c r="A103" s="40">
        <v>23</v>
      </c>
      <c r="B103" s="41" t="s">
        <v>241</v>
      </c>
      <c r="C103" s="42">
        <v>50002928</v>
      </c>
      <c r="D103" s="37"/>
      <c r="E103" s="37" t="s">
        <v>341</v>
      </c>
      <c r="F103" s="37" t="s">
        <v>342</v>
      </c>
      <c r="G103" s="37" t="s">
        <v>201</v>
      </c>
      <c r="H103" s="37" t="s">
        <v>202</v>
      </c>
      <c r="I103" s="37">
        <v>6286</v>
      </c>
      <c r="J103" s="60">
        <v>59</v>
      </c>
      <c r="K103" s="61">
        <f>Table_Household_Alloc[[#This Row],[Unit Entitlement]]/1000</f>
        <v>5.8999999999999997E-2</v>
      </c>
      <c r="L103" s="44">
        <f t="shared" si="2"/>
        <v>13.687999999999999</v>
      </c>
      <c r="M103" s="66"/>
      <c r="N103" s="52">
        <f>IF(Table_Household_Alloc[[#This Row],[PV Installed]]="Y",1,0)*Table_Household_Alloc[[#This Row],[Calculated Battery Allocation (kWh)]]</f>
        <v>0</v>
      </c>
      <c r="P103" s="37"/>
      <c r="Q103" s="37"/>
      <c r="R103" s="37"/>
      <c r="S103" s="37" t="s">
        <v>343</v>
      </c>
      <c r="T103" s="46" t="s">
        <v>344</v>
      </c>
      <c r="U103" s="49" t="s">
        <v>345</v>
      </c>
      <c r="V103" s="46" t="s">
        <v>346</v>
      </c>
      <c r="X103" s="50">
        <v>45383</v>
      </c>
      <c r="Y103" s="51" t="s">
        <v>37</v>
      </c>
    </row>
    <row r="104" spans="1:25" s="46" customFormat="1" ht="40" x14ac:dyDescent="0.25">
      <c r="A104" s="55" t="s">
        <v>147</v>
      </c>
      <c r="B104" s="41" t="s">
        <v>241</v>
      </c>
      <c r="C104" s="65">
        <v>2902000692</v>
      </c>
      <c r="D104" s="37"/>
      <c r="E104" s="71" t="s">
        <v>148</v>
      </c>
      <c r="F104" s="56"/>
      <c r="G104" s="37"/>
      <c r="H104" s="37"/>
      <c r="I104" s="37"/>
      <c r="J104" s="63"/>
      <c r="K104" s="6">
        <f>Table_Household_Alloc[[#This Row],[Unit Entitlement]]/1000</f>
        <v>0</v>
      </c>
      <c r="L104" s="44"/>
      <c r="M104" s="37"/>
      <c r="N104" s="52">
        <f>IF(Table_Household_Alloc[[#This Row],[PV Installed]]="Y",1,0)*Table_Household_Alloc[[#This Row],[Calculated Battery Allocation (kWh)]]</f>
        <v>0</v>
      </c>
      <c r="T104" s="58"/>
      <c r="U104" s="49"/>
      <c r="V104" s="7"/>
      <c r="X104" s="59"/>
      <c r="Y104" s="51"/>
    </row>
    <row r="105" spans="1:25" s="46" customFormat="1" ht="19" x14ac:dyDescent="0.25">
      <c r="A105" s="40" t="s">
        <v>149</v>
      </c>
      <c r="B105" s="41" t="s">
        <v>241</v>
      </c>
      <c r="C105" s="65">
        <v>2902000696</v>
      </c>
      <c r="D105" s="37" t="s">
        <v>150</v>
      </c>
      <c r="E105" s="71" t="s">
        <v>151</v>
      </c>
      <c r="F105" s="37"/>
      <c r="G105" s="37" t="s">
        <v>29</v>
      </c>
      <c r="H105" s="37" t="s">
        <v>30</v>
      </c>
      <c r="I105" s="37">
        <v>6286</v>
      </c>
      <c r="J105" s="43"/>
      <c r="K105" s="4">
        <f>Table_Household_Alloc[[#This Row],[Unit Entitlement]]/1000</f>
        <v>0</v>
      </c>
      <c r="L105" s="44">
        <f t="shared" ref="L105:L106" si="3">(J105/1000)*232</f>
        <v>0</v>
      </c>
      <c r="M105" s="66"/>
      <c r="N105" s="52">
        <f>IF(Table_Household_Alloc[[#This Row],[PV Installed]]="Y",1,0)*Table_Household_Alloc[[#This Row],[Calculated Battery Allocation (kWh)]]</f>
        <v>0</v>
      </c>
      <c r="P105" s="3"/>
      <c r="Q105" s="3"/>
      <c r="R105" s="37"/>
      <c r="S105" s="37"/>
      <c r="U105" s="49"/>
      <c r="X105" s="50"/>
      <c r="Y105" s="51"/>
    </row>
    <row r="106" spans="1:25" s="46" customFormat="1" ht="19" x14ac:dyDescent="0.25">
      <c r="A106" s="40" t="s">
        <v>152</v>
      </c>
      <c r="B106" s="41" t="s">
        <v>241</v>
      </c>
      <c r="C106" s="65">
        <v>2912025475</v>
      </c>
      <c r="D106" s="37" t="s">
        <v>150</v>
      </c>
      <c r="E106" s="71" t="s">
        <v>153</v>
      </c>
      <c r="F106" s="37"/>
      <c r="G106" s="37" t="s">
        <v>29</v>
      </c>
      <c r="H106" s="37" t="s">
        <v>30</v>
      </c>
      <c r="I106" s="37">
        <v>6286</v>
      </c>
      <c r="J106" s="60"/>
      <c r="K106" s="61">
        <f>Table_Household_Alloc[[#This Row],[Unit Entitlement]]/1000</f>
        <v>0</v>
      </c>
      <c r="L106" s="44">
        <f t="shared" si="3"/>
        <v>0</v>
      </c>
      <c r="M106" s="66"/>
      <c r="N106" s="52">
        <f>IF(Table_Household_Alloc[[#This Row],[PV Installed]]="Y",1,0)*Table_Household_Alloc[[#This Row],[Calculated Battery Allocation (kWh)]]</f>
        <v>0</v>
      </c>
      <c r="P106" s="3"/>
      <c r="Q106" s="3"/>
      <c r="R106" s="37"/>
      <c r="S106" s="37"/>
      <c r="U106" s="49"/>
      <c r="X106" s="50"/>
      <c r="Y106" s="51"/>
    </row>
    <row r="107" spans="1:25" s="46" customFormat="1" ht="20" x14ac:dyDescent="0.25">
      <c r="A107" s="55" t="s">
        <v>642</v>
      </c>
      <c r="B107" s="41" t="s">
        <v>241</v>
      </c>
      <c r="C107" s="65"/>
      <c r="D107" s="37"/>
      <c r="E107" s="56"/>
      <c r="F107" s="56"/>
      <c r="G107" s="37"/>
      <c r="H107" s="37"/>
      <c r="I107" s="37"/>
      <c r="J107" s="63"/>
      <c r="K107" s="6">
        <f>Table_Household_Alloc[[#This Row],[Unit Entitlement]]/1000</f>
        <v>0</v>
      </c>
      <c r="L107" s="44"/>
      <c r="M107" s="37"/>
      <c r="N107" s="52">
        <f>IF(Table_Household_Alloc[[#This Row],[PV Installed]]="Y",1,0)*Table_Household_Alloc[[#This Row],[Calculated Battery Allocation (kWh)]]</f>
        <v>0</v>
      </c>
      <c r="T107" s="58"/>
      <c r="U107" s="49"/>
      <c r="V107" s="7"/>
      <c r="X107" s="59"/>
      <c r="Y107" s="51"/>
    </row>
    <row r="108" spans="1:25" s="46" customFormat="1" ht="20" x14ac:dyDescent="0.25">
      <c r="A108" s="64" t="s">
        <v>643</v>
      </c>
      <c r="B108" s="41" t="s">
        <v>241</v>
      </c>
      <c r="C108" s="65"/>
      <c r="D108" s="37"/>
      <c r="E108" s="56"/>
      <c r="F108" s="56"/>
      <c r="G108" s="37"/>
      <c r="H108" s="37"/>
      <c r="I108" s="37"/>
      <c r="J108" s="63"/>
      <c r="K108" s="6">
        <f>Table_Household_Alloc[[#This Row],[Unit Entitlement]]/1000</f>
        <v>0</v>
      </c>
      <c r="L108" s="44"/>
      <c r="M108" s="37"/>
      <c r="N108" s="52">
        <f>IF(Table_Household_Alloc[[#This Row],[PV Installed]]="Y",1,0)*Table_Household_Alloc[[#This Row],[Calculated Battery Allocation (kWh)]]</f>
        <v>0</v>
      </c>
      <c r="T108" s="58"/>
      <c r="U108" s="49"/>
      <c r="V108" s="7"/>
      <c r="X108" s="59"/>
      <c r="Y108" s="51"/>
    </row>
    <row r="109" spans="1:25" s="46" customFormat="1" ht="19" x14ac:dyDescent="0.25">
      <c r="A109" s="40">
        <v>1</v>
      </c>
      <c r="B109" s="41" t="s">
        <v>347</v>
      </c>
      <c r="C109" s="53">
        <v>50003379</v>
      </c>
      <c r="D109" s="37"/>
      <c r="E109" s="37" t="s">
        <v>348</v>
      </c>
      <c r="F109" s="37" t="s">
        <v>349</v>
      </c>
      <c r="G109" s="37" t="s">
        <v>201</v>
      </c>
      <c r="H109" s="37" t="s">
        <v>202</v>
      </c>
      <c r="I109" s="37">
        <v>6286</v>
      </c>
      <c r="J109" s="60">
        <v>39</v>
      </c>
      <c r="K109" s="61">
        <f>Table_Household_Alloc[[#This Row],[Unit Entitlement]]/1000</f>
        <v>3.9E-2</v>
      </c>
      <c r="L109" s="44">
        <f t="shared" si="2"/>
        <v>9.048</v>
      </c>
      <c r="M109" s="66" t="str">
        <f>CONCATENATE("Symo ",Table_Household_Alloc[[#This Row],[Export Capacity (kW)]])</f>
        <v>Symo 8.2</v>
      </c>
      <c r="N109" s="52">
        <f>IF(Table_Household_Alloc[[#This Row],[PV Installed]]="Y",1,0)*Table_Household_Alloc[[#This Row],[Calculated Battery Allocation (kWh)]]</f>
        <v>9.048</v>
      </c>
      <c r="O109" s="46">
        <v>8.1999999999999993</v>
      </c>
      <c r="P109" s="37" t="s">
        <v>31</v>
      </c>
      <c r="Q109" s="37" t="s">
        <v>31</v>
      </c>
      <c r="R109" s="37" t="s">
        <v>31</v>
      </c>
      <c r="S109" s="37" t="s">
        <v>44</v>
      </c>
      <c r="T109" s="46" t="s">
        <v>350</v>
      </c>
      <c r="U109" s="49" t="s">
        <v>351</v>
      </c>
      <c r="V109" s="46" t="s">
        <v>352</v>
      </c>
      <c r="X109" s="50">
        <v>45424</v>
      </c>
      <c r="Y109" s="51" t="s">
        <v>37</v>
      </c>
    </row>
    <row r="110" spans="1:25" s="46" customFormat="1" ht="19" x14ac:dyDescent="0.25">
      <c r="A110" s="40">
        <v>2</v>
      </c>
      <c r="B110" s="41" t="s">
        <v>347</v>
      </c>
      <c r="C110" s="53">
        <v>50002906</v>
      </c>
      <c r="D110" s="37"/>
      <c r="E110" s="37" t="s">
        <v>353</v>
      </c>
      <c r="F110" s="37" t="s">
        <v>354</v>
      </c>
      <c r="G110" s="37" t="s">
        <v>201</v>
      </c>
      <c r="H110" s="37" t="s">
        <v>202</v>
      </c>
      <c r="I110" s="37">
        <v>6286</v>
      </c>
      <c r="J110" s="60">
        <v>38</v>
      </c>
      <c r="K110" s="61">
        <f>Table_Household_Alloc[[#This Row],[Unit Entitlement]]/1000</f>
        <v>3.7999999999999999E-2</v>
      </c>
      <c r="L110" s="44">
        <f t="shared" si="2"/>
        <v>8.8159999999999989</v>
      </c>
      <c r="M110" s="66" t="str">
        <f>CONCATENATE("Symo ",Table_Household_Alloc[[#This Row],[Export Capacity (kW)]])</f>
        <v>Symo 8.2</v>
      </c>
      <c r="N110" s="52">
        <f>IF(Table_Household_Alloc[[#This Row],[PV Installed]]="Y",1,0)*Table_Household_Alloc[[#This Row],[Calculated Battery Allocation (kWh)]]</f>
        <v>8.8159999999999989</v>
      </c>
      <c r="O110" s="46">
        <v>8.1999999999999993</v>
      </c>
      <c r="P110" s="37" t="s">
        <v>31</v>
      </c>
      <c r="Q110" s="37" t="s">
        <v>31</v>
      </c>
      <c r="R110" s="37" t="s">
        <v>31</v>
      </c>
      <c r="S110" s="37" t="s">
        <v>44</v>
      </c>
      <c r="T110" s="46" t="s">
        <v>355</v>
      </c>
      <c r="U110" s="49" t="s">
        <v>356</v>
      </c>
      <c r="V110" s="46" t="s">
        <v>357</v>
      </c>
      <c r="X110" s="50">
        <v>45251</v>
      </c>
      <c r="Y110" s="51" t="s">
        <v>37</v>
      </c>
    </row>
    <row r="111" spans="1:25" s="46" customFormat="1" ht="19" x14ac:dyDescent="0.25">
      <c r="A111" s="40">
        <v>3</v>
      </c>
      <c r="B111" s="41" t="s">
        <v>347</v>
      </c>
      <c r="C111" s="53">
        <v>50002924</v>
      </c>
      <c r="D111" s="37"/>
      <c r="E111" s="37" t="s">
        <v>358</v>
      </c>
      <c r="F111" s="37" t="s">
        <v>359</v>
      </c>
      <c r="G111" s="37" t="s">
        <v>201</v>
      </c>
      <c r="H111" s="37" t="s">
        <v>202</v>
      </c>
      <c r="I111" s="37">
        <v>6286</v>
      </c>
      <c r="J111" s="60">
        <v>39</v>
      </c>
      <c r="K111" s="61">
        <f>Table_Household_Alloc[[#This Row],[Unit Entitlement]]/1000</f>
        <v>3.9E-2</v>
      </c>
      <c r="L111" s="44">
        <f t="shared" si="2"/>
        <v>9.048</v>
      </c>
      <c r="M111" s="66" t="str">
        <f>CONCATENATE("Symo ",Table_Household_Alloc[[#This Row],[Export Capacity (kW)]])</f>
        <v>Symo 5</v>
      </c>
      <c r="N111" s="52">
        <f>IF(Table_Household_Alloc[[#This Row],[PV Installed]]="Y",1,0)*Table_Household_Alloc[[#This Row],[Calculated Battery Allocation (kWh)]]</f>
        <v>9.048</v>
      </c>
      <c r="O111" s="46">
        <v>5</v>
      </c>
      <c r="P111" s="37" t="s">
        <v>31</v>
      </c>
      <c r="Q111" s="37" t="s">
        <v>31</v>
      </c>
      <c r="R111" s="37" t="s">
        <v>31</v>
      </c>
      <c r="S111" s="37" t="s">
        <v>44</v>
      </c>
      <c r="T111" s="46" t="s">
        <v>360</v>
      </c>
      <c r="U111" s="49"/>
      <c r="V111" s="46" t="s">
        <v>361</v>
      </c>
      <c r="X111" s="50">
        <v>44895</v>
      </c>
      <c r="Y111" s="51" t="s">
        <v>37</v>
      </c>
    </row>
    <row r="112" spans="1:25" s="46" customFormat="1" ht="19" x14ac:dyDescent="0.25">
      <c r="A112" s="40">
        <v>4</v>
      </c>
      <c r="B112" s="41" t="s">
        <v>347</v>
      </c>
      <c r="C112" s="85"/>
      <c r="D112" s="37"/>
      <c r="E112" s="37" t="s">
        <v>362</v>
      </c>
      <c r="F112" s="37" t="s">
        <v>363</v>
      </c>
      <c r="G112" s="37" t="s">
        <v>201</v>
      </c>
      <c r="H112" s="37" t="s">
        <v>202</v>
      </c>
      <c r="I112" s="37">
        <v>6286</v>
      </c>
      <c r="J112" s="60">
        <v>41</v>
      </c>
      <c r="K112" s="61">
        <f>Table_Household_Alloc[[#This Row],[Unit Entitlement]]/1000</f>
        <v>4.1000000000000002E-2</v>
      </c>
      <c r="L112" s="44">
        <f t="shared" si="2"/>
        <v>9.5120000000000005</v>
      </c>
      <c r="M112" s="66"/>
      <c r="N112" s="52">
        <f>IF(Table_Household_Alloc[[#This Row],[PV Installed]]="Y",1,0)*Table_Household_Alloc[[#This Row],[Calculated Battery Allocation (kWh)]]</f>
        <v>0</v>
      </c>
      <c r="P112" s="37"/>
      <c r="Q112" s="37"/>
      <c r="R112" s="37"/>
      <c r="S112" s="37" t="s">
        <v>33</v>
      </c>
      <c r="T112" s="46" t="s">
        <v>364</v>
      </c>
      <c r="U112" s="49"/>
      <c r="V112" s="46" t="s">
        <v>365</v>
      </c>
      <c r="X112" s="50"/>
      <c r="Y112" s="51"/>
    </row>
    <row r="113" spans="1:25" s="46" customFormat="1" ht="19" x14ac:dyDescent="0.25">
      <c r="A113" s="40">
        <v>5</v>
      </c>
      <c r="B113" s="41" t="s">
        <v>347</v>
      </c>
      <c r="C113" s="53">
        <v>50002894</v>
      </c>
      <c r="D113" s="37"/>
      <c r="E113" s="37" t="s">
        <v>366</v>
      </c>
      <c r="F113" s="37" t="s">
        <v>367</v>
      </c>
      <c r="G113" s="37" t="s">
        <v>201</v>
      </c>
      <c r="H113" s="37" t="s">
        <v>202</v>
      </c>
      <c r="I113" s="37">
        <v>6286</v>
      </c>
      <c r="J113" s="60">
        <v>41</v>
      </c>
      <c r="K113" s="61">
        <f>Table_Household_Alloc[[#This Row],[Unit Entitlement]]/1000</f>
        <v>4.1000000000000002E-2</v>
      </c>
      <c r="L113" s="44">
        <f t="shared" si="2"/>
        <v>9.5120000000000005</v>
      </c>
      <c r="M113" s="66" t="str">
        <f>CONCATENATE("Symo ",Table_Household_Alloc[[#This Row],[Export Capacity (kW)]])</f>
        <v>Symo 8.2</v>
      </c>
      <c r="N113" s="52">
        <f>IF(Table_Household_Alloc[[#This Row],[PV Installed]]="Y",1,0)*Table_Household_Alloc[[#This Row],[Calculated Battery Allocation (kWh)]]</f>
        <v>9.5120000000000005</v>
      </c>
      <c r="O113" s="46">
        <v>8.1999999999999993</v>
      </c>
      <c r="P113" s="37" t="s">
        <v>31</v>
      </c>
      <c r="Q113" s="37" t="s">
        <v>31</v>
      </c>
      <c r="R113" s="37" t="s">
        <v>31</v>
      </c>
      <c r="S113" s="37" t="s">
        <v>44</v>
      </c>
      <c r="T113" s="46" t="s">
        <v>368</v>
      </c>
      <c r="U113" s="49"/>
      <c r="V113" s="46" t="s">
        <v>369</v>
      </c>
      <c r="X113" s="50">
        <v>44898</v>
      </c>
      <c r="Y113" s="51" t="s">
        <v>37</v>
      </c>
    </row>
    <row r="114" spans="1:25" s="46" customFormat="1" ht="19" x14ac:dyDescent="0.25">
      <c r="A114" s="40">
        <v>6</v>
      </c>
      <c r="B114" s="41" t="s">
        <v>347</v>
      </c>
      <c r="C114" s="53">
        <v>50002835</v>
      </c>
      <c r="D114" s="37"/>
      <c r="E114" s="37" t="s">
        <v>370</v>
      </c>
      <c r="F114" s="37" t="s">
        <v>371</v>
      </c>
      <c r="G114" s="37" t="s">
        <v>201</v>
      </c>
      <c r="H114" s="37" t="s">
        <v>202</v>
      </c>
      <c r="I114" s="37">
        <v>6286</v>
      </c>
      <c r="J114" s="60">
        <v>39</v>
      </c>
      <c r="K114" s="61">
        <f>Table_Household_Alloc[[#This Row],[Unit Entitlement]]/1000</f>
        <v>3.9E-2</v>
      </c>
      <c r="L114" s="44">
        <f t="shared" si="2"/>
        <v>9.048</v>
      </c>
      <c r="M114" s="66" t="str">
        <f>CONCATENATE("Symo ",Table_Household_Alloc[[#This Row],[Export Capacity (kW)]])</f>
        <v>Symo 5</v>
      </c>
      <c r="N114" s="52">
        <f>IF(Table_Household_Alloc[[#This Row],[PV Installed]]="Y",1,0)*Table_Household_Alloc[[#This Row],[Calculated Battery Allocation (kWh)]]</f>
        <v>9.048</v>
      </c>
      <c r="O114" s="46">
        <v>5</v>
      </c>
      <c r="P114" s="37" t="s">
        <v>31</v>
      </c>
      <c r="Q114" s="37" t="s">
        <v>31</v>
      </c>
      <c r="R114" s="37" t="s">
        <v>31</v>
      </c>
      <c r="S114" s="37" t="s">
        <v>44</v>
      </c>
      <c r="T114" s="46" t="s">
        <v>372</v>
      </c>
      <c r="U114" s="49"/>
      <c r="V114" s="46" t="s">
        <v>373</v>
      </c>
      <c r="X114" s="50">
        <v>45221</v>
      </c>
      <c r="Y114" s="51" t="s">
        <v>37</v>
      </c>
    </row>
    <row r="115" spans="1:25" s="46" customFormat="1" ht="19" x14ac:dyDescent="0.25">
      <c r="A115" s="40">
        <v>7</v>
      </c>
      <c r="B115" s="41" t="s">
        <v>347</v>
      </c>
      <c r="C115" s="53">
        <v>50002899</v>
      </c>
      <c r="D115" s="37"/>
      <c r="E115" s="37" t="s">
        <v>374</v>
      </c>
      <c r="F115" s="37" t="s">
        <v>375</v>
      </c>
      <c r="G115" s="37" t="s">
        <v>201</v>
      </c>
      <c r="H115" s="37" t="s">
        <v>202</v>
      </c>
      <c r="I115" s="37">
        <v>6286</v>
      </c>
      <c r="J115" s="60">
        <v>38</v>
      </c>
      <c r="K115" s="61">
        <f>Table_Household_Alloc[[#This Row],[Unit Entitlement]]/1000</f>
        <v>3.7999999999999999E-2</v>
      </c>
      <c r="L115" s="44">
        <f t="shared" si="2"/>
        <v>8.8159999999999989</v>
      </c>
      <c r="M115" s="66" t="str">
        <f>CONCATENATE("Symo ",Table_Household_Alloc[[#This Row],[Export Capacity (kW)]])</f>
        <v>Symo 5</v>
      </c>
      <c r="N115" s="52">
        <f>IF(Table_Household_Alloc[[#This Row],[PV Installed]]="Y",1,0)*Table_Household_Alloc[[#This Row],[Calculated Battery Allocation (kWh)]]</f>
        <v>8.8159999999999989</v>
      </c>
      <c r="O115" s="46">
        <v>5</v>
      </c>
      <c r="P115" s="37" t="s">
        <v>31</v>
      </c>
      <c r="Q115" s="37" t="s">
        <v>31</v>
      </c>
      <c r="R115" s="37" t="s">
        <v>31</v>
      </c>
      <c r="S115" s="37" t="s">
        <v>44</v>
      </c>
      <c r="T115" s="46" t="s">
        <v>376</v>
      </c>
      <c r="U115" s="49"/>
      <c r="V115" s="46" t="s">
        <v>377</v>
      </c>
      <c r="X115" s="50">
        <v>44641</v>
      </c>
      <c r="Y115" s="51" t="s">
        <v>37</v>
      </c>
    </row>
    <row r="116" spans="1:25" s="46" customFormat="1" ht="19" x14ac:dyDescent="0.25">
      <c r="A116" s="40">
        <v>8</v>
      </c>
      <c r="B116" s="41" t="s">
        <v>347</v>
      </c>
      <c r="C116" s="53">
        <v>50002910</v>
      </c>
      <c r="D116" s="37"/>
      <c r="E116" s="37" t="s">
        <v>378</v>
      </c>
      <c r="F116" s="37" t="s">
        <v>379</v>
      </c>
      <c r="G116" s="37" t="s">
        <v>201</v>
      </c>
      <c r="H116" s="37" t="s">
        <v>202</v>
      </c>
      <c r="I116" s="37">
        <v>6286</v>
      </c>
      <c r="J116" s="60">
        <v>37</v>
      </c>
      <c r="K116" s="61">
        <f>Table_Household_Alloc[[#This Row],[Unit Entitlement]]/1000</f>
        <v>3.6999999999999998E-2</v>
      </c>
      <c r="L116" s="44">
        <f t="shared" si="2"/>
        <v>8.5839999999999996</v>
      </c>
      <c r="M116" s="66" t="str">
        <f>CONCATENATE("Symo ",Table_Household_Alloc[[#This Row],[Export Capacity (kW)]])</f>
        <v>Symo 5</v>
      </c>
      <c r="N116" s="52">
        <f>IF(Table_Household_Alloc[[#This Row],[PV Installed]]="Y",1,0)*Table_Household_Alloc[[#This Row],[Calculated Battery Allocation (kWh)]]</f>
        <v>8.5839999999999996</v>
      </c>
      <c r="O116" s="46">
        <v>5</v>
      </c>
      <c r="P116" s="37" t="s">
        <v>31</v>
      </c>
      <c r="Q116" s="37" t="s">
        <v>31</v>
      </c>
      <c r="R116" s="37" t="s">
        <v>31</v>
      </c>
      <c r="S116" s="37" t="s">
        <v>44</v>
      </c>
      <c r="T116" s="46" t="s">
        <v>380</v>
      </c>
      <c r="U116" s="49" t="s">
        <v>381</v>
      </c>
      <c r="V116" s="46" t="s">
        <v>382</v>
      </c>
      <c r="X116" s="50">
        <v>44948</v>
      </c>
      <c r="Y116" s="51" t="s">
        <v>37</v>
      </c>
    </row>
    <row r="117" spans="1:25" s="46" customFormat="1" ht="19" x14ac:dyDescent="0.25">
      <c r="A117" s="40">
        <v>9</v>
      </c>
      <c r="B117" s="41" t="s">
        <v>347</v>
      </c>
      <c r="C117" s="53">
        <v>50002960</v>
      </c>
      <c r="D117" s="37"/>
      <c r="E117" s="37" t="s">
        <v>383</v>
      </c>
      <c r="F117" s="37" t="s">
        <v>384</v>
      </c>
      <c r="G117" s="37" t="s">
        <v>201</v>
      </c>
      <c r="H117" s="37" t="s">
        <v>202</v>
      </c>
      <c r="I117" s="37">
        <v>6286</v>
      </c>
      <c r="J117" s="60">
        <v>36</v>
      </c>
      <c r="K117" s="61">
        <f>Table_Household_Alloc[[#This Row],[Unit Entitlement]]/1000</f>
        <v>3.5999999999999997E-2</v>
      </c>
      <c r="L117" s="44">
        <f t="shared" si="2"/>
        <v>8.3519999999999985</v>
      </c>
      <c r="M117" s="66" t="str">
        <f>CONCATENATE("Symo ",Table_Household_Alloc[[#This Row],[Export Capacity (kW)]])</f>
        <v>Symo 8.2</v>
      </c>
      <c r="N117" s="52">
        <f>IF(Table_Household_Alloc[[#This Row],[PV Installed]]="Y",1,0)*Table_Household_Alloc[[#This Row],[Calculated Battery Allocation (kWh)]]</f>
        <v>8.3519999999999985</v>
      </c>
      <c r="O117" s="46">
        <v>8.1999999999999993</v>
      </c>
      <c r="P117" s="37" t="s">
        <v>31</v>
      </c>
      <c r="Q117" s="37" t="s">
        <v>31</v>
      </c>
      <c r="R117" s="37" t="s">
        <v>31</v>
      </c>
      <c r="S117" s="37" t="s">
        <v>44</v>
      </c>
      <c r="T117" s="46" t="s">
        <v>385</v>
      </c>
      <c r="U117" s="49" t="s">
        <v>386</v>
      </c>
      <c r="V117" s="46" t="s">
        <v>387</v>
      </c>
      <c r="X117" s="50">
        <v>45100</v>
      </c>
      <c r="Y117" s="51" t="s">
        <v>37</v>
      </c>
    </row>
    <row r="118" spans="1:25" s="46" customFormat="1" ht="19" x14ac:dyDescent="0.25">
      <c r="A118" s="40">
        <v>10</v>
      </c>
      <c r="B118" s="41" t="s">
        <v>347</v>
      </c>
      <c r="C118" s="53">
        <v>50002926</v>
      </c>
      <c r="D118" s="37"/>
      <c r="E118" s="37" t="s">
        <v>388</v>
      </c>
      <c r="F118" s="37" t="s">
        <v>389</v>
      </c>
      <c r="G118" s="37" t="s">
        <v>201</v>
      </c>
      <c r="H118" s="37" t="s">
        <v>202</v>
      </c>
      <c r="I118" s="37">
        <v>6286</v>
      </c>
      <c r="J118" s="60">
        <v>61</v>
      </c>
      <c r="K118" s="61">
        <f>Table_Household_Alloc[[#This Row],[Unit Entitlement]]/1000</f>
        <v>6.0999999999999999E-2</v>
      </c>
      <c r="L118" s="44">
        <f t="shared" si="2"/>
        <v>14.151999999999999</v>
      </c>
      <c r="M118" s="66" t="str">
        <f>CONCATENATE("Symo ",Table_Household_Alloc[[#This Row],[Export Capacity (kW)]])</f>
        <v>Symo 8.2</v>
      </c>
      <c r="N118" s="52">
        <f>IF(Table_Household_Alloc[[#This Row],[PV Installed]]="Y",1,0)*Table_Household_Alloc[[#This Row],[Calculated Battery Allocation (kWh)]]</f>
        <v>14.151999999999999</v>
      </c>
      <c r="O118" s="46">
        <v>8.1999999999999993</v>
      </c>
      <c r="P118" s="37" t="s">
        <v>31</v>
      </c>
      <c r="Q118" s="37" t="s">
        <v>31</v>
      </c>
      <c r="R118" s="37" t="s">
        <v>31</v>
      </c>
      <c r="S118" s="37" t="s">
        <v>44</v>
      </c>
      <c r="T118" s="46" t="s">
        <v>390</v>
      </c>
      <c r="U118" s="49"/>
      <c r="V118" s="46" t="s">
        <v>391</v>
      </c>
      <c r="X118" s="50">
        <v>45257</v>
      </c>
      <c r="Y118" s="51" t="s">
        <v>37</v>
      </c>
    </row>
    <row r="119" spans="1:25" s="46" customFormat="1" ht="19" x14ac:dyDescent="0.25">
      <c r="A119" s="40">
        <v>11</v>
      </c>
      <c r="B119" s="41" t="s">
        <v>347</v>
      </c>
      <c r="C119" s="85"/>
      <c r="D119" s="37"/>
      <c r="E119" s="37" t="s">
        <v>392</v>
      </c>
      <c r="F119" s="37" t="s">
        <v>393</v>
      </c>
      <c r="G119" s="37" t="s">
        <v>201</v>
      </c>
      <c r="H119" s="37" t="s">
        <v>202</v>
      </c>
      <c r="I119" s="37">
        <v>6286</v>
      </c>
      <c r="J119" s="60">
        <v>62</v>
      </c>
      <c r="K119" s="61">
        <f>Table_Household_Alloc[[#This Row],[Unit Entitlement]]/1000</f>
        <v>6.2E-2</v>
      </c>
      <c r="L119" s="44">
        <f t="shared" si="2"/>
        <v>14.384</v>
      </c>
      <c r="M119" s="66"/>
      <c r="N119" s="52">
        <f>IF(Table_Household_Alloc[[#This Row],[PV Installed]]="Y",1,0)*Table_Household_Alloc[[#This Row],[Calculated Battery Allocation (kWh)]]</f>
        <v>0</v>
      </c>
      <c r="P119" s="37"/>
      <c r="Q119" s="37"/>
      <c r="R119" s="37"/>
      <c r="S119" s="37" t="s">
        <v>118</v>
      </c>
      <c r="T119" s="46" t="s">
        <v>394</v>
      </c>
      <c r="U119" s="49"/>
      <c r="V119" s="46" t="s">
        <v>395</v>
      </c>
      <c r="X119" s="50"/>
      <c r="Y119" s="51"/>
    </row>
    <row r="120" spans="1:25" s="46" customFormat="1" ht="19" x14ac:dyDescent="0.25">
      <c r="A120" s="40">
        <v>12</v>
      </c>
      <c r="B120" s="41" t="s">
        <v>347</v>
      </c>
      <c r="C120" s="86"/>
      <c r="D120" s="37"/>
      <c r="E120" s="37" t="s">
        <v>396</v>
      </c>
      <c r="F120" s="37" t="s">
        <v>397</v>
      </c>
      <c r="G120" s="37" t="s">
        <v>201</v>
      </c>
      <c r="H120" s="37" t="s">
        <v>202</v>
      </c>
      <c r="I120" s="37">
        <v>6286</v>
      </c>
      <c r="J120" s="60">
        <v>64</v>
      </c>
      <c r="K120" s="61">
        <f>Table_Household_Alloc[[#This Row],[Unit Entitlement]]/1000</f>
        <v>6.4000000000000001E-2</v>
      </c>
      <c r="L120" s="44">
        <f t="shared" si="2"/>
        <v>14.848000000000001</v>
      </c>
      <c r="M120" s="66"/>
      <c r="N120" s="52">
        <f>IF(Table_Household_Alloc[[#This Row],[PV Installed]]="Y",1,0)*Table_Household_Alloc[[#This Row],[Calculated Battery Allocation (kWh)]]</f>
        <v>0</v>
      </c>
      <c r="P120" s="37"/>
      <c r="Q120" s="37"/>
      <c r="R120" s="37"/>
      <c r="S120" s="37" t="s">
        <v>33</v>
      </c>
      <c r="T120" s="46" t="s">
        <v>398</v>
      </c>
      <c r="U120" s="49"/>
      <c r="V120" s="46" t="s">
        <v>399</v>
      </c>
      <c r="X120" s="50"/>
      <c r="Y120" s="51"/>
    </row>
    <row r="121" spans="1:25" s="46" customFormat="1" ht="19" x14ac:dyDescent="0.25">
      <c r="A121" s="40">
        <v>13</v>
      </c>
      <c r="B121" s="41" t="s">
        <v>347</v>
      </c>
      <c r="C121" s="86"/>
      <c r="D121" s="37"/>
      <c r="E121" s="37" t="s">
        <v>400</v>
      </c>
      <c r="F121" s="37" t="s">
        <v>401</v>
      </c>
      <c r="G121" s="37" t="s">
        <v>201</v>
      </c>
      <c r="H121" s="37" t="s">
        <v>202</v>
      </c>
      <c r="I121" s="37">
        <v>6286</v>
      </c>
      <c r="J121" s="60">
        <v>64</v>
      </c>
      <c r="K121" s="61">
        <f>Table_Household_Alloc[[#This Row],[Unit Entitlement]]/1000</f>
        <v>6.4000000000000001E-2</v>
      </c>
      <c r="L121" s="44">
        <f t="shared" si="2"/>
        <v>14.848000000000001</v>
      </c>
      <c r="M121" s="66"/>
      <c r="N121" s="52">
        <f>IF(Table_Household_Alloc[[#This Row],[PV Installed]]="Y",1,0)*Table_Household_Alloc[[#This Row],[Calculated Battery Allocation (kWh)]]</f>
        <v>0</v>
      </c>
      <c r="P121" s="37"/>
      <c r="Q121" s="37"/>
      <c r="R121" s="37"/>
      <c r="S121" s="37" t="s">
        <v>33</v>
      </c>
      <c r="T121" s="46" t="s">
        <v>402</v>
      </c>
      <c r="U121" s="49"/>
      <c r="V121" s="46" t="s">
        <v>403</v>
      </c>
      <c r="X121" s="50"/>
      <c r="Y121" s="51"/>
    </row>
    <row r="122" spans="1:25" s="46" customFormat="1" ht="19" x14ac:dyDescent="0.25">
      <c r="A122" s="40">
        <v>14</v>
      </c>
      <c r="B122" s="41" t="s">
        <v>347</v>
      </c>
      <c r="C122" s="85"/>
      <c r="D122" s="37"/>
      <c r="E122" s="37" t="s">
        <v>163</v>
      </c>
      <c r="F122" s="37" t="s">
        <v>404</v>
      </c>
      <c r="G122" s="37" t="s">
        <v>201</v>
      </c>
      <c r="H122" s="37" t="s">
        <v>202</v>
      </c>
      <c r="I122" s="37">
        <v>6286</v>
      </c>
      <c r="J122" s="60">
        <v>27</v>
      </c>
      <c r="K122" s="61">
        <f>Table_Household_Alloc[[#This Row],[Unit Entitlement]]/1000</f>
        <v>2.7E-2</v>
      </c>
      <c r="L122" s="44">
        <f t="shared" si="2"/>
        <v>6.2640000000000002</v>
      </c>
      <c r="M122" s="66"/>
      <c r="N122" s="52">
        <f>IF(Table_Household_Alloc[[#This Row],[PV Installed]]="Y",1,0)*Table_Household_Alloc[[#This Row],[Calculated Battery Allocation (kWh)]]</f>
        <v>0</v>
      </c>
      <c r="P122" s="37"/>
      <c r="Q122" s="37"/>
      <c r="R122" s="37"/>
      <c r="S122" s="37" t="s">
        <v>118</v>
      </c>
      <c r="T122" s="46" t="s">
        <v>405</v>
      </c>
      <c r="U122" s="49" t="s">
        <v>406</v>
      </c>
      <c r="V122" s="46" t="s">
        <v>407</v>
      </c>
      <c r="X122" s="50"/>
      <c r="Y122" s="51"/>
    </row>
    <row r="123" spans="1:25" s="46" customFormat="1" ht="19" x14ac:dyDescent="0.25">
      <c r="A123" s="40">
        <v>15</v>
      </c>
      <c r="B123" s="41" t="s">
        <v>347</v>
      </c>
      <c r="C123" s="53">
        <v>50002930</v>
      </c>
      <c r="D123" s="37"/>
      <c r="E123" s="37" t="s">
        <v>408</v>
      </c>
      <c r="F123" s="37" t="s">
        <v>409</v>
      </c>
      <c r="G123" s="37" t="s">
        <v>201</v>
      </c>
      <c r="H123" s="37" t="s">
        <v>202</v>
      </c>
      <c r="I123" s="37">
        <v>6286</v>
      </c>
      <c r="J123" s="60">
        <v>27</v>
      </c>
      <c r="K123" s="61">
        <f>Table_Household_Alloc[[#This Row],[Unit Entitlement]]/1000</f>
        <v>2.7E-2</v>
      </c>
      <c r="L123" s="44">
        <f t="shared" si="2"/>
        <v>6.2640000000000002</v>
      </c>
      <c r="M123" s="66" t="str">
        <f>CONCATENATE("Symo ",Table_Household_Alloc[[#This Row],[Export Capacity (kW)]])</f>
        <v>Symo 5</v>
      </c>
      <c r="N123" s="52">
        <f>IF(Table_Household_Alloc[[#This Row],[PV Installed]]="Y",1,0)*Table_Household_Alloc[[#This Row],[Calculated Battery Allocation (kWh)]]</f>
        <v>6.2640000000000002</v>
      </c>
      <c r="O123" s="46">
        <v>5</v>
      </c>
      <c r="P123" s="37" t="s">
        <v>31</v>
      </c>
      <c r="Q123" s="37" t="s">
        <v>31</v>
      </c>
      <c r="R123" s="37" t="s">
        <v>31</v>
      </c>
      <c r="S123" s="37" t="s">
        <v>44</v>
      </c>
      <c r="T123" s="46" t="s">
        <v>410</v>
      </c>
      <c r="U123" s="49"/>
      <c r="V123" s="46" t="s">
        <v>411</v>
      </c>
      <c r="X123" s="50">
        <v>45501</v>
      </c>
      <c r="Y123" s="51" t="s">
        <v>37</v>
      </c>
    </row>
    <row r="124" spans="1:25" s="46" customFormat="1" ht="19" x14ac:dyDescent="0.25">
      <c r="A124" s="40">
        <v>16</v>
      </c>
      <c r="B124" s="41" t="s">
        <v>347</v>
      </c>
      <c r="C124" s="53">
        <v>50002843</v>
      </c>
      <c r="D124" s="37"/>
      <c r="E124" s="37" t="s">
        <v>412</v>
      </c>
      <c r="F124" s="37" t="s">
        <v>413</v>
      </c>
      <c r="G124" s="37" t="s">
        <v>201</v>
      </c>
      <c r="H124" s="37" t="s">
        <v>202</v>
      </c>
      <c r="I124" s="37">
        <v>6286</v>
      </c>
      <c r="J124" s="60">
        <v>27</v>
      </c>
      <c r="K124" s="61">
        <f>Table_Household_Alloc[[#This Row],[Unit Entitlement]]/1000</f>
        <v>2.7E-2</v>
      </c>
      <c r="L124" s="44">
        <f t="shared" si="2"/>
        <v>6.2640000000000002</v>
      </c>
      <c r="M124" s="66" t="str">
        <f>CONCATENATE("Symo ",Table_Household_Alloc[[#This Row],[Export Capacity (kW)]])</f>
        <v>Symo 5</v>
      </c>
      <c r="N124" s="52">
        <f>IF(Table_Household_Alloc[[#This Row],[PV Installed]]="Y",1,0)*Table_Household_Alloc[[#This Row],[Calculated Battery Allocation (kWh)]]</f>
        <v>6.2640000000000002</v>
      </c>
      <c r="O124" s="46">
        <v>5</v>
      </c>
      <c r="P124" s="37" t="s">
        <v>31</v>
      </c>
      <c r="Q124" s="37" t="s">
        <v>31</v>
      </c>
      <c r="R124" s="37" t="s">
        <v>31</v>
      </c>
      <c r="S124" s="37" t="s">
        <v>44</v>
      </c>
      <c r="T124" s="46" t="s">
        <v>414</v>
      </c>
      <c r="U124" s="49"/>
      <c r="V124" s="46" t="s">
        <v>415</v>
      </c>
      <c r="X124" s="50">
        <v>44607</v>
      </c>
      <c r="Y124" s="51" t="s">
        <v>37</v>
      </c>
    </row>
    <row r="125" spans="1:25" s="46" customFormat="1" ht="19" x14ac:dyDescent="0.25">
      <c r="A125" s="40">
        <v>17</v>
      </c>
      <c r="B125" s="41" t="s">
        <v>347</v>
      </c>
      <c r="C125" s="53">
        <v>50002929</v>
      </c>
      <c r="D125" s="37"/>
      <c r="E125" s="37" t="s">
        <v>416</v>
      </c>
      <c r="F125" s="37" t="s">
        <v>417</v>
      </c>
      <c r="G125" s="37" t="s">
        <v>201</v>
      </c>
      <c r="H125" s="37" t="s">
        <v>202</v>
      </c>
      <c r="I125" s="37">
        <v>6286</v>
      </c>
      <c r="J125" s="60">
        <v>27</v>
      </c>
      <c r="K125" s="61">
        <f>Table_Household_Alloc[[#This Row],[Unit Entitlement]]/1000</f>
        <v>2.7E-2</v>
      </c>
      <c r="L125" s="44">
        <f t="shared" si="2"/>
        <v>6.2640000000000002</v>
      </c>
      <c r="M125" s="66" t="str">
        <f>CONCATENATE("Symo ",Table_Household_Alloc[[#This Row],[Export Capacity (kW)]])</f>
        <v>Symo 5</v>
      </c>
      <c r="N125" s="52">
        <f>IF(Table_Household_Alloc[[#This Row],[PV Installed]]="Y",1,0)*Table_Household_Alloc[[#This Row],[Calculated Battery Allocation (kWh)]]</f>
        <v>6.2640000000000002</v>
      </c>
      <c r="O125" s="46">
        <v>5</v>
      </c>
      <c r="P125" s="37" t="s">
        <v>31</v>
      </c>
      <c r="Q125" s="37" t="s">
        <v>31</v>
      </c>
      <c r="R125" s="37" t="s">
        <v>31</v>
      </c>
      <c r="S125" s="37" t="s">
        <v>44</v>
      </c>
      <c r="T125" s="46" t="s">
        <v>418</v>
      </c>
      <c r="U125" s="49"/>
      <c r="V125" s="46" t="s">
        <v>419</v>
      </c>
      <c r="X125" s="50">
        <v>45320</v>
      </c>
      <c r="Y125" s="51" t="s">
        <v>37</v>
      </c>
    </row>
    <row r="126" spans="1:25" s="46" customFormat="1" ht="19" x14ac:dyDescent="0.25">
      <c r="A126" s="40">
        <v>18</v>
      </c>
      <c r="B126" s="41" t="s">
        <v>347</v>
      </c>
      <c r="C126" s="86"/>
      <c r="D126" s="37"/>
      <c r="E126" s="37" t="s">
        <v>420</v>
      </c>
      <c r="F126" s="37" t="s">
        <v>421</v>
      </c>
      <c r="G126" s="37" t="s">
        <v>201</v>
      </c>
      <c r="H126" s="37" t="s">
        <v>202</v>
      </c>
      <c r="I126" s="37">
        <v>6286</v>
      </c>
      <c r="J126" s="60">
        <v>31</v>
      </c>
      <c r="K126" s="61">
        <f>Table_Household_Alloc[[#This Row],[Unit Entitlement]]/1000</f>
        <v>3.1E-2</v>
      </c>
      <c r="L126" s="44">
        <f t="shared" si="2"/>
        <v>7.1920000000000002</v>
      </c>
      <c r="M126" s="66"/>
      <c r="N126" s="52">
        <f>IF(Table_Household_Alloc[[#This Row],[PV Installed]]="Y",1,0)*Table_Household_Alloc[[#This Row],[Calculated Battery Allocation (kWh)]]</f>
        <v>0</v>
      </c>
      <c r="P126" s="37"/>
      <c r="Q126" s="37"/>
      <c r="R126" s="37"/>
      <c r="S126" s="37" t="s">
        <v>118</v>
      </c>
      <c r="T126" s="46" t="s">
        <v>422</v>
      </c>
      <c r="U126" s="49"/>
      <c r="V126" s="46" t="s">
        <v>423</v>
      </c>
      <c r="X126" s="50"/>
      <c r="Y126" s="51"/>
    </row>
    <row r="127" spans="1:25" s="46" customFormat="1" ht="19" x14ac:dyDescent="0.25">
      <c r="A127" s="40">
        <v>19</v>
      </c>
      <c r="B127" s="41" t="s">
        <v>347</v>
      </c>
      <c r="C127" s="86"/>
      <c r="D127" s="37"/>
      <c r="E127" s="37" t="s">
        <v>424</v>
      </c>
      <c r="F127" s="37" t="s">
        <v>425</v>
      </c>
      <c r="G127" s="37" t="s">
        <v>201</v>
      </c>
      <c r="H127" s="37" t="s">
        <v>202</v>
      </c>
      <c r="I127" s="37">
        <v>6286</v>
      </c>
      <c r="J127" s="60">
        <v>78</v>
      </c>
      <c r="K127" s="61">
        <f>Table_Household_Alloc[[#This Row],[Unit Entitlement]]/1000</f>
        <v>7.8E-2</v>
      </c>
      <c r="L127" s="44">
        <f t="shared" si="2"/>
        <v>18.096</v>
      </c>
      <c r="M127" s="66"/>
      <c r="N127" s="52">
        <f>IF(Table_Household_Alloc[[#This Row],[PV Installed]]="Y",1,0)*Table_Household_Alloc[[#This Row],[Calculated Battery Allocation (kWh)]]</f>
        <v>18.096</v>
      </c>
      <c r="P127" s="37"/>
      <c r="Q127" s="37" t="s">
        <v>31</v>
      </c>
      <c r="R127" s="37"/>
      <c r="S127" s="37" t="s">
        <v>118</v>
      </c>
      <c r="T127" s="46" t="s">
        <v>426</v>
      </c>
      <c r="U127" s="49"/>
      <c r="V127" s="46" t="s">
        <v>427</v>
      </c>
      <c r="X127" s="50"/>
      <c r="Y127" s="51"/>
    </row>
    <row r="128" spans="1:25" s="46" customFormat="1" ht="19" x14ac:dyDescent="0.25">
      <c r="A128" s="40">
        <v>20</v>
      </c>
      <c r="B128" s="41" t="s">
        <v>347</v>
      </c>
      <c r="C128" s="85"/>
      <c r="D128" s="37"/>
      <c r="E128" s="37" t="s">
        <v>428</v>
      </c>
      <c r="F128" s="37" t="s">
        <v>429</v>
      </c>
      <c r="G128" s="37" t="s">
        <v>201</v>
      </c>
      <c r="H128" s="37" t="s">
        <v>202</v>
      </c>
      <c r="I128" s="37">
        <v>6286</v>
      </c>
      <c r="J128" s="60">
        <v>62</v>
      </c>
      <c r="K128" s="61">
        <f>Table_Household_Alloc[[#This Row],[Unit Entitlement]]/1000</f>
        <v>6.2E-2</v>
      </c>
      <c r="L128" s="44">
        <f t="shared" si="2"/>
        <v>14.384</v>
      </c>
      <c r="M128" s="66"/>
      <c r="N128" s="52">
        <f>IF(Table_Household_Alloc[[#This Row],[PV Installed]]="Y",1,0)*Table_Household_Alloc[[#This Row],[Calculated Battery Allocation (kWh)]]</f>
        <v>0</v>
      </c>
      <c r="P128" s="37"/>
      <c r="Q128" s="37"/>
      <c r="R128" s="37"/>
      <c r="S128" s="37" t="s">
        <v>33</v>
      </c>
      <c r="T128" s="46" t="s">
        <v>430</v>
      </c>
      <c r="U128" s="49" t="s">
        <v>431</v>
      </c>
      <c r="V128" s="46" t="s">
        <v>432</v>
      </c>
      <c r="X128" s="50"/>
      <c r="Y128" s="51"/>
    </row>
    <row r="129" spans="1:25" s="46" customFormat="1" ht="19" x14ac:dyDescent="0.25">
      <c r="A129" s="40">
        <v>21</v>
      </c>
      <c r="B129" s="41" t="s">
        <v>347</v>
      </c>
      <c r="C129" s="86"/>
      <c r="D129" s="37"/>
      <c r="E129" s="37" t="s">
        <v>433</v>
      </c>
      <c r="F129" s="37" t="s">
        <v>434</v>
      </c>
      <c r="G129" s="37" t="s">
        <v>201</v>
      </c>
      <c r="H129" s="37" t="s">
        <v>202</v>
      </c>
      <c r="I129" s="37">
        <v>6286</v>
      </c>
      <c r="J129" s="60">
        <v>61</v>
      </c>
      <c r="K129" s="61">
        <f>Table_Household_Alloc[[#This Row],[Unit Entitlement]]/1000</f>
        <v>6.0999999999999999E-2</v>
      </c>
      <c r="L129" s="44">
        <f t="shared" si="2"/>
        <v>14.151999999999999</v>
      </c>
      <c r="M129" s="66" t="str">
        <f>CONCATENATE("Symo ",Table_Household_Alloc[[#This Row],[Export Capacity (kW)]])</f>
        <v>Symo 10</v>
      </c>
      <c r="N129" s="52">
        <f>IF(Table_Household_Alloc[[#This Row],[PV Installed]]="Y",1,0)*Table_Household_Alloc[[#This Row],[Calculated Battery Allocation (kWh)]]</f>
        <v>14.151999999999999</v>
      </c>
      <c r="O129" s="46">
        <v>10</v>
      </c>
      <c r="P129" s="37" t="s">
        <v>31</v>
      </c>
      <c r="Q129" s="37" t="s">
        <v>31</v>
      </c>
      <c r="R129" s="37" t="s">
        <v>31</v>
      </c>
      <c r="S129" s="37" t="s">
        <v>44</v>
      </c>
      <c r="T129" s="46" t="s">
        <v>435</v>
      </c>
      <c r="U129" s="49" t="s">
        <v>436</v>
      </c>
      <c r="V129" s="46" t="s">
        <v>437</v>
      </c>
      <c r="X129" s="50">
        <v>44884</v>
      </c>
      <c r="Y129" s="51" t="s">
        <v>37</v>
      </c>
    </row>
    <row r="130" spans="1:25" s="46" customFormat="1" ht="19" x14ac:dyDescent="0.25">
      <c r="A130" s="40">
        <v>22</v>
      </c>
      <c r="B130" s="41" t="s">
        <v>347</v>
      </c>
      <c r="C130" s="85"/>
      <c r="D130" s="37"/>
      <c r="E130" s="37" t="s">
        <v>438</v>
      </c>
      <c r="F130" s="37" t="s">
        <v>439</v>
      </c>
      <c r="G130" s="37" t="s">
        <v>201</v>
      </c>
      <c r="H130" s="37" t="s">
        <v>202</v>
      </c>
      <c r="I130" s="37">
        <v>6286</v>
      </c>
      <c r="J130" s="60">
        <v>61</v>
      </c>
      <c r="K130" s="61">
        <f>Table_Household_Alloc[[#This Row],[Unit Entitlement]]/1000</f>
        <v>6.0999999999999999E-2</v>
      </c>
      <c r="L130" s="44">
        <f t="shared" si="2"/>
        <v>14.151999999999999</v>
      </c>
      <c r="M130" s="66"/>
      <c r="N130" s="52">
        <f>IF(Table_Household_Alloc[[#This Row],[PV Installed]]="Y",1,0)*Table_Household_Alloc[[#This Row],[Calculated Battery Allocation (kWh)]]</f>
        <v>0</v>
      </c>
      <c r="P130" s="37"/>
      <c r="Q130" s="37"/>
      <c r="R130" s="37"/>
      <c r="S130" s="37" t="s">
        <v>118</v>
      </c>
      <c r="T130" s="46" t="s">
        <v>440</v>
      </c>
      <c r="U130" s="49" t="s">
        <v>441</v>
      </c>
      <c r="V130" s="46" t="s">
        <v>442</v>
      </c>
      <c r="X130" s="50"/>
      <c r="Y130" s="51"/>
    </row>
    <row r="131" spans="1:25" s="46" customFormat="1" ht="40" x14ac:dyDescent="0.25">
      <c r="A131" s="55" t="s">
        <v>147</v>
      </c>
      <c r="B131" s="41" t="s">
        <v>347</v>
      </c>
      <c r="C131" s="53">
        <v>2902000956</v>
      </c>
      <c r="D131" s="37"/>
      <c r="E131" s="71" t="s">
        <v>148</v>
      </c>
      <c r="F131" s="56"/>
      <c r="G131" s="37"/>
      <c r="H131" s="37"/>
      <c r="I131" s="37"/>
      <c r="J131" s="63"/>
      <c r="K131" s="6">
        <f>Table_Household_Alloc[[#This Row],[Unit Entitlement]]/1000</f>
        <v>0</v>
      </c>
      <c r="L131" s="44"/>
      <c r="M131" s="37"/>
      <c r="N131" s="52">
        <f>IF(Table_Household_Alloc[[#This Row],[PV Installed]]="Y",1,0)*Table_Household_Alloc[[#This Row],[Calculated Battery Allocation (kWh)]]</f>
        <v>0</v>
      </c>
      <c r="T131" s="58"/>
      <c r="U131" s="49"/>
      <c r="V131" s="7"/>
      <c r="X131" s="59"/>
      <c r="Y131" s="51"/>
    </row>
    <row r="132" spans="1:25" s="46" customFormat="1" ht="19" x14ac:dyDescent="0.25">
      <c r="A132" s="40" t="s">
        <v>149</v>
      </c>
      <c r="B132" s="41" t="s">
        <v>347</v>
      </c>
      <c r="C132" s="53">
        <v>2902000944</v>
      </c>
      <c r="D132" s="37" t="s">
        <v>150</v>
      </c>
      <c r="E132" s="71" t="s">
        <v>151</v>
      </c>
      <c r="F132" s="37"/>
      <c r="G132" s="37" t="s">
        <v>29</v>
      </c>
      <c r="H132" s="37" t="s">
        <v>30</v>
      </c>
      <c r="I132" s="37">
        <v>6286</v>
      </c>
      <c r="J132" s="43"/>
      <c r="K132" s="4">
        <f>Table_Household_Alloc[[#This Row],[Unit Entitlement]]/1000</f>
        <v>0</v>
      </c>
      <c r="L132" s="44">
        <f t="shared" ref="L132:L133" si="4">(J132/1000)*232</f>
        <v>0</v>
      </c>
      <c r="M132" s="66"/>
      <c r="N132" s="52">
        <f>IF(Table_Household_Alloc[[#This Row],[PV Installed]]="Y",1,0)*Table_Household_Alloc[[#This Row],[Calculated Battery Allocation (kWh)]]</f>
        <v>0</v>
      </c>
      <c r="P132" s="3"/>
      <c r="Q132" s="3"/>
      <c r="R132" s="37"/>
      <c r="S132" s="37"/>
      <c r="U132" s="49"/>
      <c r="X132" s="50"/>
      <c r="Y132" s="51"/>
    </row>
    <row r="133" spans="1:25" s="46" customFormat="1" ht="19" x14ac:dyDescent="0.25">
      <c r="A133" s="40" t="s">
        <v>152</v>
      </c>
      <c r="B133" s="41" t="s">
        <v>347</v>
      </c>
      <c r="C133" s="53">
        <v>2912025226</v>
      </c>
      <c r="D133" s="37" t="s">
        <v>150</v>
      </c>
      <c r="E133" s="71" t="s">
        <v>153</v>
      </c>
      <c r="F133" s="37"/>
      <c r="G133" s="37" t="s">
        <v>29</v>
      </c>
      <c r="H133" s="37" t="s">
        <v>30</v>
      </c>
      <c r="I133" s="37">
        <v>6286</v>
      </c>
      <c r="J133" s="60"/>
      <c r="K133" s="61">
        <f>Table_Household_Alloc[[#This Row],[Unit Entitlement]]/1000</f>
        <v>0</v>
      </c>
      <c r="L133" s="44">
        <f t="shared" si="4"/>
        <v>0</v>
      </c>
      <c r="M133" s="66"/>
      <c r="N133" s="52">
        <f>IF(Table_Household_Alloc[[#This Row],[PV Installed]]="Y",1,0)*Table_Household_Alloc[[#This Row],[Calculated Battery Allocation (kWh)]]</f>
        <v>0</v>
      </c>
      <c r="P133" s="3"/>
      <c r="Q133" s="3"/>
      <c r="R133" s="37"/>
      <c r="S133" s="37"/>
      <c r="U133" s="49"/>
      <c r="X133" s="50"/>
      <c r="Y133" s="51"/>
    </row>
    <row r="134" spans="1:25" s="46" customFormat="1" ht="20" x14ac:dyDescent="0.25">
      <c r="A134" s="55" t="s">
        <v>642</v>
      </c>
      <c r="B134" s="41" t="s">
        <v>347</v>
      </c>
      <c r="C134" s="53"/>
      <c r="D134" s="37"/>
      <c r="E134" s="56"/>
      <c r="F134" s="56"/>
      <c r="G134" s="37"/>
      <c r="H134" s="37"/>
      <c r="I134" s="37"/>
      <c r="J134" s="63"/>
      <c r="K134" s="6">
        <f>Table_Household_Alloc[[#This Row],[Unit Entitlement]]/1000</f>
        <v>0</v>
      </c>
      <c r="L134" s="44"/>
      <c r="M134" s="37"/>
      <c r="N134" s="52">
        <f>IF(Table_Household_Alloc[[#This Row],[PV Installed]]="Y",1,0)*Table_Household_Alloc[[#This Row],[Calculated Battery Allocation (kWh)]]</f>
        <v>0</v>
      </c>
      <c r="T134" s="58"/>
      <c r="U134" s="49"/>
      <c r="V134" s="7"/>
      <c r="X134" s="59"/>
      <c r="Y134" s="51"/>
    </row>
    <row r="135" spans="1:25" s="46" customFormat="1" ht="20" x14ac:dyDescent="0.25">
      <c r="A135" s="64" t="s">
        <v>643</v>
      </c>
      <c r="B135" s="41" t="s">
        <v>347</v>
      </c>
      <c r="C135" s="53"/>
      <c r="D135" s="37"/>
      <c r="E135" s="56"/>
      <c r="F135" s="56"/>
      <c r="G135" s="37"/>
      <c r="H135" s="37"/>
      <c r="I135" s="37"/>
      <c r="J135" s="63"/>
      <c r="K135" s="6">
        <f>Table_Household_Alloc[[#This Row],[Unit Entitlement]]/1000</f>
        <v>0</v>
      </c>
      <c r="L135" s="44"/>
      <c r="M135" s="37"/>
      <c r="N135" s="52">
        <f>IF(Table_Household_Alloc[[#This Row],[PV Installed]]="Y",1,0)*Table_Household_Alloc[[#This Row],[Calculated Battery Allocation (kWh)]]</f>
        <v>0</v>
      </c>
      <c r="T135" s="58"/>
      <c r="U135" s="49"/>
      <c r="V135" s="7"/>
      <c r="X135" s="59"/>
      <c r="Y135" s="51"/>
    </row>
    <row r="136" spans="1:25" s="46" customFormat="1" ht="19" x14ac:dyDescent="0.25">
      <c r="A136" s="40">
        <v>1</v>
      </c>
      <c r="B136" s="41" t="s">
        <v>443</v>
      </c>
      <c r="C136" s="42"/>
      <c r="D136" s="37"/>
      <c r="E136" s="37" t="s">
        <v>444</v>
      </c>
      <c r="F136" s="37" t="s">
        <v>445</v>
      </c>
      <c r="G136" s="37" t="s">
        <v>201</v>
      </c>
      <c r="H136" s="37" t="s">
        <v>202</v>
      </c>
      <c r="I136" s="37">
        <v>6286</v>
      </c>
      <c r="J136" s="60">
        <v>32</v>
      </c>
      <c r="K136" s="61">
        <f>Table_Household_Alloc[[#This Row],[Unit Entitlement]]/1000</f>
        <v>3.2000000000000001E-2</v>
      </c>
      <c r="L136" s="44">
        <f t="shared" si="2"/>
        <v>7.4240000000000004</v>
      </c>
      <c r="M136" s="66"/>
      <c r="N136" s="52">
        <f>IF(Table_Household_Alloc[[#This Row],[PV Installed]]="Y",1,0)*Table_Household_Alloc[[#This Row],[Calculated Battery Allocation (kWh)]]</f>
        <v>0</v>
      </c>
      <c r="P136" s="37"/>
      <c r="Q136" s="87"/>
      <c r="R136" s="37"/>
      <c r="S136" s="37" t="s">
        <v>44</v>
      </c>
      <c r="T136" s="88" t="s">
        <v>446</v>
      </c>
      <c r="U136" s="49"/>
      <c r="V136" s="19" t="s">
        <v>447</v>
      </c>
      <c r="X136" s="89">
        <v>45588</v>
      </c>
      <c r="Y136" s="51" t="s">
        <v>37</v>
      </c>
    </row>
    <row r="137" spans="1:25" s="46" customFormat="1" ht="19" x14ac:dyDescent="0.25">
      <c r="A137" s="40">
        <v>2</v>
      </c>
      <c r="B137" s="41" t="s">
        <v>443</v>
      </c>
      <c r="C137" s="42"/>
      <c r="D137" s="37"/>
      <c r="E137" s="37" t="s">
        <v>448</v>
      </c>
      <c r="F137" s="37" t="s">
        <v>449</v>
      </c>
      <c r="G137" s="37" t="s">
        <v>201</v>
      </c>
      <c r="H137" s="37" t="s">
        <v>202</v>
      </c>
      <c r="I137" s="37">
        <v>6286</v>
      </c>
      <c r="J137" s="60">
        <v>32</v>
      </c>
      <c r="K137" s="61">
        <f>Table_Household_Alloc[[#This Row],[Unit Entitlement]]/1000</f>
        <v>3.2000000000000001E-2</v>
      </c>
      <c r="L137" s="44">
        <f t="shared" si="2"/>
        <v>7.4240000000000004</v>
      </c>
      <c r="M137" s="66"/>
      <c r="N137" s="52">
        <f>IF(Table_Household_Alloc[[#This Row],[PV Installed]]="Y",1,0)*Table_Household_Alloc[[#This Row],[Calculated Battery Allocation (kWh)]]</f>
        <v>0</v>
      </c>
      <c r="P137" s="37"/>
      <c r="Q137" s="37"/>
      <c r="R137" s="37"/>
      <c r="S137" s="37" t="s">
        <v>118</v>
      </c>
      <c r="T137" s="88" t="s">
        <v>450</v>
      </c>
      <c r="U137" s="49"/>
      <c r="V137" s="20" t="s">
        <v>451</v>
      </c>
      <c r="X137" s="89"/>
      <c r="Y137" s="51"/>
    </row>
    <row r="138" spans="1:25" s="46" customFormat="1" ht="19" x14ac:dyDescent="0.25">
      <c r="A138" s="40">
        <v>3</v>
      </c>
      <c r="B138" s="41" t="s">
        <v>443</v>
      </c>
      <c r="C138" s="54"/>
      <c r="D138" s="37"/>
      <c r="E138" s="37" t="s">
        <v>452</v>
      </c>
      <c r="F138" s="37" t="s">
        <v>453</v>
      </c>
      <c r="G138" s="37" t="s">
        <v>201</v>
      </c>
      <c r="H138" s="37" t="s">
        <v>202</v>
      </c>
      <c r="I138" s="37">
        <v>6286</v>
      </c>
      <c r="J138" s="60">
        <v>34</v>
      </c>
      <c r="K138" s="61">
        <f>Table_Household_Alloc[[#This Row],[Unit Entitlement]]/1000</f>
        <v>3.4000000000000002E-2</v>
      </c>
      <c r="L138" s="44">
        <f t="shared" si="2"/>
        <v>7.8880000000000008</v>
      </c>
      <c r="M138" s="66"/>
      <c r="N138" s="52">
        <f>IF(Table_Household_Alloc[[#This Row],[PV Installed]]="Y",1,0)*Table_Household_Alloc[[#This Row],[Calculated Battery Allocation (kWh)]]</f>
        <v>0</v>
      </c>
      <c r="P138" s="37"/>
      <c r="Q138" s="37"/>
      <c r="R138" s="37"/>
      <c r="S138" s="37" t="s">
        <v>118</v>
      </c>
      <c r="T138" s="88" t="s">
        <v>454</v>
      </c>
      <c r="U138" s="49"/>
      <c r="V138" s="20" t="s">
        <v>455</v>
      </c>
      <c r="X138" s="89"/>
      <c r="Y138" s="51"/>
    </row>
    <row r="139" spans="1:25" s="46" customFormat="1" ht="19" x14ac:dyDescent="0.25">
      <c r="A139" s="40">
        <v>4</v>
      </c>
      <c r="B139" s="41" t="s">
        <v>443</v>
      </c>
      <c r="C139" s="53">
        <v>50002962</v>
      </c>
      <c r="D139" s="37"/>
      <c r="E139" s="37" t="s">
        <v>456</v>
      </c>
      <c r="F139" s="37" t="s">
        <v>457</v>
      </c>
      <c r="G139" s="37" t="s">
        <v>201</v>
      </c>
      <c r="H139" s="37" t="s">
        <v>202</v>
      </c>
      <c r="I139" s="37">
        <v>6286</v>
      </c>
      <c r="J139" s="60">
        <v>35</v>
      </c>
      <c r="K139" s="61">
        <f>Table_Household_Alloc[[#This Row],[Unit Entitlement]]/1000</f>
        <v>3.5000000000000003E-2</v>
      </c>
      <c r="L139" s="44">
        <f t="shared" si="2"/>
        <v>8.120000000000001</v>
      </c>
      <c r="M139" s="66" t="str">
        <f>CONCATENATE("Symo ",Table_Household_Alloc[[#This Row],[Export Capacity (kW)]])</f>
        <v>Symo 5</v>
      </c>
      <c r="N139" s="52">
        <f>IF(Table_Household_Alloc[[#This Row],[PV Installed]]="Y",1,0)*Table_Household_Alloc[[#This Row],[Calculated Battery Allocation (kWh)]]</f>
        <v>8.120000000000001</v>
      </c>
      <c r="O139" s="46">
        <v>5</v>
      </c>
      <c r="P139" s="37" t="s">
        <v>31</v>
      </c>
      <c r="Q139" s="37" t="s">
        <v>31</v>
      </c>
      <c r="R139" s="37" t="s">
        <v>31</v>
      </c>
      <c r="S139" s="37" t="s">
        <v>44</v>
      </c>
      <c r="T139" s="88" t="s">
        <v>458</v>
      </c>
      <c r="U139" s="49"/>
      <c r="V139" s="20" t="s">
        <v>399</v>
      </c>
      <c r="X139" s="21">
        <v>45040</v>
      </c>
      <c r="Y139" s="51" t="s">
        <v>37</v>
      </c>
    </row>
    <row r="140" spans="1:25" s="46" customFormat="1" ht="19" x14ac:dyDescent="0.25">
      <c r="A140" s="40">
        <v>5</v>
      </c>
      <c r="B140" s="41" t="s">
        <v>443</v>
      </c>
      <c r="C140" s="54"/>
      <c r="D140" s="37"/>
      <c r="E140" s="37" t="s">
        <v>459</v>
      </c>
      <c r="F140" s="37" t="s">
        <v>460</v>
      </c>
      <c r="G140" s="37" t="s">
        <v>201</v>
      </c>
      <c r="H140" s="37" t="s">
        <v>202</v>
      </c>
      <c r="I140" s="37">
        <v>6286</v>
      </c>
      <c r="J140" s="60">
        <v>35</v>
      </c>
      <c r="K140" s="61">
        <f>Table_Household_Alloc[[#This Row],[Unit Entitlement]]/1000</f>
        <v>3.5000000000000003E-2</v>
      </c>
      <c r="L140" s="44">
        <f t="shared" si="2"/>
        <v>8.120000000000001</v>
      </c>
      <c r="M140" s="66"/>
      <c r="N140" s="52">
        <f>IF(Table_Household_Alloc[[#This Row],[PV Installed]]="Y",1,0)*Table_Household_Alloc[[#This Row],[Calculated Battery Allocation (kWh)]]</f>
        <v>0</v>
      </c>
      <c r="P140" s="37"/>
      <c r="Q140" s="37"/>
      <c r="R140" s="37"/>
      <c r="S140" s="37" t="s">
        <v>118</v>
      </c>
      <c r="T140" s="88" t="s">
        <v>461</v>
      </c>
      <c r="U140" s="49"/>
      <c r="V140" s="20" t="s">
        <v>462</v>
      </c>
      <c r="X140" s="89"/>
      <c r="Y140" s="51"/>
    </row>
    <row r="141" spans="1:25" s="46" customFormat="1" ht="19" x14ac:dyDescent="0.25">
      <c r="A141" s="40">
        <v>6</v>
      </c>
      <c r="B141" s="41" t="s">
        <v>443</v>
      </c>
      <c r="C141" s="54"/>
      <c r="D141" s="37"/>
      <c r="E141" s="37" t="s">
        <v>463</v>
      </c>
      <c r="F141" s="37" t="s">
        <v>464</v>
      </c>
      <c r="G141" s="37" t="s">
        <v>201</v>
      </c>
      <c r="H141" s="37" t="s">
        <v>202</v>
      </c>
      <c r="I141" s="37">
        <v>6286</v>
      </c>
      <c r="J141" s="60">
        <v>29</v>
      </c>
      <c r="K141" s="61">
        <f>Table_Household_Alloc[[#This Row],[Unit Entitlement]]/1000</f>
        <v>2.9000000000000001E-2</v>
      </c>
      <c r="L141" s="44">
        <f t="shared" si="2"/>
        <v>6.7280000000000006</v>
      </c>
      <c r="M141" s="66"/>
      <c r="N141" s="52">
        <f>IF(Table_Household_Alloc[[#This Row],[PV Installed]]="Y",1,0)*Table_Household_Alloc[[#This Row],[Calculated Battery Allocation (kWh)]]</f>
        <v>0</v>
      </c>
      <c r="P141" s="37"/>
      <c r="Q141" s="37"/>
      <c r="R141" s="37"/>
      <c r="S141" s="37" t="s">
        <v>118</v>
      </c>
      <c r="T141" s="88" t="s">
        <v>465</v>
      </c>
      <c r="U141" s="49"/>
      <c r="V141" s="20" t="s">
        <v>466</v>
      </c>
      <c r="X141" s="89"/>
      <c r="Y141" s="51"/>
    </row>
    <row r="142" spans="1:25" s="46" customFormat="1" ht="19" x14ac:dyDescent="0.25">
      <c r="A142" s="40">
        <v>7</v>
      </c>
      <c r="B142" s="41" t="s">
        <v>443</v>
      </c>
      <c r="C142" s="53">
        <v>50003423</v>
      </c>
      <c r="D142" s="37"/>
      <c r="E142" s="37" t="s">
        <v>467</v>
      </c>
      <c r="F142" s="37" t="s">
        <v>468</v>
      </c>
      <c r="G142" s="37" t="s">
        <v>201</v>
      </c>
      <c r="H142" s="37" t="s">
        <v>202</v>
      </c>
      <c r="I142" s="37">
        <v>6286</v>
      </c>
      <c r="J142" s="60">
        <v>31</v>
      </c>
      <c r="K142" s="61">
        <f>Table_Household_Alloc[[#This Row],[Unit Entitlement]]/1000</f>
        <v>3.1E-2</v>
      </c>
      <c r="L142" s="44">
        <f t="shared" si="2"/>
        <v>7.1920000000000002</v>
      </c>
      <c r="M142" s="66" t="str">
        <f>CONCATENATE("Symo ",Table_Household_Alloc[[#This Row],[Export Capacity (kW)]])</f>
        <v>Symo 5</v>
      </c>
      <c r="N142" s="52">
        <f>IF(Table_Household_Alloc[[#This Row],[PV Installed]]="Y",1,0)*Table_Household_Alloc[[#This Row],[Calculated Battery Allocation (kWh)]]</f>
        <v>7.1920000000000002</v>
      </c>
      <c r="O142" s="46">
        <v>5</v>
      </c>
      <c r="P142" s="37" t="s">
        <v>31</v>
      </c>
      <c r="Q142" s="37" t="s">
        <v>31</v>
      </c>
      <c r="R142" s="37" t="s">
        <v>31</v>
      </c>
      <c r="S142" s="37" t="s">
        <v>44</v>
      </c>
      <c r="T142" s="88" t="s">
        <v>469</v>
      </c>
      <c r="U142" s="49"/>
      <c r="V142" s="20" t="s">
        <v>470</v>
      </c>
      <c r="X142" s="22">
        <v>45295</v>
      </c>
      <c r="Y142" s="51" t="s">
        <v>37</v>
      </c>
    </row>
    <row r="143" spans="1:25" s="46" customFormat="1" ht="19" x14ac:dyDescent="0.25">
      <c r="A143" s="40">
        <v>8</v>
      </c>
      <c r="B143" s="41" t="s">
        <v>443</v>
      </c>
      <c r="C143" s="54"/>
      <c r="D143" s="37"/>
      <c r="E143" s="37" t="s">
        <v>471</v>
      </c>
      <c r="F143" s="37" t="s">
        <v>472</v>
      </c>
      <c r="G143" s="37" t="s">
        <v>201</v>
      </c>
      <c r="H143" s="37" t="s">
        <v>202</v>
      </c>
      <c r="I143" s="37">
        <v>6286</v>
      </c>
      <c r="J143" s="60">
        <v>31</v>
      </c>
      <c r="K143" s="61">
        <f>Table_Household_Alloc[[#This Row],[Unit Entitlement]]/1000</f>
        <v>3.1E-2</v>
      </c>
      <c r="L143" s="44">
        <f t="shared" si="2"/>
        <v>7.1920000000000002</v>
      </c>
      <c r="M143" s="66"/>
      <c r="N143" s="52">
        <f>IF(Table_Household_Alloc[[#This Row],[PV Installed]]="Y",1,0)*Table_Household_Alloc[[#This Row],[Calculated Battery Allocation (kWh)]]</f>
        <v>0</v>
      </c>
      <c r="P143" s="37"/>
      <c r="Q143" s="37"/>
      <c r="R143" s="37"/>
      <c r="S143" s="37" t="s">
        <v>118</v>
      </c>
      <c r="T143" s="90" t="s">
        <v>473</v>
      </c>
      <c r="U143" s="49"/>
      <c r="V143" s="20" t="s">
        <v>474</v>
      </c>
      <c r="X143" s="89"/>
      <c r="Y143" s="51"/>
    </row>
    <row r="144" spans="1:25" s="46" customFormat="1" ht="19" x14ac:dyDescent="0.25">
      <c r="A144" s="40">
        <v>9</v>
      </c>
      <c r="B144" s="41" t="s">
        <v>443</v>
      </c>
      <c r="C144" s="42"/>
      <c r="D144" s="37"/>
      <c r="E144" s="37" t="s">
        <v>475</v>
      </c>
      <c r="F144" s="37" t="s">
        <v>476</v>
      </c>
      <c r="G144" s="37" t="s">
        <v>201</v>
      </c>
      <c r="H144" s="37" t="s">
        <v>202</v>
      </c>
      <c r="I144" s="37">
        <v>6286</v>
      </c>
      <c r="J144" s="60">
        <v>45</v>
      </c>
      <c r="K144" s="61">
        <f>Table_Household_Alloc[[#This Row],[Unit Entitlement]]/1000</f>
        <v>4.4999999999999998E-2</v>
      </c>
      <c r="L144" s="44">
        <f t="shared" si="2"/>
        <v>10.44</v>
      </c>
      <c r="M144" s="66"/>
      <c r="N144" s="52">
        <f>IF(Table_Household_Alloc[[#This Row],[PV Installed]]="Y",1,0)*Table_Household_Alloc[[#This Row],[Calculated Battery Allocation (kWh)]]</f>
        <v>0</v>
      </c>
      <c r="P144" s="37"/>
      <c r="Q144" s="37"/>
      <c r="R144" s="37"/>
      <c r="S144" s="37" t="s">
        <v>33</v>
      </c>
      <c r="T144" s="88" t="s">
        <v>477</v>
      </c>
      <c r="U144" s="49"/>
      <c r="V144" s="20" t="s">
        <v>478</v>
      </c>
      <c r="X144" s="89"/>
      <c r="Y144" s="51"/>
    </row>
    <row r="145" spans="1:25" s="46" customFormat="1" ht="19" x14ac:dyDescent="0.25">
      <c r="A145" s="40">
        <v>10</v>
      </c>
      <c r="B145" s="41" t="s">
        <v>443</v>
      </c>
      <c r="C145" s="42"/>
      <c r="D145" s="37"/>
      <c r="E145" s="37" t="s">
        <v>479</v>
      </c>
      <c r="F145" s="37" t="s">
        <v>480</v>
      </c>
      <c r="G145" s="37" t="s">
        <v>201</v>
      </c>
      <c r="H145" s="37" t="s">
        <v>202</v>
      </c>
      <c r="I145" s="37">
        <v>6286</v>
      </c>
      <c r="J145" s="60">
        <v>45</v>
      </c>
      <c r="K145" s="61">
        <f>Table_Household_Alloc[[#This Row],[Unit Entitlement]]/1000</f>
        <v>4.4999999999999998E-2</v>
      </c>
      <c r="L145" s="44">
        <f t="shared" si="2"/>
        <v>10.44</v>
      </c>
      <c r="M145" s="66"/>
      <c r="N145" s="52">
        <f>IF(Table_Household_Alloc[[#This Row],[PV Installed]]="Y",1,0)*Table_Household_Alloc[[#This Row],[Calculated Battery Allocation (kWh)]]</f>
        <v>0</v>
      </c>
      <c r="P145" s="37"/>
      <c r="Q145" s="37"/>
      <c r="R145" s="37"/>
      <c r="S145" s="37" t="s">
        <v>118</v>
      </c>
      <c r="T145" s="88" t="s">
        <v>481</v>
      </c>
      <c r="U145" s="49"/>
      <c r="V145" s="20" t="s">
        <v>482</v>
      </c>
      <c r="X145" s="89"/>
      <c r="Y145" s="51"/>
    </row>
    <row r="146" spans="1:25" s="46" customFormat="1" ht="19" x14ac:dyDescent="0.25">
      <c r="A146" s="40">
        <v>11</v>
      </c>
      <c r="B146" s="41" t="s">
        <v>443</v>
      </c>
      <c r="C146" s="54"/>
      <c r="D146" s="37"/>
      <c r="E146" s="37" t="s">
        <v>483</v>
      </c>
      <c r="F146" s="37" t="s">
        <v>484</v>
      </c>
      <c r="G146" s="37" t="s">
        <v>201</v>
      </c>
      <c r="H146" s="37" t="s">
        <v>202</v>
      </c>
      <c r="I146" s="37">
        <v>6286</v>
      </c>
      <c r="J146" s="60">
        <v>45</v>
      </c>
      <c r="K146" s="61">
        <f>Table_Household_Alloc[[#This Row],[Unit Entitlement]]/1000</f>
        <v>4.4999999999999998E-2</v>
      </c>
      <c r="L146" s="44">
        <f t="shared" si="2"/>
        <v>10.44</v>
      </c>
      <c r="M146" s="66"/>
      <c r="N146" s="52">
        <f>IF(Table_Household_Alloc[[#This Row],[PV Installed]]="Y",1,0)*Table_Household_Alloc[[#This Row],[Calculated Battery Allocation (kWh)]]</f>
        <v>0</v>
      </c>
      <c r="P146" s="37"/>
      <c r="Q146" s="37"/>
      <c r="R146" s="37"/>
      <c r="S146" s="37" t="s">
        <v>33</v>
      </c>
      <c r="T146" s="88" t="s">
        <v>485</v>
      </c>
      <c r="U146" s="49"/>
      <c r="V146" s="20" t="s">
        <v>486</v>
      </c>
      <c r="X146" s="89"/>
      <c r="Y146" s="51"/>
    </row>
    <row r="147" spans="1:25" s="46" customFormat="1" ht="19" x14ac:dyDescent="0.25">
      <c r="A147" s="40">
        <v>12</v>
      </c>
      <c r="B147" s="41" t="s">
        <v>443</v>
      </c>
      <c r="C147" s="42"/>
      <c r="D147" s="37"/>
      <c r="E147" s="37" t="s">
        <v>487</v>
      </c>
      <c r="F147" s="37" t="s">
        <v>488</v>
      </c>
      <c r="G147" s="37" t="s">
        <v>201</v>
      </c>
      <c r="H147" s="37" t="s">
        <v>202</v>
      </c>
      <c r="I147" s="37">
        <v>6286</v>
      </c>
      <c r="J147" s="60">
        <v>45</v>
      </c>
      <c r="K147" s="61">
        <f>Table_Household_Alloc[[#This Row],[Unit Entitlement]]/1000</f>
        <v>4.4999999999999998E-2</v>
      </c>
      <c r="L147" s="44">
        <f t="shared" si="2"/>
        <v>10.44</v>
      </c>
      <c r="M147" s="66"/>
      <c r="N147" s="52">
        <f>IF(Table_Household_Alloc[[#This Row],[PV Installed]]="Y",1,0)*Table_Household_Alloc[[#This Row],[Calculated Battery Allocation (kWh)]]</f>
        <v>0</v>
      </c>
      <c r="P147" s="37"/>
      <c r="Q147" s="37"/>
      <c r="R147" s="37"/>
      <c r="S147" s="37" t="s">
        <v>33</v>
      </c>
      <c r="T147" s="88" t="s">
        <v>489</v>
      </c>
      <c r="U147" s="49"/>
      <c r="V147" s="20" t="s">
        <v>490</v>
      </c>
      <c r="X147" s="89"/>
      <c r="Y147" s="51"/>
    </row>
    <row r="148" spans="1:25" s="46" customFormat="1" ht="19" x14ac:dyDescent="0.25">
      <c r="A148" s="40">
        <v>13</v>
      </c>
      <c r="B148" s="41" t="s">
        <v>443</v>
      </c>
      <c r="C148" s="54"/>
      <c r="D148" s="37"/>
      <c r="E148" s="37" t="s">
        <v>491</v>
      </c>
      <c r="F148" s="37" t="s">
        <v>492</v>
      </c>
      <c r="G148" s="37" t="s">
        <v>201</v>
      </c>
      <c r="H148" s="37" t="s">
        <v>202</v>
      </c>
      <c r="I148" s="37">
        <v>6286</v>
      </c>
      <c r="J148" s="60">
        <v>45</v>
      </c>
      <c r="K148" s="61">
        <f>Table_Household_Alloc[[#This Row],[Unit Entitlement]]/1000</f>
        <v>4.4999999999999998E-2</v>
      </c>
      <c r="L148" s="44">
        <f t="shared" si="2"/>
        <v>10.44</v>
      </c>
      <c r="M148" s="66"/>
      <c r="N148" s="52">
        <f>IF(Table_Household_Alloc[[#This Row],[PV Installed]]="Y",1,0)*Table_Household_Alloc[[#This Row],[Calculated Battery Allocation (kWh)]]</f>
        <v>0</v>
      </c>
      <c r="P148" s="37"/>
      <c r="Q148" s="37"/>
      <c r="R148" s="37"/>
      <c r="S148" s="37" t="s">
        <v>118</v>
      </c>
      <c r="T148" s="88"/>
      <c r="U148" s="49"/>
      <c r="V148" s="20" t="s">
        <v>493</v>
      </c>
      <c r="X148" s="89"/>
      <c r="Y148" s="51"/>
    </row>
    <row r="149" spans="1:25" s="46" customFormat="1" ht="35" x14ac:dyDescent="0.25">
      <c r="A149" s="40">
        <v>14</v>
      </c>
      <c r="B149" s="41" t="s">
        <v>443</v>
      </c>
      <c r="C149" s="42"/>
      <c r="D149" s="37"/>
      <c r="E149" s="37" t="s">
        <v>494</v>
      </c>
      <c r="F149" s="37" t="s">
        <v>495</v>
      </c>
      <c r="G149" s="37" t="s">
        <v>201</v>
      </c>
      <c r="H149" s="37" t="s">
        <v>202</v>
      </c>
      <c r="I149" s="37">
        <v>6286</v>
      </c>
      <c r="J149" s="60">
        <v>45</v>
      </c>
      <c r="K149" s="61">
        <f>Table_Household_Alloc[[#This Row],[Unit Entitlement]]/1000</f>
        <v>4.4999999999999998E-2</v>
      </c>
      <c r="L149" s="44">
        <f t="shared" si="2"/>
        <v>10.44</v>
      </c>
      <c r="M149" s="66"/>
      <c r="N149" s="52">
        <f>IF(Table_Household_Alloc[[#This Row],[PV Installed]]="Y",1,0)*Table_Household_Alloc[[#This Row],[Calculated Battery Allocation (kWh)]]</f>
        <v>0</v>
      </c>
      <c r="P149" s="37"/>
      <c r="Q149" s="37"/>
      <c r="R149" s="37"/>
      <c r="S149" s="37" t="s">
        <v>118</v>
      </c>
      <c r="T149" s="88" t="s">
        <v>496</v>
      </c>
      <c r="U149" s="49"/>
      <c r="V149" s="20" t="s">
        <v>497</v>
      </c>
      <c r="X149" s="89"/>
      <c r="Y149" s="51"/>
    </row>
    <row r="150" spans="1:25" s="46" customFormat="1" ht="19" x14ac:dyDescent="0.25">
      <c r="A150" s="40">
        <v>15</v>
      </c>
      <c r="B150" s="41" t="s">
        <v>443</v>
      </c>
      <c r="C150" s="54"/>
      <c r="D150" s="37"/>
      <c r="E150" s="37" t="s">
        <v>498</v>
      </c>
      <c r="F150" s="37" t="s">
        <v>499</v>
      </c>
      <c r="G150" s="37" t="s">
        <v>201</v>
      </c>
      <c r="H150" s="37" t="s">
        <v>202</v>
      </c>
      <c r="I150" s="37">
        <v>6286</v>
      </c>
      <c r="J150" s="60">
        <v>21</v>
      </c>
      <c r="K150" s="61">
        <f>Table_Household_Alloc[[#This Row],[Unit Entitlement]]/1000</f>
        <v>2.1000000000000001E-2</v>
      </c>
      <c r="L150" s="44">
        <f t="shared" si="2"/>
        <v>4.8719999999999999</v>
      </c>
      <c r="M150" s="66"/>
      <c r="N150" s="52">
        <f>IF(Table_Household_Alloc[[#This Row],[PV Installed]]="Y",1,0)*Table_Household_Alloc[[#This Row],[Calculated Battery Allocation (kWh)]]</f>
        <v>0</v>
      </c>
      <c r="P150" s="37"/>
      <c r="Q150" s="37"/>
      <c r="R150" s="37"/>
      <c r="S150" s="37" t="s">
        <v>44</v>
      </c>
      <c r="T150" s="88" t="s">
        <v>500</v>
      </c>
      <c r="U150" s="49"/>
      <c r="V150" s="20" t="s">
        <v>501</v>
      </c>
      <c r="X150" s="22">
        <v>45008</v>
      </c>
      <c r="Y150" s="51" t="s">
        <v>37</v>
      </c>
    </row>
    <row r="151" spans="1:25" s="46" customFormat="1" ht="19" x14ac:dyDescent="0.25">
      <c r="A151" s="40">
        <v>16</v>
      </c>
      <c r="B151" s="41" t="s">
        <v>443</v>
      </c>
      <c r="C151" s="54"/>
      <c r="D151" s="37"/>
      <c r="E151" s="37" t="s">
        <v>502</v>
      </c>
      <c r="F151" s="37" t="s">
        <v>503</v>
      </c>
      <c r="G151" s="37" t="s">
        <v>201</v>
      </c>
      <c r="H151" s="37" t="s">
        <v>202</v>
      </c>
      <c r="I151" s="37">
        <v>6286</v>
      </c>
      <c r="J151" s="60">
        <v>22</v>
      </c>
      <c r="K151" s="61">
        <f>Table_Household_Alloc[[#This Row],[Unit Entitlement]]/1000</f>
        <v>2.1999999999999999E-2</v>
      </c>
      <c r="L151" s="44">
        <f t="shared" si="2"/>
        <v>5.1040000000000001</v>
      </c>
      <c r="M151" s="66"/>
      <c r="N151" s="52">
        <f>IF(Table_Household_Alloc[[#This Row],[PV Installed]]="Y",1,0)*Table_Household_Alloc[[#This Row],[Calculated Battery Allocation (kWh)]]</f>
        <v>0</v>
      </c>
      <c r="P151" s="37"/>
      <c r="Q151" s="37"/>
      <c r="R151" s="37"/>
      <c r="S151" s="37" t="s">
        <v>44</v>
      </c>
      <c r="T151" s="90" t="s">
        <v>504</v>
      </c>
      <c r="U151" s="49"/>
      <c r="V151" s="20" t="s">
        <v>505</v>
      </c>
      <c r="X151" s="23">
        <v>45323</v>
      </c>
      <c r="Y151" s="51" t="s">
        <v>37</v>
      </c>
    </row>
    <row r="152" spans="1:25" s="46" customFormat="1" ht="19" x14ac:dyDescent="0.25">
      <c r="A152" s="40">
        <v>17</v>
      </c>
      <c r="B152" s="41" t="s">
        <v>443</v>
      </c>
      <c r="C152" s="54"/>
      <c r="D152" s="37"/>
      <c r="E152" s="37" t="s">
        <v>506</v>
      </c>
      <c r="F152" s="37" t="s">
        <v>507</v>
      </c>
      <c r="G152" s="37" t="s">
        <v>201</v>
      </c>
      <c r="H152" s="37" t="s">
        <v>202</v>
      </c>
      <c r="I152" s="37">
        <v>6286</v>
      </c>
      <c r="J152" s="60">
        <v>22</v>
      </c>
      <c r="K152" s="61">
        <f>Table_Household_Alloc[[#This Row],[Unit Entitlement]]/1000</f>
        <v>2.1999999999999999E-2</v>
      </c>
      <c r="L152" s="44">
        <f t="shared" si="2"/>
        <v>5.1040000000000001</v>
      </c>
      <c r="M152" s="66"/>
      <c r="N152" s="52">
        <f>IF(Table_Household_Alloc[[#This Row],[PV Installed]]="Y",1,0)*Table_Household_Alloc[[#This Row],[Calculated Battery Allocation (kWh)]]</f>
        <v>0</v>
      </c>
      <c r="P152" s="37"/>
      <c r="Q152" s="37"/>
      <c r="R152" s="37"/>
      <c r="S152" s="37" t="s">
        <v>118</v>
      </c>
      <c r="T152" s="88" t="s">
        <v>508</v>
      </c>
      <c r="U152" s="49"/>
      <c r="V152" s="20" t="s">
        <v>509</v>
      </c>
      <c r="X152" s="89"/>
      <c r="Y152" s="51"/>
    </row>
    <row r="153" spans="1:25" s="46" customFormat="1" ht="19" x14ac:dyDescent="0.25">
      <c r="A153" s="40">
        <v>18</v>
      </c>
      <c r="B153" s="41" t="s">
        <v>443</v>
      </c>
      <c r="C153" s="42"/>
      <c r="D153" s="37"/>
      <c r="E153" s="37" t="s">
        <v>510</v>
      </c>
      <c r="F153" s="37" t="s">
        <v>511</v>
      </c>
      <c r="G153" s="37" t="s">
        <v>201</v>
      </c>
      <c r="H153" s="37" t="s">
        <v>202</v>
      </c>
      <c r="I153" s="37">
        <v>6286</v>
      </c>
      <c r="J153" s="60">
        <v>22</v>
      </c>
      <c r="K153" s="61">
        <f>Table_Household_Alloc[[#This Row],[Unit Entitlement]]/1000</f>
        <v>2.1999999999999999E-2</v>
      </c>
      <c r="L153" s="44">
        <f t="shared" si="2"/>
        <v>5.1040000000000001</v>
      </c>
      <c r="M153" s="66"/>
      <c r="N153" s="52">
        <f>IF(Table_Household_Alloc[[#This Row],[PV Installed]]="Y",1,0)*Table_Household_Alloc[[#This Row],[Calculated Battery Allocation (kWh)]]</f>
        <v>0</v>
      </c>
      <c r="P153" s="37"/>
      <c r="Q153" s="37"/>
      <c r="R153" s="37"/>
      <c r="S153" s="37" t="s">
        <v>44</v>
      </c>
      <c r="T153" s="88" t="s">
        <v>512</v>
      </c>
      <c r="U153" s="49"/>
      <c r="V153" s="20" t="s">
        <v>513</v>
      </c>
      <c r="X153" s="89">
        <v>45504</v>
      </c>
      <c r="Y153" s="51" t="s">
        <v>37</v>
      </c>
    </row>
    <row r="154" spans="1:25" s="46" customFormat="1" ht="19" x14ac:dyDescent="0.25">
      <c r="A154" s="40">
        <v>19</v>
      </c>
      <c r="B154" s="41" t="s">
        <v>443</v>
      </c>
      <c r="C154" s="53">
        <v>50003387</v>
      </c>
      <c r="D154" s="37"/>
      <c r="E154" s="37" t="s">
        <v>514</v>
      </c>
      <c r="F154" s="37" t="s">
        <v>515</v>
      </c>
      <c r="G154" s="37" t="s">
        <v>201</v>
      </c>
      <c r="H154" s="37" t="s">
        <v>202</v>
      </c>
      <c r="I154" s="37">
        <v>6286</v>
      </c>
      <c r="J154" s="60">
        <v>24</v>
      </c>
      <c r="K154" s="61">
        <f>Table_Household_Alloc[[#This Row],[Unit Entitlement]]/1000</f>
        <v>2.4E-2</v>
      </c>
      <c r="L154" s="44">
        <f t="shared" si="2"/>
        <v>5.5680000000000005</v>
      </c>
      <c r="M154" s="66" t="str">
        <f>CONCATENATE("Symo ",Table_Household_Alloc[[#This Row],[Export Capacity (kW)]])</f>
        <v>Symo 5</v>
      </c>
      <c r="N154" s="52">
        <f>IF(Table_Household_Alloc[[#This Row],[PV Installed]]="Y",1,0)*Table_Household_Alloc[[#This Row],[Calculated Battery Allocation (kWh)]]</f>
        <v>5.5680000000000005</v>
      </c>
      <c r="O154" s="46">
        <v>5</v>
      </c>
      <c r="P154" s="37" t="s">
        <v>31</v>
      </c>
      <c r="Q154" s="37" t="s">
        <v>31</v>
      </c>
      <c r="R154" s="37" t="s">
        <v>31</v>
      </c>
      <c r="S154" s="37" t="s">
        <v>44</v>
      </c>
      <c r="T154" s="88" t="s">
        <v>516</v>
      </c>
      <c r="U154" s="49"/>
      <c r="V154" s="20" t="s">
        <v>517</v>
      </c>
      <c r="X154" s="24">
        <v>45044</v>
      </c>
      <c r="Y154" s="51" t="s">
        <v>37</v>
      </c>
    </row>
    <row r="155" spans="1:25" s="46" customFormat="1" ht="19" x14ac:dyDescent="0.25">
      <c r="A155" s="40">
        <v>20</v>
      </c>
      <c r="B155" s="41" t="s">
        <v>443</v>
      </c>
      <c r="C155" s="54"/>
      <c r="D155" s="37"/>
      <c r="E155" s="37" t="s">
        <v>518</v>
      </c>
      <c r="F155" s="37" t="s">
        <v>519</v>
      </c>
      <c r="G155" s="37" t="s">
        <v>201</v>
      </c>
      <c r="H155" s="37" t="s">
        <v>202</v>
      </c>
      <c r="I155" s="37">
        <v>6286</v>
      </c>
      <c r="J155" s="60">
        <v>51</v>
      </c>
      <c r="K155" s="61">
        <f>Table_Household_Alloc[[#This Row],[Unit Entitlement]]/1000</f>
        <v>5.0999999999999997E-2</v>
      </c>
      <c r="L155" s="44">
        <f t="shared" ref="L155:L187" si="5">J155/1000*232</f>
        <v>11.831999999999999</v>
      </c>
      <c r="M155" s="66"/>
      <c r="N155" s="52">
        <f>IF(Table_Household_Alloc[[#This Row],[PV Installed]]="Y",1,0)*Table_Household_Alloc[[#This Row],[Calculated Battery Allocation (kWh)]]</f>
        <v>0</v>
      </c>
      <c r="P155" s="37"/>
      <c r="Q155" s="37"/>
      <c r="R155" s="37"/>
      <c r="S155" s="37" t="s">
        <v>33</v>
      </c>
      <c r="T155" s="88" t="s">
        <v>520</v>
      </c>
      <c r="U155" s="49"/>
      <c r="V155" s="20" t="s">
        <v>521</v>
      </c>
      <c r="X155" s="89"/>
      <c r="Y155" s="51"/>
    </row>
    <row r="156" spans="1:25" s="46" customFormat="1" ht="19" x14ac:dyDescent="0.25">
      <c r="A156" s="40">
        <v>21</v>
      </c>
      <c r="B156" s="41" t="s">
        <v>443</v>
      </c>
      <c r="C156" s="54"/>
      <c r="D156" s="37"/>
      <c r="E156" s="37" t="s">
        <v>522</v>
      </c>
      <c r="F156" s="37" t="s">
        <v>523</v>
      </c>
      <c r="G156" s="37" t="s">
        <v>201</v>
      </c>
      <c r="H156" s="37" t="s">
        <v>202</v>
      </c>
      <c r="I156" s="37">
        <v>6286</v>
      </c>
      <c r="J156" s="60">
        <v>45</v>
      </c>
      <c r="K156" s="61">
        <f>Table_Household_Alloc[[#This Row],[Unit Entitlement]]/1000</f>
        <v>4.4999999999999998E-2</v>
      </c>
      <c r="L156" s="44">
        <f t="shared" si="5"/>
        <v>10.44</v>
      </c>
      <c r="M156" s="66"/>
      <c r="N156" s="52">
        <f>IF(Table_Household_Alloc[[#This Row],[PV Installed]]="Y",1,0)*Table_Household_Alloc[[#This Row],[Calculated Battery Allocation (kWh)]]</f>
        <v>0</v>
      </c>
      <c r="P156" s="37"/>
      <c r="Q156" s="37"/>
      <c r="R156" s="37"/>
      <c r="S156" s="37" t="s">
        <v>118</v>
      </c>
      <c r="T156" s="88" t="s">
        <v>524</v>
      </c>
      <c r="U156" s="49"/>
      <c r="V156" s="20" t="s">
        <v>525</v>
      </c>
      <c r="X156" s="89"/>
      <c r="Y156" s="51"/>
    </row>
    <row r="157" spans="1:25" s="46" customFormat="1" ht="19" x14ac:dyDescent="0.25">
      <c r="A157" s="40">
        <v>22</v>
      </c>
      <c r="B157" s="41" t="s">
        <v>443</v>
      </c>
      <c r="C157" s="53">
        <v>50002397</v>
      </c>
      <c r="D157" s="37"/>
      <c r="E157" s="37" t="s">
        <v>526</v>
      </c>
      <c r="F157" s="37" t="s">
        <v>527</v>
      </c>
      <c r="G157" s="37" t="s">
        <v>201</v>
      </c>
      <c r="H157" s="37" t="s">
        <v>202</v>
      </c>
      <c r="I157" s="37">
        <v>6286</v>
      </c>
      <c r="J157" s="60">
        <v>44</v>
      </c>
      <c r="K157" s="61">
        <f>Table_Household_Alloc[[#This Row],[Unit Entitlement]]/1000</f>
        <v>4.3999999999999997E-2</v>
      </c>
      <c r="L157" s="44">
        <f t="shared" si="5"/>
        <v>10.208</v>
      </c>
      <c r="M157" s="66" t="str">
        <f>CONCATENATE("Symo ",Table_Household_Alloc[[#This Row],[Export Capacity (kW)]])</f>
        <v>Symo 5</v>
      </c>
      <c r="N157" s="52">
        <f>IF(Table_Household_Alloc[[#This Row],[PV Installed]]="Y",1,0)*Table_Household_Alloc[[#This Row],[Calculated Battery Allocation (kWh)]]</f>
        <v>10.208</v>
      </c>
      <c r="O157" s="46">
        <v>5</v>
      </c>
      <c r="P157" s="37" t="s">
        <v>31</v>
      </c>
      <c r="Q157" s="37" t="s">
        <v>31</v>
      </c>
      <c r="R157" s="37" t="s">
        <v>31</v>
      </c>
      <c r="S157" s="37" t="s">
        <v>44</v>
      </c>
      <c r="T157" s="88" t="s">
        <v>528</v>
      </c>
      <c r="U157" s="49"/>
      <c r="V157" s="20" t="s">
        <v>529</v>
      </c>
      <c r="X157" s="25">
        <v>45412</v>
      </c>
      <c r="Y157" s="51" t="s">
        <v>37</v>
      </c>
    </row>
    <row r="158" spans="1:25" s="46" customFormat="1" ht="19" x14ac:dyDescent="0.25">
      <c r="A158" s="40">
        <v>23</v>
      </c>
      <c r="B158" s="41" t="s">
        <v>443</v>
      </c>
      <c r="C158" s="54"/>
      <c r="D158" s="37"/>
      <c r="E158" s="37" t="s">
        <v>530</v>
      </c>
      <c r="F158" s="37" t="s">
        <v>531</v>
      </c>
      <c r="G158" s="37" t="s">
        <v>201</v>
      </c>
      <c r="H158" s="37" t="s">
        <v>202</v>
      </c>
      <c r="I158" s="37">
        <v>6286</v>
      </c>
      <c r="J158" s="60">
        <v>44</v>
      </c>
      <c r="K158" s="61">
        <f>Table_Household_Alloc[[#This Row],[Unit Entitlement]]/1000</f>
        <v>4.3999999999999997E-2</v>
      </c>
      <c r="L158" s="44">
        <f t="shared" si="5"/>
        <v>10.208</v>
      </c>
      <c r="M158" s="66"/>
      <c r="N158" s="52">
        <f>IF(Table_Household_Alloc[[#This Row],[PV Installed]]="Y",1,0)*Table_Household_Alloc[[#This Row],[Calculated Battery Allocation (kWh)]]</f>
        <v>0</v>
      </c>
      <c r="P158" s="37"/>
      <c r="Q158" s="37"/>
      <c r="R158" s="37"/>
      <c r="S158" s="37" t="s">
        <v>118</v>
      </c>
      <c r="T158" s="88" t="s">
        <v>532</v>
      </c>
      <c r="U158" s="49"/>
      <c r="V158" s="20" t="s">
        <v>533</v>
      </c>
      <c r="X158" s="89"/>
      <c r="Y158" s="51"/>
    </row>
    <row r="159" spans="1:25" s="46" customFormat="1" ht="35" x14ac:dyDescent="0.25">
      <c r="A159" s="40">
        <v>24</v>
      </c>
      <c r="B159" s="41" t="s">
        <v>443</v>
      </c>
      <c r="C159" s="53">
        <v>50002985</v>
      </c>
      <c r="D159" s="37"/>
      <c r="E159" s="37" t="s">
        <v>534</v>
      </c>
      <c r="F159" s="37" t="s">
        <v>535</v>
      </c>
      <c r="G159" s="37" t="s">
        <v>201</v>
      </c>
      <c r="H159" s="37" t="s">
        <v>202</v>
      </c>
      <c r="I159" s="37">
        <v>6286</v>
      </c>
      <c r="J159" s="60">
        <v>44</v>
      </c>
      <c r="K159" s="61">
        <f>Table_Household_Alloc[[#This Row],[Unit Entitlement]]/1000</f>
        <v>4.3999999999999997E-2</v>
      </c>
      <c r="L159" s="44">
        <f t="shared" si="5"/>
        <v>10.208</v>
      </c>
      <c r="M159" s="66" t="str">
        <f>CONCATENATE("Symo ",Table_Household_Alloc[[#This Row],[Export Capacity (kW)]])</f>
        <v>Symo 10</v>
      </c>
      <c r="N159" s="52">
        <f>IF(Table_Household_Alloc[[#This Row],[PV Installed]]="Y",1,0)*Table_Household_Alloc[[#This Row],[Calculated Battery Allocation (kWh)]]</f>
        <v>10.208</v>
      </c>
      <c r="O159" s="46">
        <v>10</v>
      </c>
      <c r="P159" s="37" t="s">
        <v>31</v>
      </c>
      <c r="Q159" s="37" t="s">
        <v>31</v>
      </c>
      <c r="R159" s="37" t="s">
        <v>31</v>
      </c>
      <c r="S159" s="37" t="s">
        <v>44</v>
      </c>
      <c r="T159" s="91" t="s">
        <v>536</v>
      </c>
      <c r="U159" s="49"/>
      <c r="V159" s="20" t="s">
        <v>537</v>
      </c>
      <c r="X159" s="25">
        <v>45058</v>
      </c>
      <c r="Y159" s="51" t="s">
        <v>37</v>
      </c>
    </row>
    <row r="160" spans="1:25" s="46" customFormat="1" ht="19" x14ac:dyDescent="0.25">
      <c r="A160" s="40">
        <v>25</v>
      </c>
      <c r="B160" s="41" t="s">
        <v>443</v>
      </c>
      <c r="C160" s="53">
        <v>50002966</v>
      </c>
      <c r="D160" s="37"/>
      <c r="E160" s="37" t="s">
        <v>538</v>
      </c>
      <c r="F160" s="37" t="s">
        <v>539</v>
      </c>
      <c r="G160" s="37" t="s">
        <v>201</v>
      </c>
      <c r="H160" s="37" t="s">
        <v>202</v>
      </c>
      <c r="I160" s="37">
        <v>6286</v>
      </c>
      <c r="J160" s="60">
        <v>44</v>
      </c>
      <c r="K160" s="61">
        <f>Table_Household_Alloc[[#This Row],[Unit Entitlement]]/1000</f>
        <v>4.3999999999999997E-2</v>
      </c>
      <c r="L160" s="44">
        <f t="shared" si="5"/>
        <v>10.208</v>
      </c>
      <c r="M160" s="66" t="str">
        <f>CONCATENATE("Symo ",Table_Household_Alloc[[#This Row],[Export Capacity (kW)]])</f>
        <v>Symo 5</v>
      </c>
      <c r="N160" s="52">
        <f>IF(Table_Household_Alloc[[#This Row],[PV Installed]]="Y",1,0)*Table_Household_Alloc[[#This Row],[Calculated Battery Allocation (kWh)]]</f>
        <v>10.208</v>
      </c>
      <c r="O160" s="46">
        <v>5</v>
      </c>
      <c r="P160" s="37" t="s">
        <v>31</v>
      </c>
      <c r="Q160" s="37" t="s">
        <v>31</v>
      </c>
      <c r="R160" s="37" t="s">
        <v>31</v>
      </c>
      <c r="S160" s="37" t="s">
        <v>44</v>
      </c>
      <c r="T160" s="88" t="s">
        <v>540</v>
      </c>
      <c r="U160" s="49"/>
      <c r="V160" s="20" t="s">
        <v>541</v>
      </c>
      <c r="X160" s="89">
        <v>45219</v>
      </c>
      <c r="Y160" s="51" t="s">
        <v>37</v>
      </c>
    </row>
    <row r="161" spans="1:25" s="46" customFormat="1" ht="19" x14ac:dyDescent="0.25">
      <c r="A161" s="40">
        <v>26</v>
      </c>
      <c r="B161" s="41" t="s">
        <v>443</v>
      </c>
      <c r="C161" s="85"/>
      <c r="D161" s="37"/>
      <c r="E161" s="37" t="s">
        <v>542</v>
      </c>
      <c r="F161" s="37" t="s">
        <v>543</v>
      </c>
      <c r="G161" s="37" t="s">
        <v>201</v>
      </c>
      <c r="H161" s="37" t="s">
        <v>202</v>
      </c>
      <c r="I161" s="37">
        <v>6286</v>
      </c>
      <c r="J161" s="60">
        <v>44</v>
      </c>
      <c r="K161" s="61">
        <f>Table_Household_Alloc[[#This Row],[Unit Entitlement]]/1000</f>
        <v>4.3999999999999997E-2</v>
      </c>
      <c r="L161" s="44">
        <f t="shared" si="5"/>
        <v>10.208</v>
      </c>
      <c r="M161" s="66"/>
      <c r="N161" s="52">
        <f>IF(Table_Household_Alloc[[#This Row],[PV Installed]]="Y",1,0)*Table_Household_Alloc[[#This Row],[Calculated Battery Allocation (kWh)]]</f>
        <v>0</v>
      </c>
      <c r="P161" s="37"/>
      <c r="Q161" s="37"/>
      <c r="R161" s="37"/>
      <c r="S161" s="37" t="s">
        <v>118</v>
      </c>
      <c r="T161" s="88" t="s">
        <v>544</v>
      </c>
      <c r="U161" s="49"/>
      <c r="V161" s="20" t="s">
        <v>545</v>
      </c>
      <c r="X161" s="89"/>
      <c r="Y161" s="51"/>
    </row>
    <row r="162" spans="1:25" s="46" customFormat="1" ht="19" x14ac:dyDescent="0.25">
      <c r="A162" s="40">
        <v>27</v>
      </c>
      <c r="B162" s="41" t="s">
        <v>443</v>
      </c>
      <c r="C162" s="85"/>
      <c r="D162" s="37"/>
      <c r="E162" s="37" t="s">
        <v>546</v>
      </c>
      <c r="F162" s="37" t="s">
        <v>547</v>
      </c>
      <c r="G162" s="37" t="s">
        <v>201</v>
      </c>
      <c r="H162" s="37" t="s">
        <v>202</v>
      </c>
      <c r="I162" s="37">
        <v>6286</v>
      </c>
      <c r="J162" s="60">
        <v>44</v>
      </c>
      <c r="K162" s="61">
        <f>Table_Household_Alloc[[#This Row],[Unit Entitlement]]/1000</f>
        <v>4.3999999999999997E-2</v>
      </c>
      <c r="L162" s="44">
        <f t="shared" si="5"/>
        <v>10.208</v>
      </c>
      <c r="M162" s="66"/>
      <c r="N162" s="52">
        <f>IF(Table_Household_Alloc[[#This Row],[PV Installed]]="Y",1,0)*Table_Household_Alloc[[#This Row],[Calculated Battery Allocation (kWh)]]</f>
        <v>0</v>
      </c>
      <c r="P162" s="37"/>
      <c r="Q162" s="37"/>
      <c r="R162" s="37"/>
      <c r="S162" s="37" t="s">
        <v>33</v>
      </c>
      <c r="T162" s="88" t="s">
        <v>548</v>
      </c>
      <c r="U162" s="49"/>
      <c r="V162" s="20" t="s">
        <v>549</v>
      </c>
      <c r="X162" s="89"/>
      <c r="Y162" s="51"/>
    </row>
    <row r="163" spans="1:25" s="46" customFormat="1" ht="40" x14ac:dyDescent="0.25">
      <c r="A163" s="55" t="s">
        <v>147</v>
      </c>
      <c r="B163" s="41" t="s">
        <v>443</v>
      </c>
      <c r="C163" s="53">
        <v>2911041070</v>
      </c>
      <c r="D163" s="37"/>
      <c r="E163" s="71" t="s">
        <v>148</v>
      </c>
      <c r="F163" s="56"/>
      <c r="G163" s="37"/>
      <c r="H163" s="37"/>
      <c r="I163" s="37"/>
      <c r="J163" s="63"/>
      <c r="K163" s="6">
        <f>Table_Household_Alloc[[#This Row],[Unit Entitlement]]/1000</f>
        <v>0</v>
      </c>
      <c r="L163" s="44"/>
      <c r="M163" s="37"/>
      <c r="N163" s="52">
        <f>IF(Table_Household_Alloc[[#This Row],[PV Installed]]="Y",1,0)*Table_Household_Alloc[[#This Row],[Calculated Battery Allocation (kWh)]]</f>
        <v>0</v>
      </c>
      <c r="T163" s="58"/>
      <c r="U163" s="49"/>
      <c r="V163" s="7"/>
      <c r="X163" s="59"/>
      <c r="Y163" s="51"/>
    </row>
    <row r="164" spans="1:25" s="46" customFormat="1" ht="19" x14ac:dyDescent="0.25">
      <c r="A164" s="40" t="s">
        <v>149</v>
      </c>
      <c r="B164" s="41" t="s">
        <v>443</v>
      </c>
      <c r="C164" s="53">
        <v>2911041113</v>
      </c>
      <c r="D164" s="37" t="s">
        <v>150</v>
      </c>
      <c r="E164" s="71" t="s">
        <v>151</v>
      </c>
      <c r="F164" s="37"/>
      <c r="G164" s="37" t="s">
        <v>29</v>
      </c>
      <c r="H164" s="37" t="s">
        <v>30</v>
      </c>
      <c r="I164" s="37">
        <v>6286</v>
      </c>
      <c r="J164" s="43"/>
      <c r="K164" s="4">
        <f>Table_Household_Alloc[[#This Row],[Unit Entitlement]]/1000</f>
        <v>0</v>
      </c>
      <c r="L164" s="44">
        <f t="shared" ref="L164:L165" si="6">(J164/1000)*232</f>
        <v>0</v>
      </c>
      <c r="M164" s="66"/>
      <c r="N164" s="52">
        <f>IF(Table_Household_Alloc[[#This Row],[PV Installed]]="Y",1,0)*Table_Household_Alloc[[#This Row],[Calculated Battery Allocation (kWh)]]</f>
        <v>0</v>
      </c>
      <c r="P164" s="3"/>
      <c r="Q164" s="3"/>
      <c r="R164" s="37"/>
      <c r="S164" s="37"/>
      <c r="U164" s="49"/>
      <c r="X164" s="50"/>
      <c r="Y164" s="51"/>
    </row>
    <row r="165" spans="1:25" s="46" customFormat="1" ht="19" x14ac:dyDescent="0.25">
      <c r="A165" s="40" t="s">
        <v>152</v>
      </c>
      <c r="B165" s="41" t="s">
        <v>443</v>
      </c>
      <c r="C165" s="42"/>
      <c r="D165" s="37" t="s">
        <v>150</v>
      </c>
      <c r="E165" s="71" t="s">
        <v>153</v>
      </c>
      <c r="F165" s="37"/>
      <c r="G165" s="37" t="s">
        <v>29</v>
      </c>
      <c r="H165" s="37" t="s">
        <v>30</v>
      </c>
      <c r="I165" s="37">
        <v>6286</v>
      </c>
      <c r="J165" s="60"/>
      <c r="K165" s="61">
        <f>Table_Household_Alloc[[#This Row],[Unit Entitlement]]/1000</f>
        <v>0</v>
      </c>
      <c r="L165" s="44">
        <f t="shared" si="6"/>
        <v>0</v>
      </c>
      <c r="M165" s="66"/>
      <c r="N165" s="52">
        <f>IF(Table_Household_Alloc[[#This Row],[PV Installed]]="Y",1,0)*Table_Household_Alloc[[#This Row],[Calculated Battery Allocation (kWh)]]</f>
        <v>0</v>
      </c>
      <c r="P165" s="3"/>
      <c r="Q165" s="3"/>
      <c r="R165" s="37"/>
      <c r="S165" s="37"/>
      <c r="U165" s="49"/>
      <c r="X165" s="50"/>
      <c r="Y165" s="51"/>
    </row>
    <row r="166" spans="1:25" s="46" customFormat="1" ht="20" x14ac:dyDescent="0.25">
      <c r="A166" s="55" t="s">
        <v>642</v>
      </c>
      <c r="B166" s="41" t="s">
        <v>443</v>
      </c>
      <c r="C166" s="62"/>
      <c r="D166" s="37"/>
      <c r="E166" s="56"/>
      <c r="F166" s="56"/>
      <c r="G166" s="37"/>
      <c r="H166" s="37"/>
      <c r="I166" s="37"/>
      <c r="J166" s="63"/>
      <c r="K166" s="6">
        <f>Table_Household_Alloc[[#This Row],[Unit Entitlement]]/1000</f>
        <v>0</v>
      </c>
      <c r="L166" s="44"/>
      <c r="M166" s="37"/>
      <c r="N166" s="52">
        <f>IF(Table_Household_Alloc[[#This Row],[PV Installed]]="Y",1,0)*Table_Household_Alloc[[#This Row],[Calculated Battery Allocation (kWh)]]</f>
        <v>0</v>
      </c>
      <c r="T166" s="58"/>
      <c r="U166" s="49"/>
      <c r="V166" s="7"/>
      <c r="X166" s="59"/>
      <c r="Y166" s="51"/>
    </row>
    <row r="167" spans="1:25" s="46" customFormat="1" ht="20" x14ac:dyDescent="0.25">
      <c r="A167" s="64" t="s">
        <v>643</v>
      </c>
      <c r="B167" s="41" t="s">
        <v>443</v>
      </c>
      <c r="C167" s="62"/>
      <c r="D167" s="37"/>
      <c r="E167" s="56"/>
      <c r="F167" s="56"/>
      <c r="G167" s="37"/>
      <c r="H167" s="37"/>
      <c r="I167" s="37"/>
      <c r="J167" s="63"/>
      <c r="K167" s="6">
        <f>Table_Household_Alloc[[#This Row],[Unit Entitlement]]/1000</f>
        <v>0</v>
      </c>
      <c r="L167" s="44"/>
      <c r="M167" s="37"/>
      <c r="N167" s="52">
        <f>IF(Table_Household_Alloc[[#This Row],[PV Installed]]="Y",1,0)*Table_Household_Alloc[[#This Row],[Calculated Battery Allocation (kWh)]]</f>
        <v>0</v>
      </c>
      <c r="T167" s="58"/>
      <c r="U167" s="49"/>
      <c r="V167" s="7"/>
      <c r="X167" s="59"/>
      <c r="Y167" s="51"/>
    </row>
    <row r="168" spans="1:25" s="46" customFormat="1" ht="34" x14ac:dyDescent="0.25">
      <c r="A168" s="92">
        <v>1</v>
      </c>
      <c r="B168" s="41" t="s">
        <v>550</v>
      </c>
      <c r="C168" s="42"/>
      <c r="D168" s="37"/>
      <c r="E168" s="5" t="s">
        <v>551</v>
      </c>
      <c r="F168" s="5" t="s">
        <v>552</v>
      </c>
      <c r="G168" s="37" t="s">
        <v>201</v>
      </c>
      <c r="H168" s="37" t="s">
        <v>202</v>
      </c>
      <c r="I168" s="37">
        <v>6286</v>
      </c>
      <c r="J168" s="26">
        <v>82</v>
      </c>
      <c r="K168" s="6">
        <f>Table_Household_Alloc[[#This Row],[Unit Entitlement]]/1000</f>
        <v>8.2000000000000003E-2</v>
      </c>
      <c r="L168" s="44">
        <f t="shared" si="5"/>
        <v>19.024000000000001</v>
      </c>
      <c r="M168" s="37"/>
      <c r="N168" s="52">
        <f>IF(Table_Household_Alloc[[#This Row],[PV Installed]]="Y",1,0)*Table_Household_Alloc[[#This Row],[Calculated Battery Allocation (kWh)]]</f>
        <v>0</v>
      </c>
      <c r="S168" s="5" t="s">
        <v>553</v>
      </c>
      <c r="T168" s="27" t="s">
        <v>554</v>
      </c>
      <c r="U168" s="49"/>
      <c r="V168" s="28" t="s">
        <v>555</v>
      </c>
      <c r="X168" s="29"/>
      <c r="Y168" s="51"/>
    </row>
    <row r="169" spans="1:25" s="46" customFormat="1" ht="19" x14ac:dyDescent="0.25">
      <c r="A169" s="92">
        <v>2</v>
      </c>
      <c r="B169" s="41" t="s">
        <v>550</v>
      </c>
      <c r="C169" s="42"/>
      <c r="D169" s="37"/>
      <c r="E169" s="5" t="s">
        <v>556</v>
      </c>
      <c r="F169" s="5" t="s">
        <v>557</v>
      </c>
      <c r="G169" s="37" t="s">
        <v>201</v>
      </c>
      <c r="H169" s="37" t="s">
        <v>202</v>
      </c>
      <c r="I169" s="37">
        <v>6286</v>
      </c>
      <c r="J169" s="26">
        <v>58</v>
      </c>
      <c r="K169" s="6">
        <f>Table_Household_Alloc[[#This Row],[Unit Entitlement]]/1000</f>
        <v>5.8000000000000003E-2</v>
      </c>
      <c r="L169" s="44">
        <f t="shared" si="5"/>
        <v>13.456000000000001</v>
      </c>
      <c r="M169" s="37"/>
      <c r="N169" s="52">
        <f>IF(Table_Household_Alloc[[#This Row],[PV Installed]]="Y",1,0)*Table_Household_Alloc[[#This Row],[Calculated Battery Allocation (kWh)]]</f>
        <v>0</v>
      </c>
      <c r="S169" s="46" t="s">
        <v>558</v>
      </c>
      <c r="T169" s="27" t="s">
        <v>559</v>
      </c>
      <c r="U169" s="49" t="s">
        <v>560</v>
      </c>
      <c r="V169" s="30" t="s">
        <v>561</v>
      </c>
      <c r="X169" s="29"/>
      <c r="Y169" s="51"/>
    </row>
    <row r="170" spans="1:25" s="46" customFormat="1" ht="19" x14ac:dyDescent="0.25">
      <c r="A170" s="92">
        <v>3</v>
      </c>
      <c r="B170" s="41" t="s">
        <v>550</v>
      </c>
      <c r="C170" s="54"/>
      <c r="D170" s="37"/>
      <c r="E170" s="5" t="s">
        <v>562</v>
      </c>
      <c r="F170" s="5" t="s">
        <v>563</v>
      </c>
      <c r="G170" s="37" t="s">
        <v>201</v>
      </c>
      <c r="H170" s="37" t="s">
        <v>202</v>
      </c>
      <c r="I170" s="37">
        <v>6286</v>
      </c>
      <c r="J170" s="26">
        <v>57</v>
      </c>
      <c r="K170" s="6">
        <f>Table_Household_Alloc[[#This Row],[Unit Entitlement]]/1000</f>
        <v>5.7000000000000002E-2</v>
      </c>
      <c r="L170" s="44">
        <f t="shared" si="5"/>
        <v>13.224</v>
      </c>
      <c r="M170" s="37"/>
      <c r="N170" s="52">
        <f>IF(Table_Household_Alloc[[#This Row],[PV Installed]]="Y",1,0)*Table_Household_Alloc[[#This Row],[Calculated Battery Allocation (kWh)]]</f>
        <v>0</v>
      </c>
      <c r="S170" s="46" t="s">
        <v>118</v>
      </c>
      <c r="T170" s="27" t="s">
        <v>564</v>
      </c>
      <c r="U170" s="49" t="s">
        <v>565</v>
      </c>
      <c r="V170" s="30" t="s">
        <v>566</v>
      </c>
      <c r="X170" s="29"/>
      <c r="Y170" s="51"/>
    </row>
    <row r="171" spans="1:25" s="46" customFormat="1" ht="19" x14ac:dyDescent="0.25">
      <c r="A171" s="92">
        <v>4</v>
      </c>
      <c r="B171" s="41" t="s">
        <v>550</v>
      </c>
      <c r="C171" s="53">
        <v>50002962</v>
      </c>
      <c r="D171" s="37"/>
      <c r="E171" s="5" t="s">
        <v>567</v>
      </c>
      <c r="F171" s="5" t="s">
        <v>568</v>
      </c>
      <c r="G171" s="37" t="s">
        <v>201</v>
      </c>
      <c r="H171" s="37" t="s">
        <v>202</v>
      </c>
      <c r="I171" s="37">
        <v>6286</v>
      </c>
      <c r="J171" s="26">
        <v>56</v>
      </c>
      <c r="K171" s="6">
        <f>Table_Household_Alloc[[#This Row],[Unit Entitlement]]/1000</f>
        <v>5.6000000000000001E-2</v>
      </c>
      <c r="L171" s="44">
        <f t="shared" si="5"/>
        <v>12.992000000000001</v>
      </c>
      <c r="M171" s="37"/>
      <c r="N171" s="52">
        <f>IF(Table_Household_Alloc[[#This Row],[PV Installed]]="Y",1,0)*Table_Household_Alloc[[#This Row],[Calculated Battery Allocation (kWh)]]</f>
        <v>0</v>
      </c>
      <c r="S171" s="46" t="s">
        <v>118</v>
      </c>
      <c r="T171" s="27" t="s">
        <v>569</v>
      </c>
      <c r="U171" s="49"/>
      <c r="V171" s="30" t="s">
        <v>570</v>
      </c>
      <c r="X171" s="29"/>
      <c r="Y171" s="51"/>
    </row>
    <row r="172" spans="1:25" s="46" customFormat="1" ht="35" x14ac:dyDescent="0.25">
      <c r="A172" s="92">
        <v>5.2</v>
      </c>
      <c r="B172" s="41" t="s">
        <v>550</v>
      </c>
      <c r="C172" s="93"/>
      <c r="D172" s="37"/>
      <c r="E172" s="5" t="s">
        <v>571</v>
      </c>
      <c r="F172" s="5" t="s">
        <v>572</v>
      </c>
      <c r="G172" s="37" t="s">
        <v>201</v>
      </c>
      <c r="H172" s="37" t="s">
        <v>202</v>
      </c>
      <c r="I172" s="37">
        <v>6286</v>
      </c>
      <c r="J172" s="26">
        <v>55</v>
      </c>
      <c r="K172" s="6">
        <f>Table_Household_Alloc[[#This Row],[Unit Entitlement]]/1000</f>
        <v>5.5E-2</v>
      </c>
      <c r="L172" s="44">
        <f t="shared" si="5"/>
        <v>12.76</v>
      </c>
      <c r="M172" s="37"/>
      <c r="N172" s="52">
        <f>IF(Table_Household_Alloc[[#This Row],[PV Installed]]="Y",1,0)*Table_Household_Alloc[[#This Row],[Calculated Battery Allocation (kWh)]]</f>
        <v>0</v>
      </c>
      <c r="S172" s="46" t="s">
        <v>44</v>
      </c>
      <c r="T172" s="27" t="s">
        <v>573</v>
      </c>
      <c r="U172" s="49"/>
      <c r="V172" s="30" t="s">
        <v>574</v>
      </c>
      <c r="X172" s="29">
        <v>45245</v>
      </c>
      <c r="Y172" s="31">
        <v>45546</v>
      </c>
    </row>
    <row r="173" spans="1:25" s="46" customFormat="1" ht="19" x14ac:dyDescent="0.25">
      <c r="A173" s="92">
        <v>5</v>
      </c>
      <c r="B173" s="41" t="s">
        <v>550</v>
      </c>
      <c r="C173" s="93"/>
      <c r="D173" s="37"/>
      <c r="E173" s="5" t="s">
        <v>577</v>
      </c>
      <c r="F173" s="5" t="s">
        <v>572</v>
      </c>
      <c r="G173" s="37" t="s">
        <v>201</v>
      </c>
      <c r="H173" s="37" t="s">
        <v>202</v>
      </c>
      <c r="I173" s="37">
        <v>6286</v>
      </c>
      <c r="J173" s="26">
        <v>55</v>
      </c>
      <c r="K173" s="6">
        <f>Table_Household_Alloc[[#This Row],[Unit Entitlement]]/1000</f>
        <v>5.5E-2</v>
      </c>
      <c r="L173" s="44">
        <f t="shared" si="5"/>
        <v>12.76</v>
      </c>
      <c r="M173" s="37"/>
      <c r="N173" s="52">
        <f>IF(Table_Household_Alloc[[#This Row],[PV Installed]]="Y",1,0)*Table_Household_Alloc[[#This Row],[Calculated Battery Allocation (kWh)]]</f>
        <v>0</v>
      </c>
      <c r="S173" s="46" t="s">
        <v>44</v>
      </c>
      <c r="T173" s="46" t="s">
        <v>576</v>
      </c>
      <c r="U173" s="49"/>
      <c r="V173" s="30" t="s">
        <v>575</v>
      </c>
      <c r="X173" s="29">
        <v>45547</v>
      </c>
      <c r="Y173" s="51" t="s">
        <v>37</v>
      </c>
    </row>
    <row r="174" spans="1:25" s="46" customFormat="1" ht="19" x14ac:dyDescent="0.25">
      <c r="A174" s="92">
        <v>6</v>
      </c>
      <c r="B174" s="41" t="s">
        <v>550</v>
      </c>
      <c r="C174" s="54"/>
      <c r="D174" s="37"/>
      <c r="E174" s="5" t="s">
        <v>578</v>
      </c>
      <c r="F174" s="5" t="s">
        <v>579</v>
      </c>
      <c r="G174" s="37" t="s">
        <v>201</v>
      </c>
      <c r="H174" s="37" t="s">
        <v>202</v>
      </c>
      <c r="I174" s="37">
        <v>6286</v>
      </c>
      <c r="J174" s="26">
        <v>55</v>
      </c>
      <c r="K174" s="6">
        <f>Table_Household_Alloc[[#This Row],[Unit Entitlement]]/1000</f>
        <v>5.5E-2</v>
      </c>
      <c r="L174" s="44">
        <f t="shared" si="5"/>
        <v>12.76</v>
      </c>
      <c r="M174" s="37"/>
      <c r="N174" s="52">
        <f>IF(Table_Household_Alloc[[#This Row],[PV Installed]]="Y",1,0)*Table_Household_Alloc[[#This Row],[Calculated Battery Allocation (kWh)]]</f>
        <v>0</v>
      </c>
      <c r="S174" s="46" t="s">
        <v>44</v>
      </c>
      <c r="T174" s="27" t="s">
        <v>580</v>
      </c>
      <c r="U174" s="49"/>
      <c r="V174" s="32" t="s">
        <v>581</v>
      </c>
      <c r="X174" s="29">
        <v>45547</v>
      </c>
      <c r="Y174" s="51" t="s">
        <v>37</v>
      </c>
    </row>
    <row r="175" spans="1:25" s="46" customFormat="1" ht="19" x14ac:dyDescent="0.25">
      <c r="A175" s="92">
        <v>7</v>
      </c>
      <c r="B175" s="41" t="s">
        <v>550</v>
      </c>
      <c r="C175" s="53">
        <v>50003423</v>
      </c>
      <c r="D175" s="37"/>
      <c r="E175" s="5" t="s">
        <v>582</v>
      </c>
      <c r="F175" s="5" t="s">
        <v>583</v>
      </c>
      <c r="G175" s="37" t="s">
        <v>201</v>
      </c>
      <c r="H175" s="37" t="s">
        <v>202</v>
      </c>
      <c r="I175" s="37">
        <v>6286</v>
      </c>
      <c r="J175" s="26">
        <v>60</v>
      </c>
      <c r="K175" s="6">
        <f>Table_Household_Alloc[[#This Row],[Unit Entitlement]]/1000</f>
        <v>0.06</v>
      </c>
      <c r="L175" s="44">
        <f t="shared" si="5"/>
        <v>13.92</v>
      </c>
      <c r="M175" s="37"/>
      <c r="N175" s="52">
        <f>IF(Table_Household_Alloc[[#This Row],[PV Installed]]="Y",1,0)*Table_Household_Alloc[[#This Row],[Calculated Battery Allocation (kWh)]]</f>
        <v>0</v>
      </c>
      <c r="S175" s="46" t="s">
        <v>44</v>
      </c>
      <c r="T175" s="27" t="s">
        <v>584</v>
      </c>
      <c r="U175" s="49"/>
      <c r="V175" s="30" t="s">
        <v>585</v>
      </c>
      <c r="X175" s="29">
        <v>45247</v>
      </c>
      <c r="Y175" s="51" t="s">
        <v>37</v>
      </c>
    </row>
    <row r="176" spans="1:25" s="46" customFormat="1" ht="19" x14ac:dyDescent="0.25">
      <c r="A176" s="92">
        <v>8</v>
      </c>
      <c r="B176" s="41" t="s">
        <v>550</v>
      </c>
      <c r="C176" s="42"/>
      <c r="D176" s="37"/>
      <c r="E176" s="5" t="s">
        <v>586</v>
      </c>
      <c r="F176" s="5" t="s">
        <v>587</v>
      </c>
      <c r="G176" s="37" t="s">
        <v>201</v>
      </c>
      <c r="H176" s="37" t="s">
        <v>202</v>
      </c>
      <c r="I176" s="37">
        <v>6286</v>
      </c>
      <c r="J176" s="26">
        <v>60</v>
      </c>
      <c r="K176" s="6">
        <f>Table_Household_Alloc[[#This Row],[Unit Entitlement]]/1000</f>
        <v>0.06</v>
      </c>
      <c r="L176" s="44">
        <f t="shared" si="5"/>
        <v>13.92</v>
      </c>
      <c r="M176" s="37"/>
      <c r="N176" s="52">
        <f>IF(Table_Household_Alloc[[#This Row],[PV Installed]]="Y",1,0)*Table_Household_Alloc[[#This Row],[Calculated Battery Allocation (kWh)]]</f>
        <v>0</v>
      </c>
      <c r="S176" s="46" t="s">
        <v>44</v>
      </c>
      <c r="T176" s="27" t="s">
        <v>588</v>
      </c>
      <c r="U176" s="49" t="s">
        <v>589</v>
      </c>
      <c r="V176" s="30" t="s">
        <v>590</v>
      </c>
      <c r="X176" s="29">
        <v>45485</v>
      </c>
      <c r="Y176" s="51" t="s">
        <v>37</v>
      </c>
    </row>
    <row r="177" spans="1:25" s="46" customFormat="1" ht="19" x14ac:dyDescent="0.25">
      <c r="A177" s="92">
        <v>9</v>
      </c>
      <c r="B177" s="41" t="s">
        <v>550</v>
      </c>
      <c r="C177" s="42"/>
      <c r="D177" s="37"/>
      <c r="E177" s="5" t="s">
        <v>591</v>
      </c>
      <c r="F177" s="5" t="s">
        <v>592</v>
      </c>
      <c r="G177" s="37" t="s">
        <v>201</v>
      </c>
      <c r="H177" s="37" t="s">
        <v>202</v>
      </c>
      <c r="I177" s="37">
        <v>6286</v>
      </c>
      <c r="J177" s="26">
        <v>64</v>
      </c>
      <c r="K177" s="6">
        <f>Table_Household_Alloc[[#This Row],[Unit Entitlement]]/1000</f>
        <v>6.4000000000000001E-2</v>
      </c>
      <c r="L177" s="44">
        <f t="shared" si="5"/>
        <v>14.848000000000001</v>
      </c>
      <c r="M177" s="37"/>
      <c r="N177" s="52">
        <f>IF(Table_Household_Alloc[[#This Row],[PV Installed]]="Y",1,0)*Table_Household_Alloc[[#This Row],[Calculated Battery Allocation (kWh)]]</f>
        <v>0</v>
      </c>
      <c r="S177" s="46" t="s">
        <v>118</v>
      </c>
      <c r="T177" s="27" t="s">
        <v>593</v>
      </c>
      <c r="U177" s="49" t="s">
        <v>594</v>
      </c>
      <c r="V177" s="28" t="s">
        <v>595</v>
      </c>
      <c r="X177" s="29"/>
      <c r="Y177" s="51"/>
    </row>
    <row r="178" spans="1:25" s="46" customFormat="1" ht="19" x14ac:dyDescent="0.25">
      <c r="A178" s="92">
        <v>10</v>
      </c>
      <c r="B178" s="41" t="s">
        <v>550</v>
      </c>
      <c r="C178" s="54"/>
      <c r="D178" s="37"/>
      <c r="E178" s="5" t="s">
        <v>596</v>
      </c>
      <c r="F178" s="5" t="s">
        <v>597</v>
      </c>
      <c r="G178" s="37" t="s">
        <v>201</v>
      </c>
      <c r="H178" s="37" t="s">
        <v>202</v>
      </c>
      <c r="I178" s="37">
        <v>6286</v>
      </c>
      <c r="J178" s="26">
        <v>64</v>
      </c>
      <c r="K178" s="6">
        <f>Table_Household_Alloc[[#This Row],[Unit Entitlement]]/1000</f>
        <v>6.4000000000000001E-2</v>
      </c>
      <c r="L178" s="44">
        <f t="shared" si="5"/>
        <v>14.848000000000001</v>
      </c>
      <c r="M178" s="37"/>
      <c r="N178" s="52">
        <f>IF(Table_Household_Alloc[[#This Row],[PV Installed]]="Y",1,0)*Table_Household_Alloc[[#This Row],[Calculated Battery Allocation (kWh)]]</f>
        <v>0</v>
      </c>
      <c r="S178" s="46" t="s">
        <v>558</v>
      </c>
      <c r="T178" s="27" t="s">
        <v>598</v>
      </c>
      <c r="U178" s="49"/>
      <c r="V178" s="30" t="s">
        <v>599</v>
      </c>
      <c r="X178" s="29"/>
      <c r="Y178" s="51"/>
    </row>
    <row r="179" spans="1:25" s="46" customFormat="1" ht="19" x14ac:dyDescent="0.25">
      <c r="A179" s="92">
        <v>11</v>
      </c>
      <c r="B179" s="41" t="s">
        <v>550</v>
      </c>
      <c r="C179" s="42"/>
      <c r="D179" s="37"/>
      <c r="E179" s="5" t="s">
        <v>600</v>
      </c>
      <c r="F179" s="5" t="s">
        <v>601</v>
      </c>
      <c r="G179" s="37" t="s">
        <v>201</v>
      </c>
      <c r="H179" s="37" t="s">
        <v>202</v>
      </c>
      <c r="I179" s="37">
        <v>6286</v>
      </c>
      <c r="J179" s="26">
        <v>64</v>
      </c>
      <c r="K179" s="6">
        <f>Table_Household_Alloc[[#This Row],[Unit Entitlement]]/1000</f>
        <v>6.4000000000000001E-2</v>
      </c>
      <c r="L179" s="44">
        <f t="shared" si="5"/>
        <v>14.848000000000001</v>
      </c>
      <c r="M179" s="37"/>
      <c r="N179" s="52">
        <f>IF(Table_Household_Alloc[[#This Row],[PV Installed]]="Y",1,0)*Table_Household_Alloc[[#This Row],[Calculated Battery Allocation (kWh)]]</f>
        <v>0</v>
      </c>
      <c r="S179" s="46" t="s">
        <v>118</v>
      </c>
      <c r="T179" s="27" t="s">
        <v>602</v>
      </c>
      <c r="U179" s="49"/>
      <c r="V179" s="30" t="s">
        <v>603</v>
      </c>
      <c r="X179" s="29"/>
      <c r="Y179" s="51"/>
    </row>
    <row r="180" spans="1:25" s="46" customFormat="1" ht="19" x14ac:dyDescent="0.25">
      <c r="A180" s="92">
        <v>12</v>
      </c>
      <c r="B180" s="41" t="s">
        <v>550</v>
      </c>
      <c r="C180" s="54"/>
      <c r="D180" s="37"/>
      <c r="E180" s="5" t="s">
        <v>604</v>
      </c>
      <c r="F180" s="5" t="s">
        <v>605</v>
      </c>
      <c r="G180" s="37" t="s">
        <v>201</v>
      </c>
      <c r="H180" s="37" t="s">
        <v>202</v>
      </c>
      <c r="I180" s="37">
        <v>6286</v>
      </c>
      <c r="J180" s="26">
        <v>64</v>
      </c>
      <c r="K180" s="6">
        <f>Table_Household_Alloc[[#This Row],[Unit Entitlement]]/1000</f>
        <v>6.4000000000000001E-2</v>
      </c>
      <c r="L180" s="44">
        <f t="shared" si="5"/>
        <v>14.848000000000001</v>
      </c>
      <c r="M180" s="37"/>
      <c r="N180" s="52">
        <f>IF(Table_Household_Alloc[[#This Row],[PV Installed]]="Y",1,0)*Table_Household_Alloc[[#This Row],[Calculated Battery Allocation (kWh)]]</f>
        <v>0</v>
      </c>
      <c r="S180" s="46" t="s">
        <v>118</v>
      </c>
      <c r="T180" s="27" t="s">
        <v>606</v>
      </c>
      <c r="U180" s="49" t="s">
        <v>607</v>
      </c>
      <c r="V180" s="30" t="s">
        <v>608</v>
      </c>
      <c r="X180" s="29"/>
      <c r="Y180" s="51"/>
    </row>
    <row r="181" spans="1:25" s="46" customFormat="1" ht="19" x14ac:dyDescent="0.25">
      <c r="A181" s="92">
        <v>13</v>
      </c>
      <c r="B181" s="41" t="s">
        <v>550</v>
      </c>
      <c r="C181" s="42"/>
      <c r="D181" s="37"/>
      <c r="E181" s="5" t="s">
        <v>609</v>
      </c>
      <c r="F181" s="5" t="s">
        <v>610</v>
      </c>
      <c r="G181" s="37" t="s">
        <v>201</v>
      </c>
      <c r="H181" s="37" t="s">
        <v>202</v>
      </c>
      <c r="I181" s="37">
        <v>6286</v>
      </c>
      <c r="J181" s="26">
        <v>64</v>
      </c>
      <c r="K181" s="6">
        <f>Table_Household_Alloc[[#This Row],[Unit Entitlement]]/1000</f>
        <v>6.4000000000000001E-2</v>
      </c>
      <c r="L181" s="44">
        <f t="shared" si="5"/>
        <v>14.848000000000001</v>
      </c>
      <c r="M181" s="37"/>
      <c r="N181" s="52">
        <f>IF(Table_Household_Alloc[[#This Row],[PV Installed]]="Y",1,0)*Table_Household_Alloc[[#This Row],[Calculated Battery Allocation (kWh)]]</f>
        <v>0</v>
      </c>
      <c r="S181" s="46" t="s">
        <v>44</v>
      </c>
      <c r="T181" s="27" t="s">
        <v>611</v>
      </c>
      <c r="U181" s="49" t="s">
        <v>612</v>
      </c>
      <c r="V181" s="33" t="s">
        <v>613</v>
      </c>
      <c r="X181" s="34" t="s">
        <v>614</v>
      </c>
      <c r="Y181" s="51" t="s">
        <v>37</v>
      </c>
    </row>
    <row r="182" spans="1:25" s="46" customFormat="1" ht="19" x14ac:dyDescent="0.25">
      <c r="A182" s="92">
        <v>14</v>
      </c>
      <c r="B182" s="41" t="s">
        <v>550</v>
      </c>
      <c r="C182" s="54"/>
      <c r="D182" s="37"/>
      <c r="E182" s="5" t="s">
        <v>615</v>
      </c>
      <c r="F182" s="5" t="s">
        <v>616</v>
      </c>
      <c r="G182" s="37" t="s">
        <v>201</v>
      </c>
      <c r="H182" s="37" t="s">
        <v>202</v>
      </c>
      <c r="I182" s="37">
        <v>6286</v>
      </c>
      <c r="J182" s="26">
        <v>63</v>
      </c>
      <c r="K182" s="6">
        <f>Table_Household_Alloc[[#This Row],[Unit Entitlement]]/1000</f>
        <v>6.3E-2</v>
      </c>
      <c r="L182" s="44">
        <f t="shared" si="5"/>
        <v>14.616</v>
      </c>
      <c r="M182" s="37"/>
      <c r="N182" s="52">
        <f>IF(Table_Household_Alloc[[#This Row],[PV Installed]]="Y",1,0)*Table_Household_Alloc[[#This Row],[Calculated Battery Allocation (kWh)]]</f>
        <v>0</v>
      </c>
      <c r="S182" s="46" t="s">
        <v>33</v>
      </c>
      <c r="T182" s="27" t="s">
        <v>617</v>
      </c>
      <c r="U182" s="49" t="s">
        <v>618</v>
      </c>
      <c r="V182" s="28" t="s">
        <v>619</v>
      </c>
      <c r="X182" s="29"/>
      <c r="Y182" s="51"/>
    </row>
    <row r="183" spans="1:25" s="46" customFormat="1" ht="19" x14ac:dyDescent="0.25">
      <c r="A183" s="92">
        <v>15</v>
      </c>
      <c r="B183" s="41" t="s">
        <v>550</v>
      </c>
      <c r="C183" s="54"/>
      <c r="D183" s="37"/>
      <c r="E183" s="5" t="s">
        <v>620</v>
      </c>
      <c r="F183" s="5" t="s">
        <v>621</v>
      </c>
      <c r="G183" s="37" t="s">
        <v>201</v>
      </c>
      <c r="H183" s="37" t="s">
        <v>202</v>
      </c>
      <c r="I183" s="37">
        <v>6286</v>
      </c>
      <c r="J183" s="26">
        <v>26</v>
      </c>
      <c r="K183" s="6">
        <f>Table_Household_Alloc[[#This Row],[Unit Entitlement]]/1000</f>
        <v>2.5999999999999999E-2</v>
      </c>
      <c r="L183" s="44">
        <f t="shared" si="5"/>
        <v>6.032</v>
      </c>
      <c r="M183" s="37"/>
      <c r="N183" s="52">
        <f>IF(Table_Household_Alloc[[#This Row],[PV Installed]]="Y",1,0)*Table_Household_Alloc[[#This Row],[Calculated Battery Allocation (kWh)]]</f>
        <v>0</v>
      </c>
      <c r="S183" s="46" t="s">
        <v>118</v>
      </c>
      <c r="T183" s="27" t="s">
        <v>622</v>
      </c>
      <c r="U183" s="49"/>
      <c r="V183" s="32" t="s">
        <v>623</v>
      </c>
      <c r="X183" s="29"/>
      <c r="Y183" s="51"/>
    </row>
    <row r="184" spans="1:25" s="46" customFormat="1" ht="19" x14ac:dyDescent="0.25">
      <c r="A184" s="92">
        <v>16</v>
      </c>
      <c r="B184" s="41" t="s">
        <v>550</v>
      </c>
      <c r="C184" s="54"/>
      <c r="D184" s="37"/>
      <c r="E184" s="5" t="s">
        <v>624</v>
      </c>
      <c r="F184" s="5" t="s">
        <v>625</v>
      </c>
      <c r="G184" s="37" t="s">
        <v>201</v>
      </c>
      <c r="H184" s="37" t="s">
        <v>202</v>
      </c>
      <c r="I184" s="37">
        <v>6286</v>
      </c>
      <c r="J184" s="26">
        <v>26</v>
      </c>
      <c r="K184" s="6">
        <f>Table_Household_Alloc[[#This Row],[Unit Entitlement]]/1000</f>
        <v>2.5999999999999999E-2</v>
      </c>
      <c r="L184" s="44">
        <f t="shared" si="5"/>
        <v>6.032</v>
      </c>
      <c r="M184" s="37"/>
      <c r="N184" s="52">
        <f>IF(Table_Household_Alloc[[#This Row],[PV Installed]]="Y",1,0)*Table_Household_Alloc[[#This Row],[Calculated Battery Allocation (kWh)]]</f>
        <v>0</v>
      </c>
      <c r="S184" s="46" t="s">
        <v>118</v>
      </c>
      <c r="T184" s="27" t="s">
        <v>626</v>
      </c>
      <c r="U184" s="49"/>
      <c r="V184" s="32" t="s">
        <v>627</v>
      </c>
      <c r="X184" s="29"/>
      <c r="Y184" s="51"/>
    </row>
    <row r="185" spans="1:25" s="46" customFormat="1" ht="19" x14ac:dyDescent="0.25">
      <c r="A185" s="92">
        <v>17</v>
      </c>
      <c r="B185" s="41" t="s">
        <v>550</v>
      </c>
      <c r="C185" s="42"/>
      <c r="D185" s="37"/>
      <c r="E185" s="5" t="s">
        <v>628</v>
      </c>
      <c r="F185" s="5" t="s">
        <v>629</v>
      </c>
      <c r="G185" s="37" t="s">
        <v>201</v>
      </c>
      <c r="H185" s="37" t="s">
        <v>202</v>
      </c>
      <c r="I185" s="37">
        <v>6286</v>
      </c>
      <c r="J185" s="26">
        <v>26</v>
      </c>
      <c r="K185" s="6">
        <f>Table_Household_Alloc[[#This Row],[Unit Entitlement]]/1000</f>
        <v>2.5999999999999999E-2</v>
      </c>
      <c r="L185" s="44">
        <f t="shared" si="5"/>
        <v>6.032</v>
      </c>
      <c r="M185" s="37"/>
      <c r="N185" s="52">
        <f>IF(Table_Household_Alloc[[#This Row],[PV Installed]]="Y",1,0)*Table_Household_Alloc[[#This Row],[Calculated Battery Allocation (kWh)]]</f>
        <v>0</v>
      </c>
      <c r="S185" s="46" t="s">
        <v>118</v>
      </c>
      <c r="T185" s="27" t="s">
        <v>630</v>
      </c>
      <c r="U185" s="49"/>
      <c r="V185" s="30" t="s">
        <v>631</v>
      </c>
      <c r="X185" s="29"/>
      <c r="Y185" s="51"/>
    </row>
    <row r="186" spans="1:25" s="46" customFormat="1" ht="19" x14ac:dyDescent="0.25">
      <c r="A186" s="92">
        <v>18</v>
      </c>
      <c r="B186" s="41" t="s">
        <v>550</v>
      </c>
      <c r="C186" s="42"/>
      <c r="D186" s="37"/>
      <c r="E186" s="5" t="s">
        <v>632</v>
      </c>
      <c r="F186" s="5" t="s">
        <v>633</v>
      </c>
      <c r="G186" s="37" t="s">
        <v>201</v>
      </c>
      <c r="H186" s="37" t="s">
        <v>202</v>
      </c>
      <c r="I186" s="37">
        <v>6286</v>
      </c>
      <c r="J186" s="26">
        <v>26</v>
      </c>
      <c r="K186" s="6">
        <f>Table_Household_Alloc[[#This Row],[Unit Entitlement]]/1000</f>
        <v>2.5999999999999999E-2</v>
      </c>
      <c r="L186" s="44">
        <f t="shared" si="5"/>
        <v>6.032</v>
      </c>
      <c r="M186" s="37"/>
      <c r="N186" s="52">
        <f>IF(Table_Household_Alloc[[#This Row],[PV Installed]]="Y",1,0)*Table_Household_Alloc[[#This Row],[Calculated Battery Allocation (kWh)]]</f>
        <v>0</v>
      </c>
      <c r="S186" s="46" t="s">
        <v>33</v>
      </c>
      <c r="T186" s="27" t="s">
        <v>634</v>
      </c>
      <c r="U186" s="49"/>
      <c r="V186" s="30" t="s">
        <v>635</v>
      </c>
      <c r="X186" s="29"/>
      <c r="Y186" s="51"/>
    </row>
    <row r="187" spans="1:25" s="46" customFormat="1" ht="19" x14ac:dyDescent="0.25">
      <c r="A187" s="92">
        <v>19</v>
      </c>
      <c r="B187" s="41" t="s">
        <v>550</v>
      </c>
      <c r="C187" s="53">
        <v>50003387</v>
      </c>
      <c r="D187" s="37"/>
      <c r="E187" s="5" t="s">
        <v>636</v>
      </c>
      <c r="F187" s="5" t="s">
        <v>637</v>
      </c>
      <c r="G187" s="37" t="s">
        <v>201</v>
      </c>
      <c r="H187" s="37" t="s">
        <v>202</v>
      </c>
      <c r="I187" s="37">
        <v>6286</v>
      </c>
      <c r="J187" s="26">
        <v>30</v>
      </c>
      <c r="K187" s="6">
        <f>Table_Household_Alloc[[#This Row],[Unit Entitlement]]/1000</f>
        <v>0.03</v>
      </c>
      <c r="L187" s="44">
        <f t="shared" si="5"/>
        <v>6.96</v>
      </c>
      <c r="M187" s="37"/>
      <c r="N187" s="52">
        <f>IF(Table_Household_Alloc[[#This Row],[PV Installed]]="Y",1,0)*Table_Household_Alloc[[#This Row],[Calculated Battery Allocation (kWh)]]</f>
        <v>0</v>
      </c>
      <c r="S187" s="46" t="s">
        <v>44</v>
      </c>
      <c r="T187" s="27" t="s">
        <v>638</v>
      </c>
      <c r="U187" s="49" t="s">
        <v>639</v>
      </c>
      <c r="V187" s="30" t="s">
        <v>640</v>
      </c>
      <c r="X187" s="34" t="s">
        <v>614</v>
      </c>
      <c r="Y187" s="51" t="s">
        <v>37</v>
      </c>
    </row>
    <row r="188" spans="1:25" s="46" customFormat="1" ht="40" x14ac:dyDescent="0.25">
      <c r="A188" s="55" t="s">
        <v>147</v>
      </c>
      <c r="B188" s="41" t="s">
        <v>550</v>
      </c>
      <c r="C188" s="53">
        <v>2911041070</v>
      </c>
      <c r="D188" s="37"/>
      <c r="E188" s="71" t="s">
        <v>148</v>
      </c>
      <c r="F188" s="5"/>
      <c r="G188" s="37"/>
      <c r="H188" s="37"/>
      <c r="I188" s="37"/>
      <c r="J188" s="15"/>
      <c r="K188" s="6">
        <f>Table_Household_Alloc[[#This Row],[Unit Entitlement]]/1000</f>
        <v>0</v>
      </c>
      <c r="L188" s="44"/>
      <c r="M188" s="37"/>
      <c r="N188" s="52">
        <f>IF(Table_Household_Alloc[[#This Row],[PV Installed]]="Y",1,0)*Table_Household_Alloc[[#This Row],[Calculated Battery Allocation (kWh)]]</f>
        <v>0</v>
      </c>
      <c r="T188" s="58"/>
      <c r="U188" s="49"/>
      <c r="V188" s="35"/>
      <c r="X188" s="94"/>
      <c r="Y188" s="51"/>
    </row>
    <row r="189" spans="1:25" s="46" customFormat="1" ht="19" x14ac:dyDescent="0.25">
      <c r="A189" s="40" t="s">
        <v>149</v>
      </c>
      <c r="B189" s="41" t="s">
        <v>550</v>
      </c>
      <c r="C189" s="53">
        <v>2911041113</v>
      </c>
      <c r="D189" s="37" t="s">
        <v>150</v>
      </c>
      <c r="E189" s="71" t="s">
        <v>151</v>
      </c>
      <c r="F189" s="37"/>
      <c r="G189" s="37" t="s">
        <v>29</v>
      </c>
      <c r="H189" s="37" t="s">
        <v>30</v>
      </c>
      <c r="I189" s="37">
        <v>6286</v>
      </c>
      <c r="J189" s="43"/>
      <c r="K189" s="4">
        <f>Table_Household_Alloc[[#This Row],[Unit Entitlement]]/1000</f>
        <v>0</v>
      </c>
      <c r="L189" s="44">
        <f t="shared" ref="L189:L190" si="7">(J189/1000)*232</f>
        <v>0</v>
      </c>
      <c r="M189" s="37"/>
      <c r="N189" s="52">
        <f>IF(Table_Household_Alloc[[#This Row],[PV Installed]]="Y",1,0)*Table_Household_Alloc[[#This Row],[Calculated Battery Allocation (kWh)]]</f>
        <v>0</v>
      </c>
      <c r="P189" s="3"/>
      <c r="Q189" s="3"/>
      <c r="R189" s="37"/>
      <c r="S189" s="37"/>
      <c r="U189" s="49"/>
      <c r="X189" s="50"/>
      <c r="Y189" s="51"/>
    </row>
    <row r="190" spans="1:25" s="46" customFormat="1" ht="19" x14ac:dyDescent="0.25">
      <c r="A190" s="95" t="s">
        <v>152</v>
      </c>
      <c r="B190" s="96" t="s">
        <v>550</v>
      </c>
      <c r="C190" s="97"/>
      <c r="D190" s="37" t="s">
        <v>150</v>
      </c>
      <c r="E190" s="71" t="s">
        <v>153</v>
      </c>
      <c r="F190" s="37"/>
      <c r="G190" s="37" t="s">
        <v>29</v>
      </c>
      <c r="H190" s="37" t="s">
        <v>30</v>
      </c>
      <c r="I190" s="37">
        <v>6286</v>
      </c>
      <c r="J190" s="60"/>
      <c r="K190" s="61">
        <f>Table_Household_Alloc[[#This Row],[Unit Entitlement]]/1000</f>
        <v>0</v>
      </c>
      <c r="L190" s="44">
        <f t="shared" si="7"/>
        <v>0</v>
      </c>
      <c r="M190" s="37"/>
      <c r="N190" s="52">
        <f>IF(Table_Household_Alloc[[#This Row],[PV Installed]]="Y",1,0)*Table_Household_Alloc[[#This Row],[Calculated Battery Allocation (kWh)]]</f>
        <v>0</v>
      </c>
      <c r="P190" s="3"/>
      <c r="Q190" s="3"/>
      <c r="R190" s="37"/>
      <c r="S190" s="37"/>
      <c r="U190" s="49"/>
      <c r="X190" s="50"/>
      <c r="Y190" s="51"/>
    </row>
    <row r="191" spans="1:25" s="46" customFormat="1" ht="20" x14ac:dyDescent="0.25">
      <c r="A191" s="55" t="s">
        <v>642</v>
      </c>
      <c r="B191" s="96" t="s">
        <v>550</v>
      </c>
      <c r="C191" s="62"/>
      <c r="D191" s="37"/>
      <c r="E191" s="56"/>
      <c r="F191" s="56"/>
      <c r="G191" s="37"/>
      <c r="H191" s="37"/>
      <c r="I191" s="37"/>
      <c r="J191" s="63"/>
      <c r="K191" s="6">
        <f>Table_Household_Alloc[[#This Row],[Unit Entitlement]]/1000</f>
        <v>0</v>
      </c>
      <c r="L191" s="44"/>
      <c r="M191" s="37"/>
      <c r="N191" s="52">
        <f>IF(Table_Household_Alloc[[#This Row],[PV Installed]]="Y",1,0)*Table_Household_Alloc[[#This Row],[Calculated Battery Allocation (kWh)]]</f>
        <v>0</v>
      </c>
      <c r="T191" s="58"/>
      <c r="U191" s="49"/>
      <c r="V191" s="7"/>
      <c r="X191" s="59"/>
      <c r="Y191" s="51"/>
    </row>
    <row r="192" spans="1:25" s="46" customFormat="1" ht="20" x14ac:dyDescent="0.25">
      <c r="A192" s="64" t="s">
        <v>643</v>
      </c>
      <c r="B192" s="96" t="s">
        <v>550</v>
      </c>
      <c r="C192" s="98"/>
      <c r="D192" s="37"/>
      <c r="E192" s="56"/>
      <c r="F192" s="56"/>
      <c r="G192" s="37"/>
      <c r="H192" s="37"/>
      <c r="I192" s="37"/>
      <c r="J192" s="63"/>
      <c r="K192" s="6">
        <f>Table_Household_Alloc[[#This Row],[Unit Entitlement]]/1000</f>
        <v>0</v>
      </c>
      <c r="L192" s="44"/>
      <c r="M192" s="37"/>
      <c r="N192" s="52">
        <f>IF(Table_Household_Alloc[[#This Row],[PV Installed]]="Y",1,0)*Table_Household_Alloc[[#This Row],[Calculated Battery Allocation (kWh)]]</f>
        <v>0</v>
      </c>
      <c r="T192" s="58"/>
      <c r="U192" s="49"/>
      <c r="V192" s="7"/>
      <c r="X192" s="59"/>
      <c r="Y192" s="51"/>
    </row>
    <row r="193" spans="11:30" x14ac:dyDescent="0.2">
      <c r="K193" s="6">
        <f>Table_Household_Alloc[[#This Row],[Unit Entitlement]]/1000</f>
        <v>0</v>
      </c>
      <c r="N193" s="52">
        <f>IF(Table_Household_Alloc[[#This Row],[PV Installed]]="Y",1,0)*Table_Household_Alloc[[#This Row],[Calculated Battery Allocation (kWh)]]</f>
        <v>0</v>
      </c>
      <c r="Z193" s="37"/>
      <c r="AA193" s="37"/>
      <c r="AB193" s="37"/>
      <c r="AC193" s="37"/>
      <c r="AD193" s="37"/>
    </row>
  </sheetData>
  <conditionalFormatting sqref="N2:N193">
    <cfRule type="cellIs" dxfId="44" priority="1" operator="equal">
      <formula>0</formula>
    </cfRule>
  </conditionalFormatting>
  <hyperlinks>
    <hyperlink ref="V173" r:id="rId1" xr:uid="{7CB822FF-1F2D-454B-AA19-78930EA997EA}"/>
    <hyperlink ref="V187" r:id="rId2" display="mailto:Chloe_lovelidge@hotmail.com" xr:uid="{E0B97EEF-87C5-1A49-B032-ED1A94073D6E}"/>
    <hyperlink ref="V186" r:id="rId3" display="mailto:meish.b98@gmail.com" xr:uid="{789663AE-CC87-EC4A-942F-96016914AE7C}"/>
    <hyperlink ref="V185" r:id="rId4" display="mailto:riverlcp@gmail.com" xr:uid="{0A6C25BE-DD05-A640-B7E7-8962A7532DBB}"/>
    <hyperlink ref="V181" r:id="rId5" display="mailto:jasonmchattan@gmail.com" xr:uid="{A0A666AC-EB80-AD45-A923-DFDE41B851DC}"/>
    <hyperlink ref="V180" r:id="rId6" display="mailto:fiona_skoglund@hotmail.com" xr:uid="{8C2876B9-1C44-6E45-BFD4-868CE0DBAC23}"/>
    <hyperlink ref="V179" r:id="rId7" display="mailto:pamezdroz@protonmail.com" xr:uid="{C60924A1-0DE8-EE46-AD32-E6814C56060A}"/>
    <hyperlink ref="V178" r:id="rId8" display="mailto:msannieawilson@gmail.com" xr:uid="{2B501052-CEBD-8B4A-8AFE-79F879FA6B55}"/>
    <hyperlink ref="V176" r:id="rId9" display="mailto:timjcthomson@gmail.com" xr:uid="{9495A3E2-34FA-AA44-87E7-33FD3A610AC8}"/>
    <hyperlink ref="V175" r:id="rId10" display="mailto:karenkotze@outlook.com" xr:uid="{40D78352-65B2-C748-816B-F2EB12631D9E}"/>
    <hyperlink ref="V172" r:id="rId11" xr:uid="{648188D5-3D5B-2D4F-AE0E-7C3CC1B1173D}"/>
    <hyperlink ref="V171" r:id="rId12" display="mailto:bronwyn_edwards@yahoo.com.au" xr:uid="{BB8780E8-545D-5747-AC7E-E3EBFC835D59}"/>
    <hyperlink ref="V170" r:id="rId13" display="mailto:sarahhewer@me.com" xr:uid="{29D6870F-491E-B349-909B-519A08F03130}"/>
    <hyperlink ref="V169" r:id="rId14" display="mailto:ggreenwell2@outlook.com" xr:uid="{908FB735-BDFB-974B-BBB1-7C61798072DC}"/>
    <hyperlink ref="V25" r:id="rId15" display="mailto:rosebunch5@gmail.com" xr:uid="{D98E5C2F-D6E0-CB48-AB29-CFE67EB9D6AF}"/>
    <hyperlink ref="V24" r:id="rId16" display="mailto:hogire1948@hotmail.com" xr:uid="{5625C838-D9FA-864F-B3B0-333E2600A4C0}"/>
    <hyperlink ref="V23" r:id="rId17" display="mailto:carrieandwarrick@gmail.com" xr:uid="{AB73DE86-20B4-7344-B5DE-926F5CD7C68B}"/>
    <hyperlink ref="V22" r:id="rId18" display="mailto:woodmandj55@gmail.com" xr:uid="{5AD219FA-BDC2-BF4F-B810-82AF1B02E9E0}"/>
    <hyperlink ref="V21" r:id="rId19" display="mailto:lightelke@gmail.com" xr:uid="{AC1BCAF2-2E28-114D-A6C4-168D3054C3F2}"/>
    <hyperlink ref="V20" r:id="rId20" display="mailto:lindyjdunlop@hotmail.com" xr:uid="{D7BBAEBA-7368-284B-A78E-BDF0BBAD4F81}"/>
    <hyperlink ref="V19" r:id="rId21" display="mailto:lizk@beyondergo.com.au" xr:uid="{562C2112-C077-834D-814E-66C6AA608603}"/>
    <hyperlink ref="V18" r:id="rId22" display="mailto:henryweldon90@gmail.com" xr:uid="{F023C563-D3BF-004D-84AC-840CEAAAD72B}"/>
    <hyperlink ref="V17" r:id="rId23" display="mailto:libby@humanbells.com" xr:uid="{44758010-5390-A046-BB8B-911ABA743F55}"/>
    <hyperlink ref="V16" r:id="rId24" display="mailto:jeﬀ.thierfelder@iinet.net.au" xr:uid="{BCAEC363-6F43-7B4C-B43F-78CBA4255498}"/>
    <hyperlink ref="V15" r:id="rId25" display="mailto:diego.barneche@ymail.com" xr:uid="{077DED47-DBA2-5042-8990-4AFC8BBA6BF6}"/>
    <hyperlink ref="V14" r:id="rId26" display="mailto:froehlich.fp@gmail.com" xr:uid="{0F617C93-4198-6740-850F-266AA5313047}"/>
    <hyperlink ref="V13" r:id="rId27" display="mailto:shaw76@hotmail.co.uk" xr:uid="{0AAC7304-5BDD-504C-91A8-693F5EAEE4AE}"/>
    <hyperlink ref="V12" r:id="rId28" display="mailto:levi.holden@optusnet.com.au" xr:uid="{9382AFE6-90C7-0247-BC2E-36A2DE9B942E}"/>
    <hyperlink ref="V11" r:id="rId29" display="mailto:pernille@designbutton.net.au" xr:uid="{68D95A62-8645-404B-B038-14A3A8D21613}"/>
    <hyperlink ref="V10" r:id="rId30" display="mailto:jasmine_heah@hotmail.com" xr:uid="{261C59FC-58E3-B94A-B2A7-3BF1268E811A}"/>
    <hyperlink ref="V9" r:id="rId31" display="mailto:marcus@mishack.com.au" xr:uid="{32A34DD2-7D14-C045-935A-9E949A67C0A6}"/>
    <hyperlink ref="V8" r:id="rId32" display="mailto:alixward@gmail.com" xr:uid="{771C99BD-FED7-FE4C-830A-0B3B65C97A26}"/>
    <hyperlink ref="V7" r:id="rId33" display="mailto:tim.hewson@iinet.net.au" xr:uid="{FD9BE52E-461D-C949-B051-DA7DAE3C3760}"/>
    <hyperlink ref="V6" r:id="rId34" display="mailto:mammoth@iinet.net.au" xr:uid="{EB6CF3B0-8E14-CA48-8FD9-C997433BD27C}"/>
    <hyperlink ref="V5" r:id="rId35" display="mailto:mulloway9@icloud.com" xr:uid="{45A759A2-F0AF-1A4F-8170-9948E978FF80}"/>
    <hyperlink ref="V4" r:id="rId36" display="mailto:emailalexhughes@gmail.com" xr:uid="{E217B4ED-6EA2-B448-B873-8D98C1CA4291}"/>
    <hyperlink ref="V3" r:id="rId37" display="mailto:maroeck@gmail.com" xr:uid="{2F918274-46A1-AF4B-9B85-5213172B8299}"/>
    <hyperlink ref="V2" r:id="rId38" display="mailto:nicholasjamesmead@gmail.co" xr:uid="{4D0307D8-7C80-0844-9B10-5405CF7263E0}"/>
  </hyperlinks>
  <pageMargins left="0.7" right="0.7" top="0.75" bottom="0.75" header="0.3" footer="0.3"/>
  <pageSetup paperSize="9" orientation="portrait" horizontalDpi="0" verticalDpi="0"/>
  <legacyDrawing r:id="rId39"/>
  <tableParts count="1">
    <tablePart r:id="rId4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strata 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Jennie Qi Jiang</dc:creator>
  <cp:lastModifiedBy>Jennie Qi Jiang</cp:lastModifiedBy>
  <dcterms:created xsi:type="dcterms:W3CDTF">2024-12-10T05:56:09Z</dcterms:created>
  <dcterms:modified xsi:type="dcterms:W3CDTF">2025-02-25T07:40:45Z</dcterms:modified>
</cp:coreProperties>
</file>