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000" tabRatio="902" activeTab="2"/>
  </bookViews>
  <sheets>
    <sheet name="Insutrcution for whole process" sheetId="78" r:id="rId1"/>
    <sheet name="strata rep contacts" sheetId="34" r:id="rId2"/>
    <sheet name="strata roll" sheetId="28" r:id="rId3"/>
    <sheet name="Amanda Energy" sheetId="75" r:id="rId4"/>
    <sheet name="reading-import" sheetId="76" r:id="rId5"/>
    <sheet name="reading-export" sheetId="77" r:id="rId6"/>
    <sheet name="Tariff Rates" sheetId="33" r:id="rId7"/>
    <sheet name="Energy billing Mastersheet" sheetId="32" r:id="rId8"/>
    <sheet name="Lot 1" sheetId="2" r:id="rId9"/>
    <sheet name="Lot 2" sheetId="121" r:id="rId10"/>
    <sheet name="Lot 3" sheetId="122" r:id="rId11"/>
    <sheet name="Lot 4" sheetId="123" r:id="rId12"/>
    <sheet name="Lot 5" sheetId="124" r:id="rId13"/>
    <sheet name="Lot 6" sheetId="125" r:id="rId14"/>
    <sheet name="Lot 7" sheetId="126" r:id="rId15"/>
    <sheet name="Lot 8" sheetId="127" r:id="rId16"/>
    <sheet name="Lot 9" sheetId="128" r:id="rId17"/>
    <sheet name="Lot 10" sheetId="129" r:id="rId18"/>
    <sheet name="Lot 11" sheetId="130" r:id="rId19"/>
    <sheet name="Lot 12" sheetId="131" r:id="rId20"/>
    <sheet name="Lot 13" sheetId="132" r:id="rId21"/>
    <sheet name="Lot 14" sheetId="133" r:id="rId22"/>
    <sheet name="Lot 15" sheetId="134" r:id="rId23"/>
    <sheet name="Lot 16" sheetId="135" r:id="rId24"/>
    <sheet name="Lot 17" sheetId="136" r:id="rId25"/>
    <sheet name="Lot 18" sheetId="137" r:id="rId26"/>
    <sheet name="Lot 19" sheetId="138" r:id="rId27"/>
    <sheet name="Lot 20" sheetId="139" r:id="rId28"/>
    <sheet name="Lot 21" sheetId="140" r:id="rId29"/>
    <sheet name="Lot 22" sheetId="141" r:id="rId30"/>
    <sheet name="Lot 23" sheetId="142" r:id="rId31"/>
    <sheet name="Lot 24" sheetId="143" r:id="rId32"/>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<sst xmlns="http://schemas.openxmlformats.org/spreadsheetml/2006/main" count="4612" uniqueCount="1017">
  <si>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</si>
  <si>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</si>
  <si>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</si>
  <si>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</si>
  <si>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</si>
  <si>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</si>
  <si>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</si>
  <si>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</si>
  <si>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</si>
  <si>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</si>
  <si>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</si>
  <si>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</si>
  <si>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</si>
  <si>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</si>
  <si>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</si>
  <si>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</si>
  <si>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</si>
  <si>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</si>
  <si>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</si>
  <si>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</si>
  <si>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</si>
  <si>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</si>
  <si>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</si>
  <si>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</si>
  <si>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</si>
  <si>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</si>
  <si>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</si>
  <si>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</si>
  <si>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</si>
  <si>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</si>
  <si>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</si>
  <si>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</si>
  <si>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</si>
  <si>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</si>
  <si>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</si>
  <si>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</si>
  <si>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</si>
  <si>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</si>
  <si>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</si>
  <si>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</si>
  <si>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</si>
  <si>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</si>
  <si>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</si>
  <si>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</si>
  <si>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</si>
  <si>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</si>
  <si>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</si>
  <si>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</si>
  <si>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</si>
  <si>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</si>
  <si>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</si>
  <si>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</si>
  <si>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</si>
  <si>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</si>
  <si>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</si>
  <si>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</si>
  <si>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</si>
  <si>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</si>
  <si>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</si>
  <si>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</si>
  <si>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</si>
  <si>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</si>
  <si>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</si>
  <si>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</si>
  <si>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</si>
  <si>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</si>
  <si>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</si>
  <si>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</si>
  <si>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</si>
  <si>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</si>
  <si>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</si>
  <si>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</si>
  <si>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</si>
  <si>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</si>
  <si>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</si>
  <si>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</si>
  <si>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</si>
  <si>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</si>
  <si>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</si>
  <si>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</si>
  <si>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</si>
  <si>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</si>
  <si>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</si>
  <si>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</si>
  <si>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</si>
  <si>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</si>
  <si>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</si>
  <si>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</si>
  <si>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</si>
  <si>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</si>
  <si>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</si>
  <si>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</si>
  <si>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</si>
  <si>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</si>
  <si>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</si>
  <si>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</si>
  <si>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</si>
  <si>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</si>
  <si>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</si>
  <si>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</si>
  <si>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</si>
  <si>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</si>
  <si>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</si>
  <si>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</si>
  <si>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</si>
  <si>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</si>
  <si>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</si>
  <si>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</si>
  <si>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</si>
  <si>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</si>
  <si>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</si>
  <si>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</si>
  <si>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</si>
  <si>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</si>
  <si>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</si>
  <si>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</si>
  <si>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</si>
  <si>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</si>
  <si>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</si>
  <si>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</si>
  <si>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</si>
  <si>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</si>
  <si>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</si>
  <si>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</si>
  <si>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</si>
  <si>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</si>
  <si>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</si>
  <si>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</si>
  <si>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</si>
  <si>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</si>
  <si>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</si>
  <si>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</si>
  <si>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</si>
  <si>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</si>
  <si>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</si>
  <si>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</si>
  <si>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</si>
  <si>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</si>
  <si>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</si>
  <si>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</si>
  <si>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</si>
  <si>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</si>
  <si>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</si>
  <si>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</si>
  <si>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</si>
  <si>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</si>
  <si>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</si>
  <si>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</si>
  <si>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</si>
  <si>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</si>
  <si>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</si>
  <si>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</si>
  <si>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</si>
  <si>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</si>
  <si>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</si>
  <si>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</si>
  <si>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</si>
  <si>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</si>
  <si>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</si>
  <si>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</si>
  <si>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</si>
  <si>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</si>
  <si>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</si>
  <si>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</si>
  <si>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</si>
  <si>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</si>
  <si>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</si>
  <si>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</si>
  <si>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</si>
  <si>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</si>
  <si>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</si>
  <si>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</si>
  <si>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</si>
  <si>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</si>
  <si>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</si>
  <si>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</si>
  <si>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</si>
  <si>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</si>
  <si>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</si>
  <si>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</si>
  <si>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</si>
  <si>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</si>
  <si>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</si>
  <si>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</si>
  <si>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</si>
  <si>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</si>
  <si>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</si>
  <si>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</si>
  <si>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</si>
  <si>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</si>
  <si>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</si>
  <si>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</si>
  <si>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</si>
  <si>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</si>
  <si>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</si>
  <si>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</si>
  <si>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</si>
  <si>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</si>
  <si>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</si>
  <si>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</si>
  <si>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</si>
  <si>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</si>
  <si>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</si>
  <si>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</si>
  <si>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</si>
  <si>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</si>
  <si>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</si>
  <si>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</si>
  <si>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</si>
  <si>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</si>
  <si>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</si>
  <si>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</si>
  <si>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</si>
  <si>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</si>
  <si>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</si>
  <si>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</si>
  <si>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</si>
  <si>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</si>
  <si>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</si>
  <si>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</si>
  <si>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</si>
  <si>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</si>
  <si>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</si>
  <si>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</si>
  <si>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</si>
  <si>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</si>
  <si>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</si>
  <si>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</si>
  <si>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</si>
  <si>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</si>
  <si>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</si>
  <si>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</si>
  <si>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Alexander Hughes</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</si>
  <si>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</si>
  <si>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</si>
  <si>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</si>
  <si>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</si>
  <si>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</si>
  <si>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</si>
  <si>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</si>
  <si>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</si>
  <si>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</si>
  <si>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</si>
  <si>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</si>
  <si>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</si>
  <si>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</si>
  <si>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</si>
  <si>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</si>
  <si>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</si>
  <si>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</si>
  <si>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</si>
  <si>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</si>
  <si>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</si>
  <si>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</si>
  <si>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</si>
  <si>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</si>
  <si>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</si>
  <si>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</si>
  <si>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</si>
  <si>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</si>
  <si>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</si>
  <si>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</si>
  <si>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</si>
  <si>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</si>
  <si>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</si>
  <si>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</si>
  <si>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</si>
  <si>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</si>
  <si>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</si>
  <si>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</si>
  <si>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</si>
  <si>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</si>
  <si>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</si>
  <si>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</si>
  <si>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</si>
  <si>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</si>
  <si>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</si>
  <si>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</si>
  <si>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</si>
  <si>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</si>
  <si>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</si>
  <si>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</si>
  <si>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</si>
  <si>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</si>
  <si>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</si>
  <si>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</si>
  <si>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</si>
  <si>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</si>
  <si>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</si>
  <si>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</si>
  <si>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</si>
  <si>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</si>
  <si>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</si>
  <si>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</si>
  <si>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</si>
  <si>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</si>
  <si>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</si>
  <si>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</si>
  <si>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</si>
  <si>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</si>
  <si>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</si>
  <si>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</si>
  <si>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</si>
  <si>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</si>
  <si>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</si>
  <si>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</si>
  <si>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</si>
  <si>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</si>
  <si>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</si>
  <si>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</si>
  <si>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</si>
  <si>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</si>
  <si>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</si>
  <si>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</si>
  <si>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</si>
  <si>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</si>
  <si>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</si>
  <si>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</si>
  <si>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</si>
  <si>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</si>
  <si>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</si>
  <si>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</si>
  <si>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</si>
  <si>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</si>
  <si>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</si>
  <si>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</si>
  <si>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</si>
  <si>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</si>
  <si>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</si>
  <si>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</si>
  <si>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</si>
  <si>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</si>
  <si>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</si>
  <si>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</si>
  <si>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</si>
  <si>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</si>
  <si>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</si>
  <si>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</si>
  <si>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</si>
  <si>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</si>
  <si>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</si>
  <si>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</si>
  <si>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</si>
  <si>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</si>
  <si>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</si>
  <si>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</si>
  <si>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</si>
  <si>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</si>
  <si>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</si>
  <si>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</si>
  <si>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</si>
  <si>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</si>
  <si>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</si>
  <si>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</si>
  <si>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</si>
  <si>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</si>
  <si>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</si>
  <si>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</si>
  <si>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</si>
  <si>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</si>
  <si>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</si>
  <si>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</si>
  <si>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</si>
  <si>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</si>
  <si>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</si>
  <si>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</si>
  <si>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</si>
  <si>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</si>
  <si>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</si>
  <si>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</si>
  <si>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</si>
  <si>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</si>
  <si>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</si>
  <si>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</si>
  <si>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</si>
  <si>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</si>
  <si>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</si>
  <si>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</si>
  <si>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</si>
  <si>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</si>
  <si>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</si>
  <si>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</si>
  <si>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</si>
  <si>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</si>
  <si>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</si>
  <si>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</si>
  <si>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</si>
  <si>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</si>
  <si>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</si>
  <si>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</si>
  <si>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</si>
  <si>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</si>
  <si>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</si>
  <si>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</si>
  <si>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</si>
  <si>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</si>
  <si>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</si>
  <si>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</si>
  <si>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</si>
  <si>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</si>
  <si>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</si>
  <si>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</si>
  <si>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</si>
  <si>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</si>
  <si>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</si>
  <si>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</si>
  <si>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</si>
  <si>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</si>
  <si>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</si>
  <si>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</si>
  <si>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</si>
  <si>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</si>
  <si>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</si>
  <si>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</si>
  <si>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</si>
  <si>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</si>
  <si>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</si>
  <si>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</si>
  <si>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</si>
  <si>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</si>
  <si>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</si>
  <si>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</si>
  <si>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</si>
  <si>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</si>
  <si>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</si>
  <si>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</si>
  <si>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</si>
  <si>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</si>
  <si>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</si>
  <si>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</si>
  <si>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</si>
  <si>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</si>
  <si>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</si>
  <si>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</si>
  <si>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</si>
  <si>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</si>
  <si>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</si>
  <si>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</si>
  <si>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</si>
  <si>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</si>
  <si>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</si>
  <si>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</si>
  <si>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</si>
  <si>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</si>
  <si>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</si>
  <si>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</si>
  <si>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</si>
  <si>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</si>
  <si>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</si>
  <si>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</si>
  <si>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</si>
  <si>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</si>
  <si>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</si>
  <si>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</si>
  <si>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</si>
  <si>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</si>
  <si>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</si>
  <si>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</si>
  <si>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</si>
  <si>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</si>
  <si>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</si>
  <si>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</si>
  <si>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</si>
  <si>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</si>
  <si>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</si>
  <si>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</si>
  <si>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</si>
  <si>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</si>
  <si>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</si>
  <si>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</si>
  <si>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</si>
  <si>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</si>
  <si>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</si>
  <si>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</si>
  <si>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</si>
  <si>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</si>
  <si>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</si>
  <si>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</si>
  <si>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</si>
  <si>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</si>
  <si>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</si>
  <si>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</si>
  <si>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</si>
  <si>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</si>
  <si>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</si>
  <si>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</si>
  <si>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</si>
  <si>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</si>
  <si>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</si>
  <si>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</si>
  <si>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</si>
  <si>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</si>
  <si>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</si>
  <si>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</si>
  <si>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</si>
  <si>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</si>
  <si>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</si>
  <si>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</si>
  <si>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</si>
  <si>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</si>
  <si>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</si>
  <si>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</si>
  <si>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</si>
  <si>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</si>
  <si>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</si>
  <si>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</si>
  <si>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</si>
  <si>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</si>
  <si>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</si>
  <si>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</si>
  <si>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</si>
  <si>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</si>
  <si>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</si>
  <si>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</si>
  <si>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</si>
  <si>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</si>
  <si>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</si>
  <si>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</si>
  <si>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</si>
  <si>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</si>
  <si>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</si>
  <si>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</si>
  <si>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</si>
  <si>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</si>
  <si>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</si>
  <si>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</si>
  <si>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</si>
  <si>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</si>
  <si>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</si>
  <si>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</si>
  <si>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</si>
  <si>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</si>
  <si>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</si>
  <si>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</si>
  <si>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</si>
  <si>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</si>
  <si>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</si>
  <si>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</si>
  <si>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</si>
  <si>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</si>
  <si>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</si>
  <si>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</si>
  <si>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</si>
  <si>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</si>
  <si>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</si>
  <si>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</si>
  <si>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</si>
  <si>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</si>
  <si>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</si>
  <si>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</si>
  <si>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</si>
  <si>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</si>
  <si>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</si>
  <si>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</si>
  <si>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</si>
  <si>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</si>
  <si>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</si>
  <si>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</si>
  <si>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</si>
  <si>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</si>
  <si>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</si>
  <si>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</si>
  <si>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</si>
  <si>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</si>
  <si>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</si>
  <si>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</si>
  <si>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</si>
  <si>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</si>
  <si>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</si>
  <si>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</si>
  <si>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</si>
  <si>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</si>
  <si>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</si>
  <si>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</si>
  <si>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</si>
  <si>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</si>
  <si>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</si>
  <si>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</si>
  <si>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</si>
  <si>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</si>
  <si>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</si>
  <si>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</si>
  <si>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</si>
  <si>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</si>
  <si>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</si>
  <si>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</si>
  <si>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</si>
  <si>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</si>
  <si>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</si>
  <si>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</si>
  <si>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</si>
  <si>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</si>
  <si>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</si>
  <si>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</si>
  <si>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</si>
  <si>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</si>
  <si>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</si>
  <si>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</si>
  <si>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</si>
  <si>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</si>
  <si>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</si>
  <si>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</si>
  <si>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</si>
  <si>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</si>
  <si>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</si>
  <si>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</si>
  <si>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</si>
  <si>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</si>
  <si>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</si>
  <si>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</si>
  <si>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</si>
  <si>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</si>
  <si>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</si>
  <si>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</si>
  <si>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</si>
  <si>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</si>
  <si>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</si>
  <si>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</si>
  <si>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</si>
  <si>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</si>
  <si>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</si>
  <si>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</si>
  <si>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</si>
  <si>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</si>
  <si>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</si>
  <si>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</si>
  <si>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</si>
  <si>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</si>
  <si>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</si>
  <si>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</si>
  <si>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</si>
  <si>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</si>
  <si>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</si>
  <si>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</si>
  <si>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</si>
  <si>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</si>
  <si>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</si>
  <si>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</si>
  <si>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</si>
  <si>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</si>
  <si>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</si>
  <si>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</si>
  <si>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</si>
  <si>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</si>
  <si>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</si>
  <si>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</si>
  <si>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</si>
  <si>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</si>
  <si>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</si>
  <si>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</si>
  <si>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</si>
  <si>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</si>
  <si>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</si>
  <si>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</si>
  <si>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</si>
  <si>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</si>
  <si>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</si>
  <si>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</si>
  <si>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</si>
  <si>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</si>
  <si>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</si>
  <si>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</si>
  <si>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</si>
  <si>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</si>
  <si>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</si>
  <si>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</si>
  <si>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</si>
  <si>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</si>
  <si>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</si>
  <si>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</si>
  <si>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</si>
  <si>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</si>
  <si>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</si>
  <si>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</si>
  <si>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</si>
  <si>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</si>
  <si>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</si>
  <si>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</si>
  <si>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</si>
  <si>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</si>
  <si>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</si>
  <si>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</si>
  <si>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</si>
  <si>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</si>
  <si>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</si>
  <si>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</si>
  <si>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</si>
  <si>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</si>
  <si>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</si>
  <si>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</si>
  <si>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</si>
  <si>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</si>
  <si>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</si>
  <si>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</si>
  <si>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</si>
  <si>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</si>
  <si>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</si>
  <si>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</si>
  <si>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</si>
  <si>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</si>
  <si>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</si>
  <si>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</si>
  <si>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</si>
  <si>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</si>
  <si>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</si>
  <si>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</si>
  <si>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</si>
  <si>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</si>
  <si>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</si>
  <si>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</si>
  <si>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</si>
  <si>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</si>
  <si>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</si>
  <si>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</si>
  <si>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</si>
  <si>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</si>
  <si>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</si>
  <si>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</si>
  <si>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</si>
  <si>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</si>
  <si>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</si>
  <si>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</si>
  <si>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</si>
  <si>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</si>
  <si>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</si>
  <si>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</si>
  <si>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</si>
  <si>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</si>
  <si>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</si>
  <si>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</si>
  <si>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</si>
  <si>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</si>
  <si>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</si>
  <si>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</si>
  <si>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</si>
  <si>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</si>
  <si>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</si>
  <si>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</si>
  <si>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</si>
  <si>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</si>
  <si>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</si>
  <si>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</si>
  <si>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</si>
  <si>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</si>
  <si>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</si>
  <si>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</si>
  <si>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</si>
  <si>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</si>
  <si>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</si>
  <si>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</si>
  <si>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</si>
  <si>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</si>
  <si>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</si>
  <si>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</si>
  <si>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</si>
  <si>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</si>
  <si>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</si>
  <si>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</si>
  <si>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</si>
  <si>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</si>
  <si>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</si>
  <si>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</si>
  <si>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</si>
  <si>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</si>
  <si>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</si>
  <si>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</si>
  <si>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</si>
  <si>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</si>
  <si>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</si>
  <si>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</si>
  <si>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</si>
  <si>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</si>
  <si>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</si>
  <si>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</si>
  <si>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</si>
  <si>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</si>
  <si>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</si>
  <si>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</si>
  <si>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</si>
  <si>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</si>
  <si>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</si>
  <si>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</si>
  <si>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</si>
  <si>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</si>
  <si>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</si>
  <si>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</si>
  <si>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</si>
  <si>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</si>
  <si>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</si>
  <si>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</si>
  <si>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</si>
  <si>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</si>
  <si>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</si>
  <si>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</si>
  <si>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</si>
  <si>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</si>
  <si>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</si>
  <si>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</si>
  <si>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</si>
  <si>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</si>
  <si>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</si>
  <si>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</si>
  <si>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</si>
  <si>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</si>
  <si>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</si>
  <si>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</si>
  <si>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</si>
  <si>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</si>
  <si>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</si>
  <si>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</si>
  <si>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</si>
  <si>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</si>
  <si>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</si>
  <si>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</si>
  <si>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</si>
  <si>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</si>
  <si>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</si>
  <si>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</si>
  <si>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</si>
  <si>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</si>
  <si>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</si>
  <si>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</si>
  <si>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</si>
  <si>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</si>
  <si>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</si>
  <si>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</si>
  <si>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</si>
  <si>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</si>
  <si>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</si>
  <si>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</si>
  <si>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</si>
  <si>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</si>
  <si>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</si>
  <si>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</si>
  <si>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</si>
  <si>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</si>
  <si>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</si>
  <si>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</si>
  <si>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</si>
  <si>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</si>
  <si>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</si>
  <si>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</si>
  <si>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</si>
  <si>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</si>
  <si>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</si>
  <si>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</si>
  <si>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</si>
  <si>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</si>
  <si>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</si>
  <si>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</si>
  <si>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</si>
  <si>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</si>
  <si>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</si>
  <si>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</si>
  <si>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</si>
  <si>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</si>
  <si>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</si>
  <si>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</si>
  <si>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</si>
  <si>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</si>
  <si>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</si>
  <si>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</si>
  <si>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</si>
  <si>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</si>
  <si>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</si>
  <si>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</si>
  <si>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</si>
  <si>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</si>
  <si>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</si>
  <si>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</si>
  <si>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</si>
  <si>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</si>
  <si>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</si>
  <si>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</si>
  <si>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</si>
  <si>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</si>
  <si>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</si>
  <si>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</si>
  <si>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</si>
  <si>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</si>
  <si>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</si>
  <si>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</si>
  <si>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</si>
  <si>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</si>
  <si>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</si>
  <si>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</si>
  <si>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</si>
  <si>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</si>
  <si>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</si>
  <si>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</si>
  <si>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</si>
  <si>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</si>
  <si>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</si>
  <si>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</si>
  <si>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</si>
  <si>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</si>
  <si>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</si>
  <si>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</si>
  <si>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</si>
  <si>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</si>
  <si>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</si>
  <si>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</si>
  <si>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</si>
  <si>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</si>
  <si>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</si>
  <si>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</si>
  <si>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</si>
  <si>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</si>
  <si>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</si>
  <si>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</si>
  <si>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</si>
  <si>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</si>
  <si>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</si>
  <si>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</si>
  <si>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</si>
  <si>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</si>
  <si>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</si>
  <si>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</si>
  <si>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</si>
  <si>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</si>
  <si>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</si>
  <si>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</si>
  <si>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</si>
  <si>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</si>
  <si>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</si>
  <si>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</si>
  <si>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</si>
  <si>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</si>
  <si>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</si>
  <si>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</si>
  <si>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</si>
  <si>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</si>
  <si>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</si>
  <si>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</si>
  <si>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</si>
  <si>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</si>
  <si>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</si>
  <si>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</si>
  <si>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</si>
  <si>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</si>
  <si>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</si>
  <si>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</si>
  <si>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</si>
  <si>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</si>
  <si>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</si>
  <si>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</si>
  <si>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</si>
  <si>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</si>
  <si>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</si>
  <si>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</si>
  <si>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</si>
  <si>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</si>
  <si>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</si>
  <si>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</si>
  <si>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</si>
  <si>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</si>
  <si>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</si>
  <si>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</si>
  <si>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</si>
  <si>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</si>
  <si>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</si>
  <si>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</si>
  <si>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</si>
  <si>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</si>
  <si>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</si>
  <si>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P2P subsidies for residents without solar panels</t>
  </si>
  <si>
    <t>Variance</t>
  </si>
  <si>
    <t>Variance %</t>
  </si>
  <si>
    <t>TAX INVOICE</t>
  </si>
  <si>
    <t>DATE:</t>
  </si>
  <si>
    <t>10437 Bussell Highway</t>
  </si>
  <si>
    <t>Invoice #</t>
  </si>
  <si>
    <t xml:space="preserve">Witchcliffe WA 6286 </t>
  </si>
  <si>
    <t>Lot Number</t>
  </si>
  <si>
    <t>Lot Meter Number #</t>
  </si>
  <si>
    <t>Addressee:-</t>
  </si>
  <si>
    <t xml:space="preserve">Unit Entitlement </t>
  </si>
  <si>
    <t xml:space="preserve">Unit Entitlement % </t>
  </si>
  <si>
    <t>Billing period</t>
  </si>
  <si>
    <t>Witchcliffe WA 6286</t>
  </si>
  <si>
    <t>Billing period days</t>
  </si>
  <si>
    <t>Items</t>
  </si>
  <si>
    <t>Charge Rate ($ Inc. GST)</t>
  </si>
  <si>
    <t>Usage</t>
  </si>
  <si>
    <t xml:space="preserve"> </t>
  </si>
  <si>
    <t>Amount due ($ Inc. GST)</t>
  </si>
  <si>
    <t>Supply charge</t>
  </si>
  <si>
    <t>Unit</t>
  </si>
  <si>
    <t>Amanda Energy Other Fees</t>
  </si>
  <si>
    <t>Days</t>
  </si>
  <si>
    <t>Chargefox EV Charger Network Fixed Fees Equitable Split % of Unit Entitlement</t>
  </si>
  <si>
    <t>SwitchdIn Supply Charge</t>
  </si>
  <si>
    <t xml:space="preserve">Total Daily Supply Charge </t>
  </si>
  <si>
    <t>Common Services Charges</t>
  </si>
  <si>
    <t>Common Services Fees Equitable Split % of Unit Entitlement kWh</t>
  </si>
  <si>
    <t>kWh</t>
  </si>
  <si>
    <t>Common Services Reimbursement based on P2P export % kWh</t>
  </si>
  <si>
    <t>Import Battery Loss Allocation based on P2P import % kWh</t>
  </si>
  <si>
    <t>Export of Solar PV Battery Loss Reimbursement based on P2P export % kWh</t>
  </si>
  <si>
    <t>Community EV Charger Variable Income Equitable Split % of Unit Entitlement kWh</t>
  </si>
  <si>
    <t>Community EV Charger Variable Cost of Electricity Supply Equitable Split % of Unit Entitlement kWh</t>
  </si>
  <si>
    <t>Community EV Charger Reimbursement based on P2P export % kWh</t>
  </si>
  <si>
    <t>Community EV Charger Chargefox Commission Cost Equitable Split % of Unit Entitlement kWh</t>
  </si>
  <si>
    <t xml:space="preserve">Total Common Services Charges </t>
  </si>
  <si>
    <t>Imported energy</t>
  </si>
  <si>
    <t>Import Peer to Peer kWh</t>
  </si>
  <si>
    <t>P2P Import Consumption over Battery Allowance kWh</t>
  </si>
  <si>
    <t>Import From Grid kWh</t>
  </si>
  <si>
    <t>Total Imported Energy</t>
  </si>
  <si>
    <t>Exported energy</t>
  </si>
  <si>
    <t>Export Peer to Peer kWh</t>
  </si>
  <si>
    <t>P2P Borrowed Allowance Passive Compensation kWh</t>
  </si>
  <si>
    <t>Exported to Grid kWh</t>
  </si>
  <si>
    <t>Total Exported Energy</t>
  </si>
  <si>
    <t>Combined Energy Charge</t>
  </si>
  <si>
    <t>Account in credit / debit: Strata to enter where applicable</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</si>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</sst>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28">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 numFmtId="201" formatCode="[$-809]dd\ mmmm\ yyyy;@"/>
  </numFmts>
  <fonts count="84">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i/>
      <sz val="14"/>
      <color theme="1"/>
      <name val="Arial"/>
      <charset val="134"/>
      <scheme val="minor"/>
    </font>
    <font>
      <sz val="14"/>
      <name val="Arial"/>
      <charset val="134"/>
    </font>
    <font>
      <sz val="12"/>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2"/>
      <name val="Helvetica"/>
      <charset val="134"/>
    </font>
    <font>
      <sz val="11"/>
      <color theme="1"/>
      <name val="Calibri"/>
      <charset val="134"/>
    </font>
    <font>
      <sz val="16"/>
      <color rgb="FF222421"/>
      <name val="Switchdin"/>
      <charset val="134"/>
    </font>
    <font>
      <b/>
      <sz val="14"/>
      <color rgb="FF222421"/>
      <name val="Arial"/>
      <charset val="134"/>
      <scheme val="minor"/>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name val="Arial"/>
      <charset val="134"/>
      <scheme val="minor"/>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5"/>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52">
    <fill>
      <patternFill patternType="none"/>
    </fill>
    <fill>
      <patternFill patternType="gray125"/>
    </fill>
    <fill>
      <patternFill patternType="solid">
        <fgColor theme="0" tint="-0.0499893185216834"/>
        <bgColor indexed="64"/>
      </patternFill>
    </fill>
    <fill>
      <patternFill patternType="solid">
        <fgColor theme="9" tint="0.799951170384838"/>
        <bgColor indexed="64"/>
      </patternFill>
    </fill>
    <fill>
      <patternFill patternType="solid">
        <fgColor rgb="FFFFFF00"/>
        <bgColor indexed="64"/>
      </patternFill>
    </fill>
    <fill>
      <patternFill patternType="solid">
        <fgColor theme="0" tint="-0.249977111117893"/>
        <bgColor indexed="64"/>
      </patternFill>
    </fill>
    <fill>
      <patternFill patternType="solid">
        <fgColor theme="3" tint="0.799951170384838"/>
        <bgColor indexed="64"/>
      </patternFill>
    </fill>
    <fill>
      <patternFill patternType="solid">
        <fgColor theme="9" tint="0.399945066682943"/>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6795556505"/>
        <bgColor indexed="64"/>
      </patternFill>
    </fill>
    <fill>
      <patternFill patternType="solid">
        <fgColor theme="7" tint="0.799951170384838"/>
        <bgColor indexed="64"/>
      </patternFill>
    </fill>
    <fill>
      <patternFill patternType="solid">
        <fgColor theme="5" tint="0.799951170384838"/>
        <bgColor indexed="64"/>
      </patternFill>
    </fill>
    <fill>
      <patternFill patternType="solid">
        <fgColor theme="7" tint="0.599993896298105"/>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951170384838"/>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60325937681"/>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1">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thin">
        <color auto="1"/>
      </left>
      <right/>
      <top style="dashed">
        <color auto="1"/>
      </top>
      <bottom/>
      <diagonal/>
    </border>
    <border>
      <left style="dashed">
        <color auto="1"/>
      </left>
      <right/>
      <top/>
      <bottom style="dashed">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wrapText="1"/>
    </xf>
    <xf numFmtId="176" fontId="0" fillId="0" borderId="0" applyFont="0" applyFill="0" applyBorder="0" applyAlignment="0" applyProtection="0"/>
    <xf numFmtId="177" fontId="63" fillId="0" borderId="0" applyFont="0" applyFill="0" applyBorder="0" applyProtection="0">
      <alignment horizontal="right" vertical="center"/>
    </xf>
    <xf numFmtId="9" fontId="0" fillId="0" borderId="0" applyFont="0" applyFill="0" applyBorder="0" applyAlignment="0" applyProtection="0"/>
    <xf numFmtId="41" fontId="57" fillId="0" borderId="0" applyFont="0" applyFill="0" applyBorder="0" applyAlignment="0" applyProtection="0">
      <alignment vertical="center"/>
    </xf>
    <xf numFmtId="42" fontId="57" fillId="0" borderId="0" applyFont="0" applyFill="0" applyBorder="0" applyAlignment="0" applyProtection="0">
      <alignment vertical="center"/>
    </xf>
    <xf numFmtId="0" fontId="64" fillId="0" borderId="0" applyNumberFormat="0" applyFill="0" applyBorder="0" applyAlignment="0" applyProtection="0">
      <alignment wrapText="1"/>
    </xf>
    <xf numFmtId="0" fontId="65" fillId="0" borderId="0" applyNumberFormat="0" applyFill="0" applyBorder="0" applyAlignment="0" applyProtection="0">
      <alignment vertical="center"/>
    </xf>
    <xf numFmtId="0" fontId="57" fillId="26" borderId="84" applyNumberFormat="0" applyFont="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Protection="0">
      <alignment horizontal="right"/>
    </xf>
    <xf numFmtId="0" fontId="5" fillId="0" borderId="0" applyNumberFormat="0" applyFill="0" applyBorder="0" applyProtection="0">
      <alignment horizontal="center"/>
    </xf>
    <xf numFmtId="0" fontId="68" fillId="0" borderId="85" applyNumberFormat="0" applyFill="0" applyAlignment="0" applyProtection="0">
      <alignment vertical="center"/>
    </xf>
    <xf numFmtId="0" fontId="4" fillId="0" borderId="0" applyNumberFormat="0" applyFill="0" applyProtection="0">
      <alignment vertical="top" wrapText="1"/>
    </xf>
    <xf numFmtId="0" fontId="5" fillId="0" borderId="0" applyNumberFormat="0" applyFill="0" applyAlignment="0" applyProtection="0"/>
    <xf numFmtId="0" fontId="69" fillId="0" borderId="0" applyNumberFormat="0" applyFill="0" applyBorder="0" applyAlignment="0" applyProtection="0">
      <alignment vertical="center"/>
    </xf>
    <xf numFmtId="0" fontId="70" fillId="27" borderId="86" applyNumberFormat="0" applyAlignment="0" applyProtection="0">
      <alignment vertical="center"/>
    </xf>
    <xf numFmtId="0" fontId="71" fillId="23" borderId="87" applyNumberFormat="0" applyAlignment="0" applyProtection="0">
      <alignment vertical="center"/>
    </xf>
    <xf numFmtId="0" fontId="72" fillId="23" borderId="86" applyNumberFormat="0" applyAlignment="0" applyProtection="0">
      <alignment vertical="center"/>
    </xf>
    <xf numFmtId="0" fontId="73" fillId="28" borderId="88" applyNumberFormat="0" applyAlignment="0" applyProtection="0">
      <alignment vertical="center"/>
    </xf>
    <xf numFmtId="0" fontId="74" fillId="0" borderId="89" applyNumberFormat="0" applyFill="0" applyAlignment="0" applyProtection="0">
      <alignment vertical="center"/>
    </xf>
    <xf numFmtId="0" fontId="75" fillId="0" borderId="90" applyNumberFormat="0" applyFill="0" applyAlignment="0" applyProtection="0">
      <alignment vertical="center"/>
    </xf>
    <xf numFmtId="0" fontId="76" fillId="29" borderId="0" applyNumberFormat="0" applyBorder="0" applyAlignment="0" applyProtection="0">
      <alignment vertical="center"/>
    </xf>
    <xf numFmtId="0" fontId="77" fillId="30" borderId="0" applyNumberFormat="0" applyBorder="0" applyAlignment="0" applyProtection="0">
      <alignment vertical="center"/>
    </xf>
    <xf numFmtId="0" fontId="78" fillId="31" borderId="0" applyNumberFormat="0" applyBorder="0" applyAlignment="0" applyProtection="0">
      <alignment vertical="center"/>
    </xf>
    <xf numFmtId="0" fontId="79" fillId="17" borderId="0" applyNumberFormat="0" applyBorder="0" applyAlignment="0" applyProtection="0">
      <alignment vertical="center"/>
    </xf>
    <xf numFmtId="0" fontId="80" fillId="32" borderId="0" applyNumberFormat="0" applyBorder="0" applyAlignment="0" applyProtection="0">
      <alignment vertical="center"/>
    </xf>
    <xf numFmtId="0" fontId="80"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80" fillId="36" borderId="0" applyNumberFormat="0" applyBorder="0" applyAlignment="0" applyProtection="0">
      <alignment vertical="center"/>
    </xf>
    <xf numFmtId="0" fontId="80" fillId="37" borderId="0" applyNumberFormat="0" applyBorder="0" applyAlignment="0" applyProtection="0">
      <alignment vertical="center"/>
    </xf>
    <xf numFmtId="0" fontId="79" fillId="38" borderId="0" applyNumberFormat="0" applyBorder="0" applyAlignment="0" applyProtection="0">
      <alignment vertical="center"/>
    </xf>
    <xf numFmtId="0" fontId="79" fillId="39" borderId="0" applyNumberFormat="0" applyBorder="0" applyAlignment="0" applyProtection="0">
      <alignment vertical="center"/>
    </xf>
    <xf numFmtId="0" fontId="80" fillId="40" borderId="0" applyNumberFormat="0" applyBorder="0" applyAlignment="0" applyProtection="0">
      <alignment vertical="center"/>
    </xf>
    <xf numFmtId="0" fontId="80" fillId="15" borderId="0" applyNumberFormat="0" applyBorder="0" applyAlignment="0" applyProtection="0">
      <alignment vertical="center"/>
    </xf>
    <xf numFmtId="0" fontId="79" fillId="41" borderId="0" applyNumberFormat="0" applyBorder="0" applyAlignment="0" applyProtection="0">
      <alignment vertical="center"/>
    </xf>
    <xf numFmtId="0" fontId="79" fillId="42" borderId="0" applyNumberFormat="0" applyBorder="0" applyAlignment="0" applyProtection="0">
      <alignment vertical="center"/>
    </xf>
    <xf numFmtId="0" fontId="80" fillId="43" borderId="0" applyNumberFormat="0" applyBorder="0" applyAlignment="0" applyProtection="0">
      <alignment vertical="center"/>
    </xf>
    <xf numFmtId="0" fontId="80" fillId="13" borderId="0" applyNumberFormat="0" applyBorder="0" applyAlignment="0" applyProtection="0">
      <alignment vertical="center"/>
    </xf>
    <xf numFmtId="0" fontId="79" fillId="44" borderId="0" applyNumberFormat="0" applyBorder="0" applyAlignment="0" applyProtection="0">
      <alignment vertical="center"/>
    </xf>
    <xf numFmtId="0" fontId="79" fillId="45" borderId="0" applyNumberFormat="0" applyBorder="0" applyAlignment="0" applyProtection="0">
      <alignment vertical="center"/>
    </xf>
    <xf numFmtId="0" fontId="80" fillId="46" borderId="0" applyNumberFormat="0" applyBorder="0" applyAlignment="0" applyProtection="0">
      <alignment vertical="center"/>
    </xf>
    <xf numFmtId="0" fontId="80" fillId="47" borderId="0" applyNumberFormat="0" applyBorder="0" applyAlignment="0" applyProtection="0">
      <alignment vertical="center"/>
    </xf>
    <xf numFmtId="0" fontId="79" fillId="48" borderId="0" applyNumberFormat="0" applyBorder="0" applyAlignment="0" applyProtection="0">
      <alignment vertical="center"/>
    </xf>
    <xf numFmtId="0" fontId="79" fillId="16" borderId="0" applyNumberFormat="0" applyBorder="0" applyAlignment="0" applyProtection="0">
      <alignment vertical="center"/>
    </xf>
    <xf numFmtId="0" fontId="80" fillId="49" borderId="0" applyNumberFormat="0" applyBorder="0" applyAlignment="0" applyProtection="0">
      <alignment vertical="center"/>
    </xf>
    <xf numFmtId="0" fontId="80" fillId="50" borderId="0" applyNumberFormat="0" applyBorder="0" applyAlignment="0" applyProtection="0">
      <alignment vertical="center"/>
    </xf>
    <xf numFmtId="0" fontId="79" fillId="51" borderId="0" applyNumberFormat="0" applyBorder="0" applyAlignment="0" applyProtection="0">
      <alignment vertical="center"/>
    </xf>
    <xf numFmtId="176" fontId="23" fillId="0" borderId="0" applyFont="0" applyFill="0" applyBorder="0" applyAlignment="0" applyProtection="0"/>
    <xf numFmtId="177" fontId="23" fillId="0" borderId="0" applyFont="0" applyFill="0" applyBorder="0" applyAlignment="0" applyProtection="0"/>
    <xf numFmtId="178" fontId="57" fillId="0" borderId="0" applyFont="0" applyFill="0" applyBorder="0" applyAlignment="0" applyProtection="0"/>
    <xf numFmtId="179" fontId="63" fillId="0" borderId="0" applyFont="0" applyFill="0" applyBorder="0">
      <alignment horizontal="right"/>
    </xf>
    <xf numFmtId="0" fontId="63" fillId="0" borderId="0" applyFont="0" applyFill="0" applyBorder="0">
      <alignment vertical="center" wrapText="1"/>
    </xf>
    <xf numFmtId="0" fontId="32" fillId="0" borderId="0" applyNumberFormat="0" applyFill="0" applyBorder="0" applyAlignment="0" applyProtection="0"/>
    <xf numFmtId="0" fontId="23" fillId="0" borderId="0"/>
    <xf numFmtId="0" fontId="23" fillId="0" borderId="0"/>
    <xf numFmtId="0" fontId="23" fillId="0" borderId="0"/>
    <xf numFmtId="0" fontId="81" fillId="0" borderId="0"/>
    <xf numFmtId="0" fontId="23" fillId="0" borderId="0"/>
    <xf numFmtId="0" fontId="57" fillId="0" borderId="0"/>
    <xf numFmtId="9" fontId="23" fillId="0" borderId="0" applyFont="0" applyFill="0" applyBorder="0" applyAlignment="0" applyProtection="0"/>
    <xf numFmtId="180" fontId="63" fillId="0" borderId="0" applyFont="0" applyFill="0" applyBorder="0">
      <alignment horizontal="left" vertical="top"/>
    </xf>
    <xf numFmtId="0" fontId="63" fillId="0" borderId="0" applyNumberFormat="0" applyFont="0" applyFill="0" applyBorder="0">
      <alignment horizontal="right" wrapText="1"/>
    </xf>
    <xf numFmtId="0" fontId="63" fillId="0" borderId="0" applyFont="0" applyFill="0" applyBorder="0">
      <alignment horizontal="right" vertical="top" wrapText="1"/>
    </xf>
  </cellStyleXfs>
  <cellXfs count="606">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0" fontId="10" fillId="0" borderId="0" xfId="0" applyFont="1">
      <alignment wrapText="1"/>
    </xf>
    <xf numFmtId="0" fontId="0" fillId="0" borderId="0" xfId="0" applyAlignment="1">
      <alignment horizontal="center" vertical="center" wrapText="1"/>
    </xf>
    <xf numFmtId="0" fontId="11" fillId="0" borderId="0" xfId="0" applyFont="1">
      <alignment wrapText="1"/>
    </xf>
    <xf numFmtId="0" fontId="12" fillId="0" borderId="0" xfId="55" applyFont="1" applyAlignment="1">
      <alignment horizontal="left"/>
    </xf>
    <xf numFmtId="0" fontId="12" fillId="0" borderId="0" xfId="55" applyFont="1"/>
    <xf numFmtId="182" fontId="12" fillId="0" borderId="0" xfId="55" applyNumberFormat="1" applyFont="1" applyAlignment="1">
      <alignment wrapText="1"/>
    </xf>
    <xf numFmtId="182" fontId="12" fillId="0" borderId="0" xfId="55" applyNumberFormat="1" applyFont="1" applyAlignment="1">
      <alignment horizontal="center" wrapText="1"/>
    </xf>
    <xf numFmtId="182" fontId="12" fillId="0" borderId="0" xfId="55" applyNumberFormat="1" applyFont="1" applyAlignment="1">
      <alignment horizontal="left" wrapText="1" indent="1"/>
    </xf>
    <xf numFmtId="0" fontId="12" fillId="0" borderId="0" xfId="55" applyFont="1" applyAlignment="1">
      <alignment horizontal="left" indent="1"/>
    </xf>
    <xf numFmtId="177" fontId="12" fillId="0" borderId="0" xfId="55" applyNumberFormat="1" applyFont="1"/>
    <xf numFmtId="0" fontId="13" fillId="0" borderId="0" xfId="55" applyFont="1" applyAlignment="1">
      <alignment horizontal="left"/>
    </xf>
    <xf numFmtId="0" fontId="14" fillId="4" borderId="0" xfId="55" applyFont="1" applyFill="1"/>
    <xf numFmtId="0" fontId="15" fillId="0" borderId="0" xfId="55" applyFont="1"/>
    <xf numFmtId="58" fontId="16" fillId="5" borderId="0" xfId="0" applyNumberFormat="1" applyFont="1" applyFill="1">
      <alignment wrapText="1"/>
    </xf>
    <xf numFmtId="182" fontId="13" fillId="5" borderId="0" xfId="55" applyNumberFormat="1" applyFont="1" applyFill="1" applyAlignment="1">
      <alignment wrapText="1"/>
    </xf>
    <xf numFmtId="0" fontId="17" fillId="0" borderId="0" xfId="55" applyFont="1"/>
    <xf numFmtId="0" fontId="17" fillId="0" borderId="0" xfId="55" applyFont="1" applyAlignment="1">
      <alignment horizontal="center" vertical="center" wrapText="1"/>
    </xf>
    <xf numFmtId="4" fontId="17" fillId="6" borderId="8" xfId="55" applyNumberFormat="1" applyFont="1" applyFill="1" applyBorder="1" applyAlignment="1">
      <alignment horizontal="center" vertical="center" wrapText="1"/>
    </xf>
    <xf numFmtId="0" fontId="17" fillId="0" borderId="6" xfId="55" applyFont="1" applyBorder="1" applyAlignment="1">
      <alignment horizontal="center" vertical="center"/>
    </xf>
    <xf numFmtId="0" fontId="17" fillId="0" borderId="4" xfId="55" applyFont="1" applyBorder="1" applyAlignment="1">
      <alignment horizontal="center" vertical="center"/>
    </xf>
    <xf numFmtId="0" fontId="17" fillId="0" borderId="6" xfId="55" applyFont="1" applyBorder="1" applyAlignment="1">
      <alignment horizontal="center" vertical="center" wrapText="1"/>
    </xf>
    <xf numFmtId="0" fontId="17" fillId="0" borderId="4" xfId="55" applyFont="1" applyBorder="1" applyAlignment="1">
      <alignment horizontal="center" vertical="center" wrapText="1"/>
    </xf>
    <xf numFmtId="0" fontId="11" fillId="6" borderId="9" xfId="53" applyFont="1" applyFill="1" applyBorder="1" applyAlignment="1">
      <alignment horizontal="center" vertical="center" wrapText="1"/>
    </xf>
    <xf numFmtId="0" fontId="11" fillId="6" borderId="10" xfId="53" applyFont="1" applyFill="1" applyBorder="1" applyAlignment="1">
      <alignment horizontal="center" vertical="center" wrapText="1"/>
    </xf>
    <xf numFmtId="0" fontId="12" fillId="0" borderId="6" xfId="55" applyFont="1" applyBorder="1" applyAlignment="1">
      <alignment horizontal="center"/>
    </xf>
    <xf numFmtId="0" fontId="12" fillId="0" borderId="11" xfId="55" applyFont="1" applyBorder="1"/>
    <xf numFmtId="0" fontId="12" fillId="0" borderId="6" xfId="55" applyFont="1" applyBorder="1"/>
    <xf numFmtId="10" fontId="12" fillId="0" borderId="6" xfId="3" applyNumberFormat="1" applyFont="1" applyBorder="1"/>
    <xf numFmtId="0" fontId="12" fillId="0" borderId="4" xfId="55" applyFont="1" applyBorder="1" applyAlignment="1">
      <alignment horizontal="center" vertical="center"/>
    </xf>
    <xf numFmtId="186" fontId="12" fillId="6" borderId="12" xfId="50" applyNumberFormat="1" applyFont="1" applyFill="1" applyBorder="1" applyAlignment="1">
      <alignment horizontal="center" vertical="center" wrapText="1"/>
    </xf>
    <xf numFmtId="186" fontId="12" fillId="6" borderId="6" xfId="50" applyNumberFormat="1" applyFont="1" applyFill="1" applyBorder="1" applyAlignment="1">
      <alignment horizontal="center" vertical="center" wrapText="1"/>
    </xf>
    <xf numFmtId="0" fontId="18" fillId="0" borderId="6" xfId="55" applyFont="1" applyBorder="1" applyAlignment="1">
      <alignment horizontal="center"/>
    </xf>
    <xf numFmtId="0" fontId="18" fillId="0" borderId="0" xfId="55" applyFont="1" applyAlignment="1">
      <alignment horizontal="center"/>
    </xf>
    <xf numFmtId="0" fontId="12" fillId="0" borderId="13" xfId="55" applyFont="1" applyBorder="1"/>
    <xf numFmtId="0" fontId="12" fillId="0" borderId="4" xfId="55" applyFont="1" applyBorder="1"/>
    <xf numFmtId="186" fontId="17" fillId="6" borderId="12" xfId="50" applyNumberFormat="1" applyFont="1" applyFill="1" applyBorder="1" applyAlignment="1">
      <alignment horizontal="center" vertical="center" wrapText="1"/>
    </xf>
    <xf numFmtId="186" fontId="17" fillId="6" borderId="14" xfId="50" applyNumberFormat="1" applyFont="1" applyFill="1" applyBorder="1" applyAlignment="1">
      <alignment horizontal="center" vertical="center" wrapText="1"/>
    </xf>
    <xf numFmtId="0" fontId="12" fillId="0" borderId="15" xfId="55" applyFont="1" applyBorder="1"/>
    <xf numFmtId="0" fontId="17" fillId="0" borderId="0" xfId="55" applyFont="1" applyAlignment="1">
      <alignment horizontal="center"/>
    </xf>
    <xf numFmtId="4" fontId="12" fillId="6" borderId="12" xfId="55" applyNumberFormat="1" applyFont="1" applyFill="1" applyBorder="1" applyAlignment="1">
      <alignment horizontal="center" wrapText="1"/>
    </xf>
    <xf numFmtId="4" fontId="12" fillId="6" borderId="14" xfId="55" applyNumberFormat="1" applyFont="1" applyFill="1" applyBorder="1" applyAlignment="1">
      <alignment horizontal="center" wrapText="1"/>
    </xf>
    <xf numFmtId="0" fontId="17" fillId="0" borderId="0" xfId="55" applyFont="1" applyAlignment="1">
      <alignment horizontal="left"/>
    </xf>
    <xf numFmtId="4" fontId="17" fillId="7" borderId="0" xfId="55" applyNumberFormat="1" applyFont="1" applyFill="1" applyAlignment="1">
      <alignment horizontal="center" wrapText="1"/>
    </xf>
    <xf numFmtId="186" fontId="17" fillId="7" borderId="16" xfId="55" applyNumberFormat="1" applyFont="1" applyFill="1" applyBorder="1" applyAlignment="1">
      <alignment horizontal="center" wrapText="1"/>
    </xf>
    <xf numFmtId="0" fontId="19" fillId="2" borderId="9" xfId="0" applyFont="1" applyFill="1" applyBorder="1" applyAlignment="1">
      <alignment horizontal="center" vertical="center" wrapText="1"/>
    </xf>
    <xf numFmtId="0" fontId="19" fillId="2" borderId="10" xfId="0" applyFont="1" applyFill="1" applyBorder="1" applyAlignment="1">
      <alignment horizontal="center" vertical="center" wrapText="1"/>
    </xf>
    <xf numFmtId="177" fontId="19" fillId="2" borderId="10" xfId="0" applyNumberFormat="1" applyFont="1" applyFill="1" applyBorder="1" applyAlignment="1">
      <alignment horizontal="center" vertical="center" wrapText="1"/>
    </xf>
    <xf numFmtId="0" fontId="19" fillId="0" borderId="12" xfId="0" applyFont="1" applyBorder="1" applyAlignment="1">
      <alignment horizontal="center" wrapText="1"/>
    </xf>
    <xf numFmtId="0" fontId="20" fillId="0" borderId="6" xfId="0" applyFont="1" applyBorder="1" applyAlignment="1">
      <alignment horizontal="center" wrapText="1"/>
    </xf>
    <xf numFmtId="0" fontId="20" fillId="0" borderId="6" xfId="0" applyFont="1" applyBorder="1">
      <alignment wrapText="1"/>
    </xf>
    <xf numFmtId="177" fontId="20" fillId="0" borderId="6" xfId="0" applyNumberFormat="1" applyFont="1" applyBorder="1">
      <alignment wrapText="1"/>
    </xf>
    <xf numFmtId="0" fontId="19" fillId="8" borderId="17" xfId="0" applyFont="1" applyFill="1" applyBorder="1" applyAlignment="1">
      <alignment horizontal="center" wrapText="1"/>
    </xf>
    <xf numFmtId="0" fontId="20" fillId="8" borderId="18" xfId="0" applyFont="1" applyFill="1" applyBorder="1" applyAlignment="1">
      <alignment horizontal="center" wrapText="1"/>
    </xf>
    <xf numFmtId="177" fontId="20" fillId="8" borderId="18" xfId="0" applyNumberFormat="1" applyFont="1" applyFill="1" applyBorder="1" applyAlignment="1">
      <alignment horizontal="center" wrapText="1"/>
    </xf>
    <xf numFmtId="187" fontId="0" fillId="0" borderId="0" xfId="0" applyNumberFormat="1">
      <alignment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19" fillId="2" borderId="21" xfId="0" applyFont="1" applyFill="1" applyBorder="1" applyAlignment="1">
      <alignment horizontal="center" vertical="center" wrapText="1"/>
    </xf>
    <xf numFmtId="177" fontId="19" fillId="0" borderId="0" xfId="0" applyNumberFormat="1" applyFont="1">
      <alignment wrapText="1"/>
    </xf>
    <xf numFmtId="0" fontId="19" fillId="0" borderId="0" xfId="0" applyFont="1">
      <alignment wrapText="1"/>
    </xf>
    <xf numFmtId="188" fontId="19" fillId="0" borderId="22" xfId="0" applyNumberFormat="1" applyFont="1" applyBorder="1" applyAlignment="1">
      <alignment horizontal="center" wrapText="1"/>
    </xf>
    <xf numFmtId="0" fontId="20" fillId="0" borderId="23" xfId="0" applyFont="1" applyBorder="1" applyAlignment="1">
      <alignment horizontal="center" wrapText="1"/>
    </xf>
    <xf numFmtId="177" fontId="20" fillId="0" borderId="23" xfId="0" applyNumberFormat="1" applyFont="1" applyBorder="1" applyAlignment="1">
      <alignment horizontal="center" wrapText="1"/>
    </xf>
    <xf numFmtId="177" fontId="20" fillId="0" borderId="24" xfId="0" applyNumberFormat="1" applyFont="1" applyBorder="1">
      <alignment wrapText="1"/>
    </xf>
    <xf numFmtId="188" fontId="19" fillId="0" borderId="0" xfId="0" applyNumberFormat="1" applyFont="1">
      <alignment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188" fontId="19" fillId="0" borderId="25" xfId="0" applyNumberFormat="1" applyFont="1" applyBorder="1" applyAlignment="1">
      <alignment horizontal="center" wrapText="1"/>
    </xf>
    <xf numFmtId="0" fontId="20" fillId="0" borderId="26" xfId="0" applyFont="1" applyBorder="1" applyAlignment="1">
      <alignment horizontal="center" wrapText="1"/>
    </xf>
    <xf numFmtId="177" fontId="20" fillId="0" borderId="26" xfId="0" applyNumberFormat="1" applyFont="1" applyBorder="1" applyAlignment="1">
      <alignment horizontal="center" wrapText="1"/>
    </xf>
    <xf numFmtId="0" fontId="19" fillId="8" borderId="27" xfId="0" applyFont="1" applyFill="1" applyBorder="1" applyAlignment="1">
      <alignment horizontal="center" wrapText="1"/>
    </xf>
    <xf numFmtId="0" fontId="20" fillId="8" borderId="28" xfId="0" applyFont="1" applyFill="1" applyBorder="1" applyAlignment="1">
      <alignment horizontal="center" wrapText="1"/>
    </xf>
    <xf numFmtId="177" fontId="20" fillId="8" borderId="28" xfId="0" applyNumberFormat="1" applyFont="1" applyFill="1" applyBorder="1" applyAlignment="1">
      <alignment horizontal="center" wrapText="1"/>
    </xf>
    <xf numFmtId="177" fontId="20" fillId="8" borderId="29" xfId="0" applyNumberFormat="1" applyFont="1" applyFill="1" applyBorder="1">
      <alignment wrapText="1"/>
    </xf>
    <xf numFmtId="9" fontId="0" fillId="0" borderId="0" xfId="3" applyFont="1" applyAlignment="1">
      <alignment wrapText="1"/>
    </xf>
    <xf numFmtId="0" fontId="19" fillId="9" borderId="30" xfId="0" applyFont="1" applyFill="1" applyBorder="1" applyAlignment="1">
      <alignment horizontal="center" wrapText="1"/>
    </xf>
    <xf numFmtId="0" fontId="19" fillId="9" borderId="31" xfId="0" applyFont="1" applyFill="1" applyBorder="1" applyAlignment="1">
      <alignment horizontal="center" wrapText="1"/>
    </xf>
    <xf numFmtId="0" fontId="0" fillId="0" borderId="9" xfId="0" applyBorder="1">
      <alignment wrapText="1"/>
    </xf>
    <xf numFmtId="177" fontId="0" fillId="0" borderId="32" xfId="0" applyNumberFormat="1" applyBorder="1">
      <alignment wrapText="1"/>
    </xf>
    <xf numFmtId="0" fontId="0" fillId="0" borderId="12" xfId="0" applyBorder="1">
      <alignment wrapText="1"/>
    </xf>
    <xf numFmtId="0" fontId="0" fillId="10" borderId="8" xfId="0" applyFill="1" applyBorder="1">
      <alignment wrapText="1"/>
    </xf>
    <xf numFmtId="177" fontId="0" fillId="10" borderId="33" xfId="0" applyNumberFormat="1" applyFill="1" applyBorder="1">
      <alignment wrapText="1"/>
    </xf>
    <xf numFmtId="177" fontId="0" fillId="0" borderId="34" xfId="0" applyNumberFormat="1" applyBorder="1">
      <alignment wrapText="1"/>
    </xf>
    <xf numFmtId="0" fontId="0" fillId="0" borderId="35" xfId="0" applyBorder="1">
      <alignment wrapText="1"/>
    </xf>
    <xf numFmtId="177" fontId="0" fillId="0" borderId="36" xfId="0" applyNumberFormat="1" applyBorder="1">
      <alignment wrapText="1"/>
    </xf>
    <xf numFmtId="0" fontId="0" fillId="0" borderId="0" xfId="0" applyAlignment="1"/>
    <xf numFmtId="0" fontId="13" fillId="0" borderId="0" xfId="55" applyFont="1"/>
    <xf numFmtId="182" fontId="13" fillId="0" borderId="0" xfId="55" applyNumberFormat="1" applyFont="1" applyAlignment="1">
      <alignment horizontal="center" wrapText="1"/>
    </xf>
    <xf numFmtId="0" fontId="14" fillId="0" borderId="0" xfId="55" applyFont="1"/>
    <xf numFmtId="4" fontId="17" fillId="6" borderId="37" xfId="55" applyNumberFormat="1" applyFont="1" applyFill="1" applyBorder="1" applyAlignment="1">
      <alignment horizontal="center" vertical="center" wrapText="1"/>
    </xf>
    <xf numFmtId="4" fontId="17" fillId="6" borderId="33" xfId="55" applyNumberFormat="1" applyFont="1" applyFill="1" applyBorder="1" applyAlignment="1">
      <alignment horizontal="center" vertical="center" wrapText="1"/>
    </xf>
    <xf numFmtId="49" fontId="17" fillId="11" borderId="30" xfId="55" applyNumberFormat="1" applyFont="1" applyFill="1" applyBorder="1" applyAlignment="1">
      <alignment horizontal="center" vertical="center" wrapText="1"/>
    </xf>
    <xf numFmtId="49" fontId="17" fillId="11" borderId="38" xfId="55" applyNumberFormat="1" applyFont="1" applyFill="1" applyBorder="1" applyAlignment="1">
      <alignment horizontal="center" vertical="center" wrapText="1"/>
    </xf>
    <xf numFmtId="49" fontId="17" fillId="6" borderId="34" xfId="55" applyNumberFormat="1" applyFont="1" applyFill="1" applyBorder="1" applyAlignment="1">
      <alignment horizontal="center" vertical="center" wrapText="1"/>
    </xf>
    <xf numFmtId="4" fontId="17" fillId="12" borderId="39" xfId="55" applyNumberFormat="1" applyFont="1" applyFill="1" applyBorder="1" applyAlignment="1">
      <alignment horizontal="center" vertical="center" wrapText="1"/>
    </xf>
    <xf numFmtId="4" fontId="17" fillId="12" borderId="40" xfId="55" applyNumberFormat="1" applyFont="1" applyFill="1" applyBorder="1" applyAlignment="1">
      <alignment horizontal="center" vertical="center" wrapText="1"/>
    </xf>
    <xf numFmtId="178" fontId="12" fillId="6" borderId="6" xfId="55" applyNumberFormat="1" applyFont="1" applyFill="1" applyBorder="1" applyAlignment="1">
      <alignment horizontal="center" wrapText="1"/>
    </xf>
    <xf numFmtId="186" fontId="17" fillId="6" borderId="6" xfId="50" applyNumberFormat="1" applyFont="1" applyFill="1" applyBorder="1" applyAlignment="1">
      <alignment horizontal="center" vertical="center" wrapText="1"/>
    </xf>
    <xf numFmtId="186" fontId="17" fillId="6" borderId="32" xfId="2" applyNumberFormat="1" applyFont="1" applyFill="1" applyBorder="1">
      <alignment horizontal="right" vertical="center"/>
    </xf>
    <xf numFmtId="176" fontId="12" fillId="11" borderId="41" xfId="1" applyFont="1" applyFill="1" applyBorder="1" applyAlignment="1">
      <alignment horizontal="center" wrapText="1"/>
    </xf>
    <xf numFmtId="176" fontId="12" fillId="11" borderId="42" xfId="1" applyFont="1" applyFill="1" applyBorder="1" applyAlignment="1">
      <alignment horizontal="center" wrapText="1"/>
    </xf>
    <xf numFmtId="3" fontId="12" fillId="6" borderId="6" xfId="55" applyNumberFormat="1" applyFont="1" applyFill="1" applyBorder="1" applyAlignment="1">
      <alignment horizontal="center" wrapText="1"/>
    </xf>
    <xf numFmtId="176" fontId="12" fillId="11" borderId="12" xfId="1" applyFont="1" applyFill="1" applyBorder="1" applyAlignment="1">
      <alignment horizontal="center" wrapText="1"/>
    </xf>
    <xf numFmtId="176" fontId="12" fillId="11" borderId="32" xfId="1" applyFont="1" applyFill="1" applyBorder="1" applyAlignment="1">
      <alignment horizontal="center" wrapText="1"/>
    </xf>
    <xf numFmtId="4" fontId="12" fillId="6" borderId="6" xfId="55" applyNumberFormat="1" applyFont="1" applyFill="1" applyBorder="1" applyAlignment="1">
      <alignment horizontal="center" wrapText="1"/>
    </xf>
    <xf numFmtId="4" fontId="17" fillId="6" borderId="6" xfId="55" applyNumberFormat="1" applyFont="1" applyFill="1" applyBorder="1" applyAlignment="1">
      <alignment horizontal="center" wrapText="1"/>
    </xf>
    <xf numFmtId="4" fontId="17" fillId="6" borderId="32" xfId="55" applyNumberFormat="1" applyFont="1" applyFill="1" applyBorder="1" applyAlignment="1">
      <alignment horizontal="center" wrapText="1"/>
    </xf>
    <xf numFmtId="186" fontId="17" fillId="7" borderId="0" xfId="55" applyNumberFormat="1" applyFont="1" applyFill="1" applyAlignment="1">
      <alignment horizontal="center" wrapText="1"/>
    </xf>
    <xf numFmtId="177" fontId="19" fillId="2" borderId="34" xfId="0" applyNumberFormat="1" applyFont="1" applyFill="1" applyBorder="1" applyAlignment="1">
      <alignment horizontal="center" vertical="center" wrapText="1"/>
    </xf>
    <xf numFmtId="177" fontId="20" fillId="0" borderId="32" xfId="0" applyNumberFormat="1" applyFont="1" applyBorder="1">
      <alignment wrapText="1"/>
    </xf>
    <xf numFmtId="177" fontId="20" fillId="8" borderId="43" xfId="0" applyNumberFormat="1" applyFont="1" applyFill="1" applyBorder="1" applyAlignment="1">
      <alignment horizontal="center" wrapText="1"/>
    </xf>
    <xf numFmtId="189" fontId="12" fillId="0" borderId="0" xfId="55" applyNumberFormat="1" applyFont="1"/>
    <xf numFmtId="186" fontId="17" fillId="0" borderId="0" xfId="55" applyNumberFormat="1" applyFont="1"/>
    <xf numFmtId="2" fontId="18" fillId="0" borderId="0" xfId="55" applyNumberFormat="1" applyFont="1" applyAlignment="1">
      <alignment horizontal="right"/>
    </xf>
    <xf numFmtId="49" fontId="17" fillId="13" borderId="28" xfId="55" applyNumberFormat="1" applyFont="1" applyFill="1" applyBorder="1" applyAlignment="1">
      <alignment horizontal="center" vertical="center" wrapText="1"/>
    </xf>
    <xf numFmtId="49" fontId="17" fillId="11" borderId="44" xfId="55" applyNumberFormat="1" applyFont="1" applyFill="1" applyBorder="1" applyAlignment="1">
      <alignment horizontal="center" vertical="center" wrapText="1"/>
    </xf>
    <xf numFmtId="49" fontId="17" fillId="13" borderId="41" xfId="55" applyNumberFormat="1" applyFont="1" applyFill="1" applyBorder="1" applyAlignment="1">
      <alignment horizontal="center" vertical="center" wrapText="1"/>
    </xf>
    <xf numFmtId="176" fontId="12" fillId="11" borderId="45" xfId="1" applyFont="1" applyFill="1" applyBorder="1" applyAlignment="1">
      <alignment horizontal="center" wrapText="1"/>
    </xf>
    <xf numFmtId="190" fontId="12" fillId="13" borderId="14" xfId="1" applyNumberFormat="1" applyFont="1" applyFill="1" applyBorder="1" applyAlignment="1">
      <alignment horizontal="center" wrapText="1"/>
    </xf>
    <xf numFmtId="181" fontId="12" fillId="13" borderId="14" xfId="3" applyNumberFormat="1" applyFont="1" applyFill="1" applyBorder="1" applyAlignment="1">
      <alignment horizontal="center" wrapText="1"/>
    </xf>
    <xf numFmtId="191" fontId="12" fillId="13" borderId="6" xfId="1" applyNumberFormat="1" applyFont="1" applyFill="1" applyBorder="1" applyAlignment="1">
      <alignment horizontal="center" wrapText="1"/>
    </xf>
    <xf numFmtId="192" fontId="12" fillId="13" borderId="6" xfId="55" applyNumberFormat="1" applyFont="1" applyFill="1" applyBorder="1" applyAlignment="1">
      <alignment horizontal="center" wrapText="1"/>
    </xf>
    <xf numFmtId="181" fontId="12" fillId="13" borderId="6" xfId="3" applyNumberFormat="1" applyFont="1" applyFill="1" applyBorder="1" applyAlignment="1">
      <alignment horizontal="center" wrapText="1"/>
    </xf>
    <xf numFmtId="190" fontId="12" fillId="13" borderId="6" xfId="1" applyNumberFormat="1" applyFont="1" applyFill="1" applyBorder="1" applyAlignment="1">
      <alignment horizontal="center" wrapText="1"/>
    </xf>
    <xf numFmtId="3" fontId="12" fillId="13" borderId="6" xfId="55" applyNumberFormat="1" applyFont="1" applyFill="1" applyBorder="1" applyAlignment="1">
      <alignment horizontal="center" wrapText="1"/>
    </xf>
    <xf numFmtId="176" fontId="12" fillId="11" borderId="46" xfId="1" applyFont="1" applyFill="1" applyBorder="1" applyAlignment="1">
      <alignment horizontal="center" wrapText="1"/>
    </xf>
    <xf numFmtId="176" fontId="12" fillId="13" borderId="14" xfId="1" applyFont="1" applyFill="1" applyBorder="1" applyAlignment="1">
      <alignment horizontal="center" wrapText="1"/>
    </xf>
    <xf numFmtId="9" fontId="12" fillId="13" borderId="14" xfId="3" applyFont="1" applyFill="1" applyBorder="1" applyAlignment="1">
      <alignment horizontal="center" wrapText="1"/>
    </xf>
    <xf numFmtId="176" fontId="12" fillId="13" borderId="6" xfId="1" applyFont="1" applyFill="1" applyBorder="1" applyAlignment="1">
      <alignment horizontal="center" wrapText="1"/>
    </xf>
    <xf numFmtId="2" fontId="17" fillId="7" borderId="0" xfId="55" applyNumberFormat="1" applyFont="1" applyFill="1" applyAlignment="1">
      <alignment horizontal="center" wrapText="1"/>
    </xf>
    <xf numFmtId="9" fontId="17" fillId="7" borderId="0" xfId="3" applyFont="1" applyFill="1" applyAlignment="1">
      <alignment horizontal="center" wrapText="1"/>
    </xf>
    <xf numFmtId="192" fontId="17" fillId="7" borderId="0" xfId="55" applyNumberFormat="1" applyFont="1" applyFill="1" applyAlignment="1">
      <alignment horizontal="center" wrapText="1"/>
    </xf>
    <xf numFmtId="186" fontId="12" fillId="0" borderId="0" xfId="55" applyNumberFormat="1" applyFont="1"/>
    <xf numFmtId="49" fontId="17" fillId="11" borderId="28" xfId="55" applyNumberFormat="1" applyFont="1" applyFill="1" applyBorder="1" applyAlignment="1">
      <alignment horizontal="center" vertical="center" wrapText="1"/>
    </xf>
    <xf numFmtId="49" fontId="17" fillId="13" borderId="47" xfId="55" applyNumberFormat="1" applyFont="1" applyFill="1" applyBorder="1" applyAlignment="1">
      <alignment horizontal="center" vertical="center" wrapText="1"/>
    </xf>
    <xf numFmtId="49" fontId="17" fillId="11" borderId="47" xfId="55" applyNumberFormat="1" applyFont="1" applyFill="1" applyBorder="1" applyAlignment="1">
      <alignment horizontal="center" vertical="center" wrapText="1"/>
    </xf>
    <xf numFmtId="49" fontId="17" fillId="11" borderId="41" xfId="55" applyNumberFormat="1" applyFont="1" applyFill="1" applyBorder="1" applyAlignment="1">
      <alignment horizontal="center" vertical="center" wrapText="1"/>
    </xf>
    <xf numFmtId="2" fontId="12" fillId="13" borderId="6" xfId="55" applyNumberFormat="1" applyFont="1" applyFill="1" applyBorder="1" applyAlignment="1">
      <alignment horizontal="center" wrapText="1"/>
    </xf>
    <xf numFmtId="10" fontId="12" fillId="13" borderId="4" xfId="3" applyNumberFormat="1" applyFont="1" applyFill="1" applyBorder="1" applyAlignment="1">
      <alignment horizontal="center" wrapText="1"/>
    </xf>
    <xf numFmtId="176" fontId="12" fillId="13" borderId="4" xfId="1" applyFont="1" applyFill="1" applyBorder="1" applyAlignment="1">
      <alignment horizontal="center" wrapText="1"/>
    </xf>
    <xf numFmtId="2" fontId="12" fillId="13" borderId="4" xfId="3" applyNumberFormat="1" applyFont="1" applyFill="1" applyBorder="1" applyAlignment="1">
      <alignment horizontal="center" wrapText="1"/>
    </xf>
    <xf numFmtId="2" fontId="12" fillId="13" borderId="4" xfId="55" applyNumberFormat="1" applyFont="1" applyFill="1" applyBorder="1" applyAlignment="1">
      <alignment horizontal="center" wrapText="1"/>
    </xf>
    <xf numFmtId="181" fontId="12" fillId="11" borderId="6" xfId="3" applyNumberFormat="1" applyFont="1" applyFill="1" applyBorder="1" applyAlignment="1">
      <alignment horizontal="center" wrapText="1"/>
    </xf>
    <xf numFmtId="4" fontId="12" fillId="11" borderId="6" xfId="55" applyNumberFormat="1" applyFont="1" applyFill="1" applyBorder="1" applyAlignment="1">
      <alignment horizontal="center" wrapText="1"/>
    </xf>
    <xf numFmtId="193" fontId="12" fillId="11" borderId="6" xfId="55" applyNumberFormat="1" applyFont="1" applyFill="1" applyBorder="1" applyAlignment="1">
      <alignment horizontal="center" wrapText="1"/>
    </xf>
    <xf numFmtId="4" fontId="18" fillId="11" borderId="6" xfId="55" applyNumberFormat="1" applyFont="1" applyFill="1" applyBorder="1"/>
    <xf numFmtId="0" fontId="18" fillId="11" borderId="6" xfId="55" applyFont="1" applyFill="1" applyBorder="1"/>
    <xf numFmtId="0" fontId="12" fillId="13" borderId="6" xfId="50" applyNumberFormat="1" applyFont="1" applyFill="1" applyBorder="1" applyAlignment="1">
      <alignment horizontal="center" wrapText="1"/>
    </xf>
    <xf numFmtId="2" fontId="12" fillId="13" borderId="4" xfId="50" applyNumberFormat="1" applyFont="1" applyFill="1" applyBorder="1" applyAlignment="1">
      <alignment horizontal="center" wrapText="1"/>
    </xf>
    <xf numFmtId="3" fontId="12" fillId="11" borderId="6" xfId="55" applyNumberFormat="1" applyFont="1" applyFill="1" applyBorder="1" applyAlignment="1">
      <alignment horizontal="center" wrapText="1"/>
    </xf>
    <xf numFmtId="4" fontId="11" fillId="7" borderId="0" xfId="55" applyNumberFormat="1" applyFont="1" applyFill="1" applyAlignment="1">
      <alignment horizontal="center" wrapText="1"/>
    </xf>
    <xf numFmtId="2" fontId="12" fillId="0" borderId="0" xfId="55" applyNumberFormat="1" applyFont="1" applyAlignment="1">
      <alignment horizontal="left" indent="1"/>
    </xf>
    <xf numFmtId="2" fontId="21" fillId="0" borderId="0" xfId="55" applyNumberFormat="1" applyFont="1" applyAlignment="1">
      <alignment horizontal="left" vertical="center" wrapText="1" indent="1"/>
    </xf>
    <xf numFmtId="49" fontId="17" fillId="13" borderId="48" xfId="55" applyNumberFormat="1" applyFont="1" applyFill="1" applyBorder="1" applyAlignment="1">
      <alignment horizontal="center" vertical="center" wrapText="1"/>
    </xf>
    <xf numFmtId="2" fontId="12" fillId="11" borderId="6" xfId="50" applyNumberFormat="1" applyFont="1" applyFill="1" applyBorder="1" applyAlignment="1">
      <alignment horizontal="center" wrapText="1"/>
    </xf>
    <xf numFmtId="177" fontId="12" fillId="13" borderId="6" xfId="50" applyFont="1" applyFill="1" applyBorder="1" applyAlignment="1">
      <alignment horizontal="center" wrapText="1"/>
    </xf>
    <xf numFmtId="177" fontId="12" fillId="13" borderId="6" xfId="2" applyFont="1" applyFill="1" applyBorder="1">
      <alignment horizontal="right" vertical="center"/>
    </xf>
    <xf numFmtId="177" fontId="12" fillId="13" borderId="4" xfId="2" applyFont="1" applyFill="1" applyBorder="1">
      <alignment horizontal="right" vertical="center"/>
    </xf>
    <xf numFmtId="178" fontId="12" fillId="13" borderId="4" xfId="55" applyNumberFormat="1" applyFont="1" applyFill="1" applyBorder="1" applyAlignment="1">
      <alignment horizontal="center" wrapText="1"/>
    </xf>
    <xf numFmtId="177" fontId="12" fillId="11" borderId="6" xfId="50" applyFont="1" applyFill="1" applyBorder="1" applyAlignment="1">
      <alignment horizontal="center" wrapText="1"/>
    </xf>
    <xf numFmtId="194" fontId="12" fillId="13" borderId="6" xfId="50" applyNumberFormat="1" applyFont="1" applyFill="1" applyBorder="1" applyAlignment="1">
      <alignment horizontal="center" wrapText="1"/>
    </xf>
    <xf numFmtId="194" fontId="12" fillId="13" borderId="4" xfId="50" applyNumberFormat="1" applyFont="1" applyFill="1" applyBorder="1" applyAlignment="1">
      <alignment horizontal="center" wrapText="1"/>
    </xf>
    <xf numFmtId="177" fontId="12" fillId="13" borderId="4" xfId="50" applyFont="1" applyFill="1" applyBorder="1" applyAlignment="1">
      <alignment horizontal="center" wrapText="1"/>
    </xf>
    <xf numFmtId="177" fontId="11" fillId="7" borderId="0" xfId="2" applyFont="1" applyFill="1">
      <alignment horizontal="right" vertical="center"/>
    </xf>
    <xf numFmtId="177" fontId="17" fillId="7" borderId="0" xfId="55" applyNumberFormat="1" applyFont="1" applyFill="1" applyAlignment="1">
      <alignment horizontal="center" wrapText="1"/>
    </xf>
    <xf numFmtId="177" fontId="21" fillId="0" borderId="0" xfId="2" applyFont="1">
      <alignment horizontal="right" vertical="center"/>
    </xf>
    <xf numFmtId="178" fontId="12" fillId="0" borderId="0" xfId="55" applyNumberFormat="1" applyFont="1"/>
    <xf numFmtId="4" fontId="21" fillId="0" borderId="0" xfId="55" applyNumberFormat="1" applyFont="1" applyAlignment="1">
      <alignment horizontal="left" vertical="center" wrapText="1" indent="1"/>
    </xf>
    <xf numFmtId="4" fontId="21" fillId="0" borderId="0" xfId="55" applyNumberFormat="1" applyFont="1" applyAlignment="1">
      <alignment horizontal="left" wrapText="1" indent="1"/>
    </xf>
    <xf numFmtId="49" fontId="17" fillId="13" borderId="29" xfId="55" applyNumberFormat="1" applyFont="1" applyFill="1" applyBorder="1" applyAlignment="1">
      <alignment horizontal="center" vertical="center" wrapText="1"/>
    </xf>
    <xf numFmtId="49" fontId="17" fillId="14" borderId="27" xfId="55" applyNumberFormat="1" applyFont="1" applyFill="1" applyBorder="1" applyAlignment="1">
      <alignment horizontal="center" vertical="center" wrapText="1"/>
    </xf>
    <xf numFmtId="49" fontId="17" fillId="14" borderId="28" xfId="55" applyNumberFormat="1" applyFont="1" applyFill="1" applyBorder="1" applyAlignment="1">
      <alignment horizontal="center" vertical="center" wrapText="1"/>
    </xf>
    <xf numFmtId="49" fontId="17" fillId="13" borderId="49" xfId="55" applyNumberFormat="1" applyFont="1" applyFill="1" applyBorder="1" applyAlignment="1">
      <alignment horizontal="center" vertical="center" wrapText="1"/>
    </xf>
    <xf numFmtId="4" fontId="17" fillId="12" borderId="50" xfId="55" applyNumberFormat="1" applyFont="1" applyFill="1" applyBorder="1" applyAlignment="1">
      <alignment horizontal="center" vertical="center" wrapText="1"/>
    </xf>
    <xf numFmtId="49" fontId="17" fillId="14" borderId="44" xfId="55" applyNumberFormat="1" applyFont="1" applyFill="1" applyBorder="1" applyAlignment="1">
      <alignment horizontal="center" vertical="center" wrapText="1"/>
    </xf>
    <xf numFmtId="186" fontId="12" fillId="13" borderId="46" xfId="50" applyNumberFormat="1" applyFont="1" applyFill="1" applyBorder="1" applyAlignment="1">
      <alignment horizontal="center" wrapText="1"/>
    </xf>
    <xf numFmtId="3" fontId="12" fillId="14" borderId="51" xfId="55" applyNumberFormat="1" applyFont="1" applyFill="1" applyBorder="1" applyAlignment="1">
      <alignment horizontal="center" wrapText="1"/>
    </xf>
    <xf numFmtId="3" fontId="12" fillId="14" borderId="45" xfId="55" applyNumberFormat="1" applyFont="1" applyFill="1" applyBorder="1" applyAlignment="1">
      <alignment horizontal="center" wrapText="1"/>
    </xf>
    <xf numFmtId="181" fontId="12" fillId="14" borderId="48" xfId="3" applyNumberFormat="1" applyFont="1" applyFill="1" applyBorder="1" applyAlignment="1">
      <alignment horizontal="center" wrapText="1"/>
    </xf>
    <xf numFmtId="3" fontId="12" fillId="14" borderId="48" xfId="55" applyNumberFormat="1" applyFont="1" applyFill="1" applyBorder="1" applyAlignment="1">
      <alignment horizontal="center" wrapText="1"/>
    </xf>
    <xf numFmtId="4" fontId="12" fillId="14" borderId="48" xfId="55" applyNumberFormat="1" applyFont="1" applyFill="1" applyBorder="1" applyAlignment="1">
      <alignment horizontal="center" wrapText="1"/>
    </xf>
    <xf numFmtId="3" fontId="12" fillId="14" borderId="22" xfId="55" applyNumberFormat="1" applyFont="1" applyFill="1" applyBorder="1" applyAlignment="1">
      <alignment horizontal="center" wrapText="1"/>
    </xf>
    <xf numFmtId="3" fontId="12" fillId="14" borderId="32" xfId="55" applyNumberFormat="1" applyFont="1" applyFill="1" applyBorder="1" applyAlignment="1">
      <alignment horizontal="center" wrapText="1"/>
    </xf>
    <xf numFmtId="3" fontId="12" fillId="14" borderId="4" xfId="55" applyNumberFormat="1" applyFont="1" applyFill="1" applyBorder="1" applyAlignment="1">
      <alignment horizontal="center" wrapText="1"/>
    </xf>
    <xf numFmtId="186" fontId="11" fillId="7" borderId="0" xfId="2" applyNumberFormat="1" applyFont="1" applyFill="1">
      <alignment horizontal="right" vertical="center"/>
    </xf>
    <xf numFmtId="177" fontId="12" fillId="0" borderId="0" xfId="55" applyNumberFormat="1" applyFont="1" applyAlignment="1">
      <alignment wrapText="1"/>
    </xf>
    <xf numFmtId="3" fontId="12" fillId="0" borderId="0" xfId="55" applyNumberFormat="1" applyFont="1"/>
    <xf numFmtId="49" fontId="17" fillId="15" borderId="28" xfId="55" applyNumberFormat="1" applyFont="1" applyFill="1" applyBorder="1" applyAlignment="1">
      <alignment horizontal="center" vertical="center" wrapText="1"/>
    </xf>
    <xf numFmtId="177" fontId="12" fillId="15" borderId="48" xfId="55" applyNumberFormat="1" applyFont="1" applyFill="1" applyBorder="1" applyAlignment="1">
      <alignment horizontal="center" wrapText="1"/>
    </xf>
    <xf numFmtId="195" fontId="12" fillId="14" borderId="48" xfId="55" applyNumberFormat="1" applyFont="1" applyFill="1" applyBorder="1" applyAlignment="1">
      <alignment horizontal="center" wrapText="1"/>
    </xf>
    <xf numFmtId="3" fontId="12" fillId="15" borderId="48" xfId="55" applyNumberFormat="1" applyFont="1" applyFill="1" applyBorder="1" applyAlignment="1">
      <alignment horizontal="center" wrapText="1"/>
    </xf>
    <xf numFmtId="3" fontId="12" fillId="15" borderId="52" xfId="55" applyNumberFormat="1" applyFont="1" applyFill="1" applyBorder="1" applyAlignment="1">
      <alignment horizontal="center" wrapText="1"/>
    </xf>
    <xf numFmtId="195" fontId="12" fillId="14" borderId="4" xfId="55" applyNumberFormat="1" applyFont="1" applyFill="1" applyBorder="1" applyAlignment="1">
      <alignment horizontal="center" wrapText="1"/>
    </xf>
    <xf numFmtId="3" fontId="12" fillId="15" borderId="53" xfId="55" applyNumberFormat="1" applyFont="1" applyFill="1" applyBorder="1" applyAlignment="1">
      <alignment horizontal="center" wrapText="1"/>
    </xf>
    <xf numFmtId="2" fontId="17" fillId="7" borderId="0" xfId="2" applyNumberFormat="1" applyFont="1" applyFill="1">
      <alignment horizontal="right" vertical="center"/>
    </xf>
    <xf numFmtId="177" fontId="17" fillId="15" borderId="0" xfId="2" applyFont="1" applyFill="1">
      <alignment horizontal="right" vertical="center"/>
    </xf>
    <xf numFmtId="0" fontId="17" fillId="8" borderId="27" xfId="55" applyFont="1" applyFill="1" applyBorder="1" applyAlignment="1">
      <alignment horizontal="left" vertical="center" indent="1"/>
    </xf>
    <xf numFmtId="0" fontId="17" fillId="8" borderId="28" xfId="55" applyFont="1" applyFill="1" applyBorder="1" applyAlignment="1">
      <alignment horizontal="left" wrapText="1" indent="1"/>
    </xf>
    <xf numFmtId="182" fontId="17" fillId="15" borderId="28" xfId="55" applyNumberFormat="1" applyFont="1" applyFill="1" applyBorder="1" applyAlignment="1">
      <alignment horizontal="center" vertical="center" wrapText="1"/>
    </xf>
    <xf numFmtId="49" fontId="17" fillId="8" borderId="54" xfId="55" applyNumberFormat="1" applyFont="1" applyFill="1" applyBorder="1" applyAlignment="1">
      <alignment horizontal="center" vertical="center" wrapText="1"/>
    </xf>
    <xf numFmtId="49" fontId="17" fillId="8" borderId="55" xfId="55" applyNumberFormat="1" applyFont="1" applyFill="1" applyBorder="1" applyAlignment="1">
      <alignment horizontal="center" vertical="center" wrapText="1"/>
    </xf>
    <xf numFmtId="178" fontId="12" fillId="15" borderId="48" xfId="55" applyNumberFormat="1" applyFont="1" applyFill="1" applyBorder="1" applyAlignment="1">
      <alignment horizontal="center" wrapText="1"/>
    </xf>
    <xf numFmtId="178" fontId="12" fillId="8" borderId="42" xfId="55" applyNumberFormat="1" applyFont="1" applyFill="1" applyBorder="1" applyAlignment="1">
      <alignment horizontal="center" wrapText="1"/>
    </xf>
    <xf numFmtId="178" fontId="12" fillId="8" borderId="47" xfId="55" applyNumberFormat="1" applyFont="1" applyFill="1" applyBorder="1" applyAlignment="1">
      <alignment horizontal="center" wrapText="1"/>
    </xf>
    <xf numFmtId="195" fontId="12" fillId="15" borderId="48" xfId="55" applyNumberFormat="1" applyFont="1" applyFill="1" applyBorder="1" applyAlignment="1">
      <alignment horizontal="center" wrapText="1"/>
    </xf>
    <xf numFmtId="3" fontId="12" fillId="15" borderId="4" xfId="55" applyNumberFormat="1" applyFont="1" applyFill="1" applyBorder="1" applyAlignment="1">
      <alignment horizontal="center" wrapText="1"/>
    </xf>
    <xf numFmtId="3" fontId="12" fillId="8" borderId="12" xfId="55" applyNumberFormat="1" applyFont="1" applyFill="1" applyBorder="1" applyAlignment="1">
      <alignment horizontal="center" wrapText="1"/>
    </xf>
    <xf numFmtId="3" fontId="12" fillId="8" borderId="6" xfId="55" applyNumberFormat="1" applyFont="1" applyFill="1" applyBorder="1" applyAlignment="1">
      <alignment horizontal="center" wrapText="1"/>
    </xf>
    <xf numFmtId="3" fontId="12" fillId="8" borderId="17" xfId="55" applyNumberFormat="1" applyFont="1" applyFill="1" applyBorder="1" applyAlignment="1">
      <alignment horizontal="center" wrapText="1"/>
    </xf>
    <xf numFmtId="3" fontId="12" fillId="8" borderId="18" xfId="55" applyNumberFormat="1" applyFont="1" applyFill="1" applyBorder="1" applyAlignment="1">
      <alignment horizontal="center" wrapText="1"/>
    </xf>
    <xf numFmtId="195" fontId="12" fillId="15" borderId="4" xfId="55" applyNumberFormat="1" applyFont="1" applyFill="1" applyBorder="1" applyAlignment="1">
      <alignment horizontal="center" wrapText="1"/>
    </xf>
    <xf numFmtId="3" fontId="12" fillId="8" borderId="50" xfId="55" applyNumberFormat="1" applyFont="1" applyFill="1" applyBorder="1" applyAlignment="1">
      <alignment horizontal="center" wrapText="1"/>
    </xf>
    <xf numFmtId="3" fontId="12" fillId="8" borderId="56" xfId="55" applyNumberFormat="1" applyFont="1" applyFill="1" applyBorder="1" applyAlignment="1">
      <alignment horizontal="center" wrapText="1"/>
    </xf>
    <xf numFmtId="178" fontId="12" fillId="15" borderId="4" xfId="55" applyNumberFormat="1" applyFont="1" applyFill="1" applyBorder="1" applyAlignment="1">
      <alignment horizontal="center" wrapText="1"/>
    </xf>
    <xf numFmtId="177" fontId="17" fillId="7" borderId="0" xfId="2" applyFont="1" applyFill="1">
      <alignment horizontal="right" vertical="center"/>
    </xf>
    <xf numFmtId="0" fontId="12" fillId="0" borderId="0" xfId="55" applyFont="1" applyAlignment="1">
      <alignment wrapText="1"/>
    </xf>
    <xf numFmtId="177" fontId="13" fillId="0" borderId="0" xfId="55" applyNumberFormat="1" applyFont="1"/>
    <xf numFmtId="0" fontId="17" fillId="8" borderId="29" xfId="55" applyFont="1" applyFill="1" applyBorder="1" applyAlignment="1">
      <alignment horizontal="left" wrapText="1" indent="1"/>
    </xf>
    <xf numFmtId="177" fontId="17" fillId="3" borderId="29" xfId="55" applyNumberFormat="1" applyFont="1" applyFill="1" applyBorder="1" applyAlignment="1">
      <alignment horizontal="center" vertical="center"/>
    </xf>
    <xf numFmtId="49" fontId="17" fillId="2" borderId="57" xfId="55" applyNumberFormat="1" applyFont="1" applyFill="1" applyBorder="1" applyAlignment="1">
      <alignment horizontal="left" indent="1"/>
    </xf>
    <xf numFmtId="49" fontId="17" fillId="2" borderId="21" xfId="55" applyNumberFormat="1" applyFont="1" applyFill="1" applyBorder="1" applyAlignment="1">
      <alignment horizontal="left" indent="1"/>
    </xf>
    <xf numFmtId="177" fontId="17" fillId="3" borderId="44" xfId="55" applyNumberFormat="1" applyFont="1" applyFill="1" applyBorder="1" applyAlignment="1">
      <alignment horizontal="center" vertical="center" wrapText="1"/>
    </xf>
    <xf numFmtId="0" fontId="17" fillId="0" borderId="58" xfId="55" applyFont="1" applyBorder="1" applyAlignment="1">
      <alignment horizontal="center" vertical="center" wrapText="1"/>
    </xf>
    <xf numFmtId="178" fontId="12" fillId="8" borderId="48" xfId="55" applyNumberFormat="1" applyFont="1" applyFill="1" applyBorder="1" applyAlignment="1">
      <alignment horizontal="center" wrapText="1"/>
    </xf>
    <xf numFmtId="186" fontId="17" fillId="3" borderId="46" xfId="2" applyNumberFormat="1" applyFont="1" applyFill="1" applyBorder="1">
      <alignment horizontal="right" vertical="center"/>
    </xf>
    <xf numFmtId="196" fontId="12" fillId="0" borderId="59" xfId="55" applyNumberFormat="1" applyFont="1" applyBorder="1" applyAlignment="1">
      <alignment horizontal="left" indent="1"/>
    </xf>
    <xf numFmtId="196" fontId="12" fillId="0" borderId="60" xfId="55" applyNumberFormat="1" applyFont="1" applyBorder="1" applyAlignment="1">
      <alignment horizontal="left" indent="1"/>
    </xf>
    <xf numFmtId="0" fontId="12" fillId="0" borderId="6" xfId="55" applyFont="1" applyBorder="1" applyAlignment="1">
      <alignment horizontal="left"/>
    </xf>
    <xf numFmtId="196" fontId="18" fillId="0" borderId="61" xfId="55" applyNumberFormat="1" applyFont="1" applyBorder="1" applyAlignment="1">
      <alignment horizontal="left" indent="1"/>
    </xf>
    <xf numFmtId="196" fontId="18" fillId="0" borderId="62" xfId="55" applyNumberFormat="1" applyFont="1" applyBorder="1" applyAlignment="1">
      <alignment horizontal="left" indent="1"/>
    </xf>
    <xf numFmtId="0" fontId="18" fillId="0" borderId="6" xfId="55" applyFont="1" applyBorder="1" applyAlignment="1">
      <alignment horizontal="left"/>
    </xf>
    <xf numFmtId="196" fontId="12" fillId="0" borderId="61" xfId="55" applyNumberFormat="1" applyFont="1" applyBorder="1" applyAlignment="1">
      <alignment horizontal="left" indent="1"/>
    </xf>
    <xf numFmtId="196" fontId="12" fillId="0" borderId="62" xfId="55" applyNumberFormat="1" applyFont="1" applyBorder="1" applyAlignment="1">
      <alignment horizontal="left" indent="1"/>
    </xf>
    <xf numFmtId="196" fontId="22" fillId="0" borderId="0" xfId="55" applyNumberFormat="1" applyFont="1" applyFill="1" applyBorder="1" applyAlignment="1">
      <alignment horizontal="left" indent="1"/>
    </xf>
    <xf numFmtId="196" fontId="22" fillId="0" borderId="63" xfId="55" applyNumberFormat="1" applyFont="1" applyFill="1" applyBorder="1" applyAlignment="1">
      <alignment horizontal="left" indent="1"/>
    </xf>
    <xf numFmtId="0" fontId="12" fillId="0" borderId="0" xfId="55" applyFont="1" applyBorder="1" applyAlignment="1">
      <alignment horizontal="left"/>
    </xf>
    <xf numFmtId="196" fontId="18" fillId="0" borderId="0" xfId="55" applyNumberFormat="1" applyFont="1" applyAlignment="1">
      <alignment horizontal="left" indent="1"/>
    </xf>
    <xf numFmtId="196" fontId="18" fillId="0" borderId="63" xfId="55" applyNumberFormat="1" applyFont="1" applyBorder="1" applyAlignment="1">
      <alignment horizontal="left" indent="1"/>
    </xf>
    <xf numFmtId="0" fontId="18" fillId="0" borderId="0" xfId="55" applyFont="1" applyAlignment="1">
      <alignment horizontal="left"/>
    </xf>
    <xf numFmtId="3" fontId="12" fillId="8" borderId="4" xfId="55" applyNumberFormat="1" applyFont="1" applyFill="1" applyBorder="1" applyAlignment="1">
      <alignment horizontal="center" wrapText="1"/>
    </xf>
    <xf numFmtId="177" fontId="17" fillId="3" borderId="46" xfId="2" applyFont="1" applyFill="1" applyBorder="1">
      <alignment horizontal="right" vertical="center"/>
    </xf>
    <xf numFmtId="177" fontId="17" fillId="3" borderId="46" xfId="55" applyNumberFormat="1" applyFont="1" applyFill="1" applyBorder="1" applyAlignment="1">
      <alignment horizontal="center" wrapText="1"/>
    </xf>
    <xf numFmtId="196" fontId="12" fillId="0" borderId="64" xfId="55" applyNumberFormat="1" applyFont="1" applyBorder="1" applyAlignment="1">
      <alignment horizontal="left" indent="1"/>
    </xf>
    <xf numFmtId="196" fontId="12" fillId="0" borderId="65" xfId="55" applyNumberFormat="1" applyFont="1" applyBorder="1" applyAlignment="1">
      <alignment horizontal="left" indent="1"/>
    </xf>
    <xf numFmtId="177" fontId="11" fillId="7" borderId="0" xfId="55" applyNumberFormat="1" applyFont="1" applyFill="1" applyAlignment="1">
      <alignment horizontal="left" indent="1"/>
    </xf>
    <xf numFmtId="0" fontId="17" fillId="0" borderId="0" xfId="55" applyFont="1" applyAlignment="1">
      <alignment horizontal="left" indent="1"/>
    </xf>
    <xf numFmtId="177" fontId="12" fillId="0" borderId="0" xfId="2" applyFont="1">
      <alignment horizontal="right" vertical="center"/>
    </xf>
    <xf numFmtId="0" fontId="0" fillId="0" borderId="17" xfId="0" applyBorder="1">
      <alignment wrapText="1"/>
    </xf>
    <xf numFmtId="177" fontId="0" fillId="0" borderId="43" xfId="0" applyNumberFormat="1" applyBorder="1">
      <alignment wrapText="1"/>
    </xf>
    <xf numFmtId="181" fontId="0" fillId="4" borderId="43" xfId="3" applyNumberFormat="1" applyFont="1" applyFill="1" applyBorder="1" applyAlignment="1">
      <alignment wrapText="1"/>
    </xf>
    <xf numFmtId="3" fontId="12" fillId="0" borderId="0" xfId="55" applyNumberFormat="1" applyFont="1" applyAlignment="1">
      <alignment horizontal="center" wrapText="1"/>
    </xf>
    <xf numFmtId="0" fontId="23" fillId="0" borderId="0" xfId="55"/>
    <xf numFmtId="4" fontId="24" fillId="0" borderId="0" xfId="55" applyNumberFormat="1" applyFont="1"/>
    <xf numFmtId="1" fontId="12" fillId="0" borderId="0" xfId="55" applyNumberFormat="1" applyFont="1"/>
    <xf numFmtId="0" fontId="8" fillId="0" borderId="0" xfId="55" applyFont="1"/>
    <xf numFmtId="2" fontId="17" fillId="0" borderId="0" xfId="55" applyNumberFormat="1" applyFont="1" applyAlignment="1">
      <alignment horizontal="center"/>
    </xf>
    <xf numFmtId="2" fontId="12" fillId="0" borderId="0" xfId="55" applyNumberFormat="1" applyFont="1" applyAlignment="1">
      <alignment horizontal="center"/>
    </xf>
    <xf numFmtId="0" fontId="12" fillId="0" borderId="0" xfId="55" applyFont="1" applyAlignment="1">
      <alignment horizontal="center"/>
    </xf>
    <xf numFmtId="0" fontId="0" fillId="0" borderId="6" xfId="0" applyBorder="1">
      <alignment wrapText="1"/>
    </xf>
    <xf numFmtId="0" fontId="0" fillId="16" borderId="6" xfId="0" applyFill="1" applyBorder="1">
      <alignment wrapText="1"/>
    </xf>
    <xf numFmtId="0" fontId="0" fillId="0" borderId="47" xfId="0" applyBorder="1">
      <alignment wrapText="1"/>
    </xf>
    <xf numFmtId="0" fontId="0" fillId="0" borderId="48" xfId="0" applyBorder="1">
      <alignment wrapText="1"/>
    </xf>
    <xf numFmtId="0" fontId="0" fillId="16" borderId="47" xfId="0" applyFill="1" applyBorder="1">
      <alignment wrapText="1"/>
    </xf>
    <xf numFmtId="9" fontId="0" fillId="0" borderId="47"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6" borderId="6" xfId="2" applyFont="1" applyFill="1" applyBorder="1">
      <alignment horizontal="right" vertical="center"/>
    </xf>
    <xf numFmtId="187" fontId="0" fillId="16" borderId="6" xfId="2" applyNumberFormat="1" applyFont="1" applyFill="1" applyBorder="1">
      <alignment horizontal="right" vertical="center"/>
    </xf>
    <xf numFmtId="0" fontId="25" fillId="0" borderId="0" xfId="57" applyFont="1" applyAlignment="1">
      <alignment horizontal="left" vertical="center" wrapText="1"/>
    </xf>
    <xf numFmtId="0" fontId="12" fillId="0" borderId="0" xfId="57" applyFont="1" applyAlignment="1">
      <alignment horizontal="left" vertical="center"/>
    </xf>
    <xf numFmtId="0" fontId="18" fillId="0" borderId="0" xfId="0" applyFont="1">
      <alignment wrapText="1"/>
    </xf>
    <xf numFmtId="0" fontId="17" fillId="0" borderId="41" xfId="57" applyFont="1" applyBorder="1" applyAlignment="1">
      <alignment horizontal="left" vertical="center" wrapText="1"/>
    </xf>
    <xf numFmtId="0" fontId="17" fillId="0" borderId="47" xfId="57" applyFont="1" applyBorder="1" applyAlignment="1">
      <alignment horizontal="left" vertical="center" wrapText="1"/>
    </xf>
    <xf numFmtId="58" fontId="11" fillId="0" borderId="47" xfId="0" applyNumberFormat="1" applyFont="1" applyBorder="1">
      <alignment wrapText="1"/>
    </xf>
    <xf numFmtId="58" fontId="11" fillId="0" borderId="48" xfId="0" applyNumberFormat="1" applyFont="1" applyBorder="1">
      <alignment wrapText="1"/>
    </xf>
    <xf numFmtId="0" fontId="12" fillId="0" borderId="14" xfId="57" applyFont="1" applyBorder="1" applyAlignment="1">
      <alignment horizontal="left" vertical="center"/>
    </xf>
    <xf numFmtId="0" fontId="12" fillId="0" borderId="6" xfId="57" applyFont="1" applyBorder="1" applyAlignment="1">
      <alignment horizontal="left" vertical="center"/>
    </xf>
    <xf numFmtId="0" fontId="26" fillId="0" borderId="6" xfId="0" applyFont="1" applyBorder="1">
      <alignment wrapText="1"/>
    </xf>
    <xf numFmtId="3" fontId="12" fillId="14" borderId="6" xfId="57" applyNumberFormat="1" applyFont="1" applyFill="1" applyBorder="1" applyAlignment="1">
      <alignment horizontal="center" wrapText="1"/>
    </xf>
    <xf numFmtId="3" fontId="12" fillId="14" borderId="4" xfId="57" applyNumberFormat="1" applyFont="1" applyFill="1" applyBorder="1" applyAlignment="1">
      <alignment horizontal="center" wrapText="1"/>
    </xf>
    <xf numFmtId="0" fontId="12" fillId="4" borderId="6" xfId="57" applyFont="1" applyFill="1" applyBorder="1"/>
    <xf numFmtId="0" fontId="12" fillId="17" borderId="6" xfId="57" applyFont="1" applyFill="1" applyBorder="1"/>
    <xf numFmtId="3" fontId="12" fillId="14" borderId="4" xfId="57" applyNumberFormat="1" applyFont="1" applyFill="1" applyBorder="1" applyAlignment="1">
      <alignment horizontal="center" vertical="center" wrapText="1"/>
    </xf>
    <xf numFmtId="0" fontId="25" fillId="0" borderId="14" xfId="57" applyFont="1" applyBorder="1" applyAlignment="1">
      <alignment horizontal="left" vertical="center" wrapText="1"/>
    </xf>
    <xf numFmtId="0" fontId="18" fillId="14" borderId="6" xfId="57" applyFont="1" applyFill="1" applyBorder="1"/>
    <xf numFmtId="3" fontId="12" fillId="14" borderId="6" xfId="57" applyNumberFormat="1" applyFont="1" applyFill="1" applyBorder="1" applyAlignment="1">
      <alignment horizontal="center" vertical="center" wrapText="1"/>
    </xf>
    <xf numFmtId="192" fontId="12" fillId="14" borderId="6" xfId="57" applyNumberFormat="1" applyFont="1" applyFill="1" applyBorder="1" applyAlignment="1">
      <alignment horizontal="center" wrapText="1"/>
    </xf>
    <xf numFmtId="192" fontId="12" fillId="14" borderId="4" xfId="57" applyNumberFormat="1" applyFont="1" applyFill="1" applyBorder="1" applyAlignment="1">
      <alignment horizontal="center" wrapText="1"/>
    </xf>
    <xf numFmtId="0" fontId="25" fillId="0" borderId="14" xfId="55" applyFont="1" applyBorder="1" applyAlignment="1">
      <alignment horizontal="left" vertical="center" wrapText="1"/>
    </xf>
    <xf numFmtId="0" fontId="25" fillId="0" borderId="66" xfId="55" applyFont="1" applyBorder="1" applyAlignment="1">
      <alignment horizontal="left" vertical="center" wrapText="1"/>
    </xf>
    <xf numFmtId="0" fontId="26" fillId="0" borderId="6" xfId="0" applyFont="1" applyBorder="1" applyAlignment="1"/>
    <xf numFmtId="0" fontId="12" fillId="0" borderId="6" xfId="0" applyFont="1" applyBorder="1" applyAlignment="1"/>
    <xf numFmtId="3" fontId="18" fillId="14" borderId="6" xfId="57" applyNumberFormat="1" applyFont="1" applyFill="1" applyBorder="1" applyAlignment="1">
      <alignment horizontal="center" wrapText="1"/>
    </xf>
    <xf numFmtId="58" fontId="0" fillId="0" borderId="0" xfId="0" applyNumberFormat="1">
      <alignment wrapText="1"/>
    </xf>
    <xf numFmtId="3" fontId="18" fillId="14" borderId="47" xfId="57" applyNumberFormat="1" applyFont="1" applyFill="1" applyBorder="1" applyAlignment="1">
      <alignment horizontal="center" wrapText="1"/>
    </xf>
    <xf numFmtId="3" fontId="18" fillId="14" borderId="6" xfId="57" applyNumberFormat="1" applyFont="1" applyFill="1" applyBorder="1" applyAlignment="1">
      <alignment horizontal="center" vertical="center" wrapText="1"/>
    </xf>
    <xf numFmtId="192" fontId="18" fillId="14" borderId="6" xfId="57" applyNumberFormat="1" applyFont="1" applyFill="1" applyBorder="1" applyAlignment="1">
      <alignment horizontal="center" wrapText="1"/>
    </xf>
    <xf numFmtId="0" fontId="12" fillId="4" borderId="14" xfId="57" applyFont="1" applyFill="1" applyBorder="1" applyAlignment="1">
      <alignment horizontal="left" vertical="center"/>
    </xf>
    <xf numFmtId="0" fontId="18" fillId="0" borderId="6" xfId="57" applyFont="1" applyBorder="1"/>
    <xf numFmtId="3" fontId="12" fillId="18" borderId="6" xfId="57" applyNumberFormat="1" applyFont="1" applyFill="1" applyBorder="1" applyAlignment="1">
      <alignment horizontal="center" wrapText="1"/>
    </xf>
    <xf numFmtId="0" fontId="18" fillId="4" borderId="6" xfId="57" applyFont="1" applyFill="1" applyBorder="1"/>
    <xf numFmtId="0" fontId="26" fillId="4" borderId="6" xfId="0" applyFont="1" applyFill="1" applyBorder="1" applyAlignment="1"/>
    <xf numFmtId="0" fontId="26" fillId="4" borderId="6" xfId="0" applyFont="1" applyFill="1" applyBorder="1">
      <alignment wrapText="1"/>
    </xf>
    <xf numFmtId="0" fontId="26" fillId="4" borderId="6" xfId="57" applyFont="1" applyFill="1" applyBorder="1"/>
    <xf numFmtId="0" fontId="25" fillId="0" borderId="14" xfId="0" applyFont="1" applyBorder="1" applyAlignment="1">
      <alignment horizontal="left" vertical="center" wrapText="1"/>
    </xf>
    <xf numFmtId="0" fontId="12" fillId="0" borderId="66" xfId="57" applyFont="1" applyBorder="1" applyAlignment="1">
      <alignment horizontal="left" vertical="center"/>
    </xf>
    <xf numFmtId="0" fontId="12" fillId="0" borderId="1" xfId="57" applyFont="1" applyBorder="1" applyAlignment="1">
      <alignment horizontal="left" vertical="center"/>
    </xf>
    <xf numFmtId="0" fontId="12" fillId="4" borderId="1" xfId="57" applyFont="1" applyFill="1" applyBorder="1"/>
    <xf numFmtId="0" fontId="25" fillId="0" borderId="66" xfId="57" applyFont="1" applyBorder="1" applyAlignment="1">
      <alignment horizontal="left" vertical="center" wrapText="1"/>
    </xf>
    <xf numFmtId="0" fontId="26" fillId="4" borderId="1" xfId="57" applyFont="1" applyFill="1" applyBorder="1"/>
    <xf numFmtId="0" fontId="27" fillId="0" borderId="0" xfId="0" applyFont="1">
      <alignment wrapText="1"/>
    </xf>
    <xf numFmtId="0" fontId="20" fillId="0" borderId="0" xfId="0" applyFont="1">
      <alignment wrapText="1"/>
    </xf>
    <xf numFmtId="2" fontId="18" fillId="5" borderId="6" xfId="0" applyNumberFormat="1" applyFont="1" applyFill="1" applyBorder="1">
      <alignment wrapText="1"/>
    </xf>
    <xf numFmtId="0" fontId="28" fillId="0" borderId="0" xfId="57" applyFont="1" applyAlignment="1">
      <alignment horizontal="left" vertical="center" wrapText="1"/>
    </xf>
    <xf numFmtId="0" fontId="23" fillId="0" borderId="0" xfId="57" applyAlignment="1">
      <alignment horizontal="left" vertical="center"/>
    </xf>
    <xf numFmtId="197" fontId="12" fillId="0" borderId="14" xfId="57" applyNumberFormat="1" applyFont="1" applyBorder="1" applyAlignment="1">
      <alignment horizontal="left" vertical="center"/>
    </xf>
    <xf numFmtId="197" fontId="12" fillId="0" borderId="6" xfId="57" applyNumberFormat="1" applyFont="1" applyBorder="1" applyAlignment="1">
      <alignment horizontal="left" vertical="center"/>
    </xf>
    <xf numFmtId="1" fontId="26" fillId="0" borderId="6" xfId="0" applyNumberFormat="1" applyFont="1" applyBorder="1">
      <alignment wrapText="1"/>
    </xf>
    <xf numFmtId="197" fontId="12" fillId="11" borderId="6" xfId="1" applyNumberFormat="1" applyFont="1" applyFill="1" applyBorder="1" applyAlignment="1">
      <alignment horizontal="center" vertical="center" wrapText="1"/>
    </xf>
    <xf numFmtId="197" fontId="12" fillId="11" borderId="6" xfId="57" applyNumberFormat="1" applyFont="1" applyFill="1" applyBorder="1" applyAlignment="1">
      <alignment horizontal="center" vertical="center" wrapText="1"/>
    </xf>
    <xf numFmtId="197" fontId="12" fillId="11" borderId="4" xfId="57" applyNumberFormat="1" applyFont="1" applyFill="1" applyBorder="1" applyAlignment="1">
      <alignment horizontal="center" vertical="center" wrapText="1"/>
    </xf>
    <xf numFmtId="1" fontId="12" fillId="0" borderId="6" xfId="57" applyNumberFormat="1" applyFont="1" applyBorder="1"/>
    <xf numFmtId="197" fontId="25" fillId="0" borderId="14" xfId="57" applyNumberFormat="1" applyFont="1" applyBorder="1" applyAlignment="1">
      <alignment horizontal="left" vertical="center" wrapText="1"/>
    </xf>
    <xf numFmtId="197" fontId="25" fillId="0" borderId="14" xfId="55" applyNumberFormat="1" applyFont="1" applyBorder="1" applyAlignment="1">
      <alignment horizontal="left" vertical="center" wrapText="1"/>
    </xf>
    <xf numFmtId="197" fontId="12" fillId="11" borderId="4" xfId="1" applyNumberFormat="1" applyFont="1" applyFill="1" applyBorder="1" applyAlignment="1">
      <alignment horizontal="center" vertical="center" wrapText="1"/>
    </xf>
    <xf numFmtId="197" fontId="25" fillId="0" borderId="66" xfId="55" applyNumberFormat="1" applyFont="1" applyBorder="1" applyAlignment="1">
      <alignment horizontal="left" vertical="center" wrapText="1"/>
    </xf>
    <xf numFmtId="1" fontId="26" fillId="0" borderId="6" xfId="0" applyNumberFormat="1" applyFont="1" applyBorder="1" applyAlignment="1"/>
    <xf numFmtId="1" fontId="12" fillId="0" borderId="6" xfId="0" applyNumberFormat="1" applyFont="1" applyBorder="1" applyAlignment="1"/>
    <xf numFmtId="58" fontId="19" fillId="0" borderId="0" xfId="0" applyNumberFormat="1" applyFont="1">
      <alignment wrapText="1"/>
    </xf>
    <xf numFmtId="197" fontId="12" fillId="19" borderId="4" xfId="57" applyNumberFormat="1" applyFont="1" applyFill="1" applyBorder="1" applyAlignment="1">
      <alignment horizontal="center" vertical="center" wrapText="1"/>
    </xf>
    <xf numFmtId="197" fontId="12" fillId="9" borderId="4" xfId="1" applyNumberFormat="1" applyFont="1" applyFill="1" applyBorder="1" applyAlignment="1">
      <alignment horizontal="center" vertical="center" wrapText="1"/>
    </xf>
    <xf numFmtId="197" fontId="18" fillId="5" borderId="6" xfId="0" applyNumberFormat="1" applyFont="1" applyFill="1" applyBorder="1">
      <alignment wrapText="1"/>
    </xf>
    <xf numFmtId="1" fontId="29" fillId="0" borderId="0" xfId="0" applyNumberFormat="1" applyFont="1">
      <alignment wrapText="1"/>
    </xf>
    <xf numFmtId="1" fontId="18" fillId="0" borderId="6" xfId="57" applyNumberFormat="1" applyFont="1" applyBorder="1"/>
    <xf numFmtId="0" fontId="29" fillId="0" borderId="0" xfId="0" applyFont="1">
      <alignment wrapText="1"/>
    </xf>
    <xf numFmtId="1" fontId="26" fillId="4" borderId="6" xfId="0" applyNumberFormat="1" applyFont="1" applyFill="1" applyBorder="1" applyAlignment="1"/>
    <xf numFmtId="1" fontId="18" fillId="4" borderId="6" xfId="57" applyNumberFormat="1" applyFont="1" applyFill="1" applyBorder="1"/>
    <xf numFmtId="197" fontId="12" fillId="16" borderId="4" xfId="1" applyNumberFormat="1" applyFont="1" applyFill="1" applyBorder="1" applyAlignment="1">
      <alignment horizontal="center" vertical="center" wrapText="1"/>
    </xf>
    <xf numFmtId="1" fontId="12" fillId="4" borderId="6" xfId="57" applyNumberFormat="1" applyFont="1" applyFill="1" applyBorder="1"/>
    <xf numFmtId="1" fontId="26" fillId="4" borderId="6" xfId="0" applyNumberFormat="1" applyFont="1" applyFill="1" applyBorder="1">
      <alignment wrapText="1"/>
    </xf>
    <xf numFmtId="197" fontId="25" fillId="0" borderId="14" xfId="0" applyNumberFormat="1" applyFont="1" applyBorder="1" applyAlignment="1">
      <alignment horizontal="left" vertical="center" wrapText="1"/>
    </xf>
    <xf numFmtId="1" fontId="26" fillId="4" borderId="6" xfId="57" applyNumberFormat="1" applyFont="1" applyFill="1" applyBorder="1"/>
    <xf numFmtId="1" fontId="30" fillId="4" borderId="6" xfId="57" applyNumberFormat="1" applyFont="1" applyFill="1" applyBorder="1"/>
    <xf numFmtId="197" fontId="12" fillId="20" borderId="6" xfId="1" applyNumberFormat="1" applyFont="1" applyFill="1" applyBorder="1" applyAlignment="1">
      <alignment horizontal="center" vertical="center" wrapText="1"/>
    </xf>
    <xf numFmtId="197" fontId="12" fillId="0" borderId="66" xfId="57" applyNumberFormat="1" applyFont="1" applyBorder="1" applyAlignment="1">
      <alignment horizontal="left" vertical="center"/>
    </xf>
    <xf numFmtId="197" fontId="12" fillId="0" borderId="1" xfId="57" applyNumberFormat="1" applyFont="1" applyBorder="1" applyAlignment="1">
      <alignment horizontal="left" vertical="center"/>
    </xf>
    <xf numFmtId="197" fontId="12" fillId="11" borderId="1" xfId="1" applyNumberFormat="1" applyFont="1" applyFill="1" applyBorder="1" applyAlignment="1">
      <alignment horizontal="center" vertical="center" wrapText="1"/>
    </xf>
    <xf numFmtId="1" fontId="26" fillId="0" borderId="1" xfId="57" applyNumberFormat="1" applyFont="1" applyBorder="1"/>
    <xf numFmtId="197" fontId="12" fillId="0" borderId="4" xfId="1" applyNumberFormat="1" applyFont="1" applyFill="1" applyBorder="1" applyAlignment="1">
      <alignment horizontal="center" vertical="center" wrapText="1"/>
    </xf>
    <xf numFmtId="197" fontId="12" fillId="11" borderId="4" xfId="1" applyNumberFormat="1" applyFont="1" applyFill="1" applyBorder="1" applyAlignment="1">
      <alignment horizontal="center" wrapText="1"/>
    </xf>
    <xf numFmtId="0" fontId="0" fillId="0" borderId="0" xfId="0" applyAlignment="1">
      <alignment horizontal="center" wrapText="1"/>
    </xf>
    <xf numFmtId="0" fontId="19" fillId="0" borderId="0" xfId="0" applyFont="1" applyAlignment="1">
      <alignment horizontal="center" vertical="center" wrapText="1"/>
    </xf>
    <xf numFmtId="177" fontId="19" fillId="0" borderId="0" xfId="0" applyNumberFormat="1" applyFont="1" applyAlignment="1">
      <alignment horizontal="center" vertical="center" wrapText="1"/>
    </xf>
    <xf numFmtId="0" fontId="24" fillId="0" borderId="0" xfId="55" applyFont="1" applyAlignment="1">
      <alignment horizontal="left" vertical="center" wrapText="1"/>
    </xf>
    <xf numFmtId="198" fontId="23" fillId="0" borderId="0" xfId="55" applyNumberFormat="1" applyAlignment="1">
      <alignment horizontal="left" vertical="center"/>
    </xf>
    <xf numFmtId="0" fontId="31" fillId="0" borderId="0" xfId="55" applyFont="1" applyAlignment="1">
      <alignment horizontal="left" vertical="center" wrapText="1"/>
    </xf>
    <xf numFmtId="0" fontId="23" fillId="0" borderId="0" xfId="55" applyAlignment="1">
      <alignment horizontal="left" vertical="center"/>
    </xf>
    <xf numFmtId="1" fontId="31" fillId="0" borderId="0" xfId="55" applyNumberFormat="1" applyFont="1" applyAlignment="1">
      <alignment horizontal="center" vertical="center" wrapText="1"/>
    </xf>
    <xf numFmtId="181" fontId="31" fillId="0" borderId="0" xfId="3" applyNumberFormat="1" applyFont="1" applyAlignment="1">
      <alignment horizontal="center" vertical="center" wrapText="1"/>
    </xf>
    <xf numFmtId="191" fontId="23" fillId="0" borderId="0" xfId="1" applyNumberFormat="1" applyFont="1" applyAlignment="1">
      <alignment horizontal="left" vertical="center"/>
    </xf>
    <xf numFmtId="198" fontId="24" fillId="0" borderId="0" xfId="55" applyNumberFormat="1" applyFont="1" applyAlignment="1">
      <alignment horizontal="center" vertical="center"/>
    </xf>
    <xf numFmtId="198" fontId="31" fillId="0" borderId="0" xfId="55" applyNumberFormat="1" applyFont="1" applyAlignment="1">
      <alignment horizontal="left" vertical="center"/>
    </xf>
    <xf numFmtId="49" fontId="23" fillId="0" borderId="0" xfId="55" applyNumberFormat="1" applyAlignment="1">
      <alignment horizontal="left" vertical="center"/>
    </xf>
    <xf numFmtId="198" fontId="32" fillId="0" borderId="0" xfId="6" applyNumberFormat="1" applyFont="1" applyAlignment="1">
      <alignment wrapText="1"/>
    </xf>
    <xf numFmtId="199" fontId="31" fillId="0" borderId="0" xfId="55" applyNumberFormat="1" applyFont="1" applyAlignment="1">
      <alignment horizontal="left" vertical="center" wrapText="1"/>
    </xf>
    <xf numFmtId="200" fontId="23" fillId="0" borderId="0" xfId="55" applyNumberFormat="1" applyAlignment="1">
      <alignment horizontal="left" vertical="center"/>
    </xf>
    <xf numFmtId="0" fontId="6" fillId="0" borderId="0" xfId="0" applyFont="1" applyAlignment="1">
      <alignment horizontal="left" vertical="center" wrapText="1"/>
    </xf>
    <xf numFmtId="0" fontId="31" fillId="0" borderId="0" xfId="0" applyFont="1" applyAlignment="1">
      <alignment horizontal="left" vertical="center" wrapText="1"/>
    </xf>
    <xf numFmtId="0" fontId="33" fillId="0" borderId="67" xfId="55" applyFont="1" applyBorder="1"/>
    <xf numFmtId="0" fontId="12" fillId="16" borderId="14" xfId="57" applyFont="1" applyFill="1" applyBorder="1" applyAlignment="1">
      <alignment horizontal="left" vertical="center"/>
    </xf>
    <xf numFmtId="0" fontId="12" fillId="16" borderId="6" xfId="57" applyFont="1" applyFill="1" applyBorder="1" applyAlignment="1">
      <alignment horizontal="left" vertical="center"/>
    </xf>
    <xf numFmtId="0" fontId="12" fillId="16" borderId="6" xfId="57" applyFont="1" applyFill="1" applyBorder="1"/>
    <xf numFmtId="181" fontId="24" fillId="0" borderId="0" xfId="3" applyNumberFormat="1" applyFont="1" applyAlignment="1">
      <alignment horizontal="left" vertical="center" wrapText="1"/>
    </xf>
    <xf numFmtId="191" fontId="24"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3" fillId="0" borderId="0" xfId="55" applyNumberFormat="1" applyAlignment="1">
      <alignment horizontal="center"/>
    </xf>
    <xf numFmtId="1" fontId="31" fillId="0" borderId="0" xfId="61" applyNumberFormat="1" applyFont="1" applyAlignment="1">
      <alignment horizontal="center" vertical="center" wrapText="1"/>
    </xf>
    <xf numFmtId="0" fontId="23" fillId="0" borderId="0" xfId="55" applyAlignment="1">
      <alignment horizontal="center" vertical="center"/>
    </xf>
    <xf numFmtId="181" fontId="23" fillId="0" borderId="0" xfId="3" applyNumberFormat="1" applyFont="1" applyAlignment="1">
      <alignment horizontal="center" vertical="center"/>
    </xf>
    <xf numFmtId="0" fontId="23" fillId="21" borderId="0" xfId="55" applyFill="1" applyAlignment="1">
      <alignment horizontal="left" vertical="center"/>
    </xf>
    <xf numFmtId="1" fontId="6" fillId="9"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3" fillId="9"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3" fillId="0" borderId="68" xfId="0" applyNumberFormat="1" applyFont="1" applyBorder="1" applyAlignment="1">
      <alignment horizontal="center"/>
    </xf>
    <xf numFmtId="181" fontId="33" fillId="0" borderId="0" xfId="3" applyNumberFormat="1" applyFont="1" applyBorder="1" applyAlignment="1">
      <alignment horizontal="center"/>
    </xf>
    <xf numFmtId="198" fontId="34" fillId="0" borderId="0" xfId="0" applyNumberFormat="1" applyFont="1">
      <alignment wrapText="1"/>
    </xf>
    <xf numFmtId="0" fontId="24" fillId="22" borderId="69" xfId="55" applyFont="1" applyFill="1" applyBorder="1" applyAlignment="1">
      <alignment horizontal="left" vertical="center" wrapText="1"/>
    </xf>
    <xf numFmtId="58" fontId="24" fillId="0" borderId="0" xfId="55" applyNumberFormat="1" applyFont="1" applyAlignment="1">
      <alignment horizontal="left" vertical="center" wrapText="1"/>
    </xf>
    <xf numFmtId="198" fontId="35" fillId="0" borderId="0" xfId="55" applyNumberFormat="1" applyFont="1" applyAlignment="1">
      <alignment horizontal="left" vertical="center"/>
    </xf>
    <xf numFmtId="198" fontId="24" fillId="0" borderId="0" xfId="55" applyNumberFormat="1" applyFont="1" applyAlignment="1">
      <alignment horizontal="left" vertical="center"/>
    </xf>
    <xf numFmtId="58" fontId="23" fillId="0" borderId="0" xfId="55" applyNumberFormat="1" applyAlignment="1">
      <alignment horizontal="left" vertical="center"/>
    </xf>
    <xf numFmtId="201" fontId="23" fillId="0" borderId="0" xfId="55" applyNumberFormat="1" applyAlignment="1">
      <alignment horizontal="left" vertical="center"/>
    </xf>
    <xf numFmtId="0" fontId="12" fillId="12" borderId="6" xfId="57" applyFont="1" applyFill="1" applyBorder="1"/>
    <xf numFmtId="0" fontId="18" fillId="12" borderId="6" xfId="57" applyFont="1" applyFill="1" applyBorder="1"/>
    <xf numFmtId="0" fontId="26" fillId="16" borderId="6" xfId="0" applyFont="1" applyFill="1" applyBorder="1" applyAlignment="1"/>
    <xf numFmtId="0" fontId="23" fillId="4" borderId="0" xfId="55" applyFill="1" applyAlignment="1">
      <alignment horizontal="left" vertical="center"/>
    </xf>
    <xf numFmtId="1" fontId="33" fillId="4" borderId="68" xfId="0" applyNumberFormat="1" applyFont="1" applyFill="1" applyBorder="1" applyAlignment="1">
      <alignment horizontal="center"/>
    </xf>
    <xf numFmtId="181" fontId="33" fillId="4" borderId="0" xfId="3" applyNumberFormat="1" applyFont="1" applyFill="1" applyBorder="1" applyAlignment="1">
      <alignment horizontal="center"/>
    </xf>
    <xf numFmtId="191" fontId="23" fillId="4" borderId="0" xfId="1" applyNumberFormat="1" applyFont="1" applyFill="1" applyAlignment="1">
      <alignment horizontal="left" vertical="center"/>
    </xf>
    <xf numFmtId="198" fontId="23" fillId="4" borderId="0" xfId="55" applyNumberFormat="1" applyFill="1" applyAlignment="1">
      <alignment horizontal="left" vertical="center"/>
    </xf>
    <xf numFmtId="1" fontId="33" fillId="0" borderId="70" xfId="0" applyNumberFormat="1" applyFont="1" applyBorder="1" applyAlignment="1">
      <alignment horizontal="center"/>
    </xf>
    <xf numFmtId="1" fontId="31" fillId="0" borderId="0" xfId="0" applyNumberFormat="1" applyFont="1" applyAlignment="1">
      <alignment horizontal="center" vertical="center" wrapText="1"/>
    </xf>
    <xf numFmtId="181" fontId="31" fillId="0" borderId="0" xfId="3" applyNumberFormat="1" applyFont="1" applyBorder="1" applyAlignment="1">
      <alignment horizontal="center" vertical="center" wrapText="1"/>
    </xf>
    <xf numFmtId="1" fontId="33" fillId="0" borderId="0" xfId="0" applyNumberFormat="1" applyFont="1" applyAlignment="1">
      <alignment horizontal="center" vertical="center"/>
    </xf>
    <xf numFmtId="181" fontId="33" fillId="0" borderId="0" xfId="3" applyNumberFormat="1" applyFont="1" applyAlignment="1">
      <alignment horizontal="center" vertical="center"/>
    </xf>
    <xf numFmtId="49" fontId="23" fillId="4" borderId="0" xfId="55" applyNumberFormat="1" applyFill="1" applyAlignment="1">
      <alignment horizontal="left" vertical="center"/>
    </xf>
    <xf numFmtId="58" fontId="23" fillId="4" borderId="0" xfId="55" applyNumberFormat="1" applyFill="1" applyAlignment="1">
      <alignment horizontal="left" vertical="center"/>
    </xf>
    <xf numFmtId="200" fontId="23" fillId="4" borderId="0" xfId="55" applyNumberFormat="1" applyFill="1" applyAlignment="1">
      <alignment horizontal="left" vertical="center"/>
    </xf>
    <xf numFmtId="0" fontId="26" fillId="9" borderId="6" xfId="0" applyFont="1" applyFill="1" applyBorder="1">
      <alignment wrapText="1"/>
    </xf>
    <xf numFmtId="0" fontId="31" fillId="0" borderId="0" xfId="0" applyFont="1" applyAlignment="1">
      <alignment horizontal="center" vertical="center" wrapText="1"/>
    </xf>
    <xf numFmtId="0" fontId="6" fillId="0" borderId="0" xfId="55" applyFont="1" applyAlignment="1">
      <alignment horizontal="left" vertical="center"/>
    </xf>
    <xf numFmtId="0" fontId="23" fillId="0" borderId="0" xfId="0" applyFont="1" applyAlignment="1"/>
    <xf numFmtId="0" fontId="36" fillId="0" borderId="0" xfId="0" applyFont="1">
      <alignment wrapText="1"/>
    </xf>
    <xf numFmtId="58" fontId="23" fillId="0" borderId="0" xfId="0" applyNumberFormat="1" applyFont="1" applyAlignment="1"/>
    <xf numFmtId="0" fontId="6" fillId="0" borderId="0" xfId="0" applyFont="1">
      <alignment wrapText="1"/>
    </xf>
    <xf numFmtId="58" fontId="37" fillId="0" borderId="0" xfId="0" applyNumberFormat="1" applyFont="1" applyAlignment="1"/>
    <xf numFmtId="58" fontId="33" fillId="0" borderId="0" xfId="0" applyNumberFormat="1" applyFont="1" applyAlignment="1">
      <alignment horizontal="right"/>
    </xf>
    <xf numFmtId="49" fontId="23" fillId="0" borderId="0" xfId="0" applyNumberFormat="1" applyFont="1" applyAlignment="1"/>
    <xf numFmtId="58" fontId="33" fillId="0" borderId="0" xfId="0" applyNumberFormat="1" applyFont="1" applyAlignment="1"/>
    <xf numFmtId="58" fontId="37" fillId="0" borderId="0" xfId="0" applyNumberFormat="1" applyFont="1" applyAlignment="1">
      <alignment horizontal="left"/>
    </xf>
    <xf numFmtId="58" fontId="38" fillId="0" borderId="0" xfId="0" applyNumberFormat="1" applyFont="1" applyAlignment="1"/>
    <xf numFmtId="0" fontId="23" fillId="0" borderId="0" xfId="0" applyFont="1" applyAlignment="1">
      <alignment vertical="top"/>
    </xf>
    <xf numFmtId="0" fontId="31" fillId="0" borderId="0" xfId="0" applyFont="1">
      <alignment wrapText="1"/>
    </xf>
    <xf numFmtId="0" fontId="39" fillId="0" borderId="0" xfId="0" applyFont="1">
      <alignment wrapText="1"/>
    </xf>
    <xf numFmtId="58" fontId="31" fillId="0" borderId="0" xfId="0" applyNumberFormat="1" applyFont="1" applyAlignment="1">
      <alignment horizontal="left" vertical="center" wrapText="1"/>
    </xf>
    <xf numFmtId="0" fontId="32" fillId="0" borderId="0" xfId="6" applyFont="1" applyBorder="1" applyAlignment="1">
      <alignment wrapText="1"/>
    </xf>
    <xf numFmtId="0" fontId="40" fillId="0" borderId="0" xfId="0" applyFont="1">
      <alignment wrapText="1"/>
    </xf>
    <xf numFmtId="0" fontId="32" fillId="0" borderId="0" xfId="6" applyFont="1" applyBorder="1" applyAlignment="1">
      <alignment vertical="top" wrapText="1"/>
    </xf>
    <xf numFmtId="198" fontId="32" fillId="0" borderId="0" xfId="6" applyNumberFormat="1" applyFont="1" applyBorder="1" applyAlignment="1">
      <alignment wrapText="1"/>
    </xf>
    <xf numFmtId="58" fontId="41" fillId="0" borderId="0" xfId="0" applyNumberFormat="1" applyFont="1" applyAlignment="1">
      <alignment horizontal="left" vertical="center" wrapText="1"/>
    </xf>
    <xf numFmtId="0" fontId="42" fillId="0" borderId="0" xfId="59" applyFont="1"/>
    <xf numFmtId="0" fontId="43" fillId="0" borderId="71" xfId="59" applyFont="1" applyBorder="1" applyAlignment="1">
      <alignment vertical="center" wrapText="1"/>
    </xf>
    <xf numFmtId="0" fontId="43" fillId="0" borderId="72" xfId="59" applyFont="1" applyBorder="1" applyAlignment="1">
      <alignment vertical="center" wrapText="1"/>
    </xf>
    <xf numFmtId="0" fontId="43" fillId="0" borderId="55" xfId="59" applyFont="1" applyBorder="1" applyAlignment="1">
      <alignment vertical="center" wrapText="1"/>
    </xf>
    <xf numFmtId="0" fontId="44" fillId="0" borderId="73" xfId="59" applyFont="1" applyBorder="1" applyAlignment="1">
      <alignment vertical="center" wrapText="1"/>
    </xf>
    <xf numFmtId="0" fontId="45" fillId="0" borderId="37" xfId="59" applyFont="1" applyBorder="1" applyAlignment="1">
      <alignment vertical="center" wrapText="1"/>
    </xf>
    <xf numFmtId="0" fontId="32" fillId="0" borderId="3" xfId="54" applyBorder="1"/>
    <xf numFmtId="0" fontId="46" fillId="0" borderId="37" xfId="59" applyFont="1" applyBorder="1"/>
    <xf numFmtId="0" fontId="47" fillId="0" borderId="37" xfId="54" applyFont="1" applyBorder="1" applyAlignment="1">
      <alignment vertical="center" wrapText="1"/>
    </xf>
    <xf numFmtId="0" fontId="48" fillId="0" borderId="42" xfId="59" applyFont="1" applyBorder="1" applyAlignment="1">
      <alignment vertical="center" wrapText="1"/>
    </xf>
    <xf numFmtId="0" fontId="45" fillId="0" borderId="47" xfId="59" applyFont="1" applyBorder="1" applyAlignment="1">
      <alignment vertical="center" wrapText="1"/>
    </xf>
    <xf numFmtId="0" fontId="42" fillId="0" borderId="74" xfId="59" applyFont="1" applyBorder="1"/>
    <xf numFmtId="0" fontId="32" fillId="0" borderId="47" xfId="54" applyBorder="1"/>
    <xf numFmtId="0" fontId="42" fillId="0" borderId="47" xfId="59" applyFont="1" applyBorder="1"/>
    <xf numFmtId="0" fontId="47" fillId="0" borderId="47" xfId="54" applyFont="1" applyBorder="1" applyAlignment="1">
      <alignment vertical="center" wrapText="1"/>
    </xf>
    <xf numFmtId="0" fontId="45" fillId="0" borderId="3" xfId="59" applyFont="1" applyBorder="1" applyAlignment="1">
      <alignment vertical="center" wrapText="1"/>
    </xf>
    <xf numFmtId="0" fontId="32" fillId="0" borderId="1" xfId="54" applyBorder="1"/>
    <xf numFmtId="0" fontId="46" fillId="0" borderId="3" xfId="59" applyFont="1" applyBorder="1"/>
    <xf numFmtId="0" fontId="47" fillId="0" borderId="1" xfId="54" applyFont="1" applyBorder="1" applyAlignment="1">
      <alignment vertical="center" wrapText="1"/>
    </xf>
    <xf numFmtId="0" fontId="48" fillId="0" borderId="73" xfId="59" applyFont="1" applyBorder="1" applyAlignment="1">
      <alignment vertical="center" wrapText="1"/>
    </xf>
    <xf numFmtId="0" fontId="42" fillId="0" borderId="3" xfId="59" applyFont="1" applyBorder="1"/>
    <xf numFmtId="0" fontId="44" fillId="0" borderId="1" xfId="59" applyFont="1" applyBorder="1" applyAlignment="1">
      <alignment vertical="center" wrapText="1"/>
    </xf>
    <xf numFmtId="0" fontId="45" fillId="0" borderId="1" xfId="59" applyFont="1" applyBorder="1" applyAlignment="1">
      <alignment vertical="center" wrapText="1"/>
    </xf>
    <xf numFmtId="0" fontId="42" fillId="0" borderId="26" xfId="59" applyFont="1" applyBorder="1"/>
    <xf numFmtId="0" fontId="46" fillId="0" borderId="1" xfId="59" applyFont="1" applyBorder="1"/>
    <xf numFmtId="0" fontId="48" fillId="0" borderId="47" xfId="59" applyFont="1" applyBorder="1" applyAlignment="1">
      <alignment vertical="center" wrapText="1"/>
    </xf>
    <xf numFmtId="0" fontId="44" fillId="23" borderId="73" xfId="59" applyFont="1" applyFill="1" applyBorder="1" applyAlignment="1">
      <alignment vertical="center" wrapText="1"/>
    </xf>
    <xf numFmtId="0" fontId="45" fillId="23" borderId="3" xfId="59" applyFont="1" applyFill="1" applyBorder="1" applyAlignment="1">
      <alignment vertical="center" wrapText="1"/>
    </xf>
    <xf numFmtId="0" fontId="42" fillId="2" borderId="0" xfId="59" applyFont="1" applyFill="1"/>
    <xf numFmtId="0" fontId="42" fillId="2" borderId="3" xfId="59" applyFont="1" applyFill="1" applyBorder="1"/>
    <xf numFmtId="0" fontId="42" fillId="2" borderId="6" xfId="59" applyFont="1" applyFill="1" applyBorder="1"/>
    <xf numFmtId="0" fontId="42" fillId="23" borderId="3" xfId="59" applyFont="1" applyFill="1" applyBorder="1" applyAlignment="1">
      <alignment vertical="center" wrapText="1"/>
    </xf>
    <xf numFmtId="0" fontId="43" fillId="23" borderId="6" xfId="59" applyFont="1" applyFill="1" applyBorder="1" applyAlignment="1">
      <alignment vertical="center" wrapText="1"/>
    </xf>
    <xf numFmtId="0" fontId="42" fillId="2" borderId="23" xfId="59" applyFont="1" applyFill="1" applyBorder="1"/>
    <xf numFmtId="0" fontId="42" fillId="2" borderId="1" xfId="59" applyFont="1" applyFill="1" applyBorder="1"/>
    <xf numFmtId="0" fontId="42" fillId="0" borderId="3" xfId="59" applyFont="1" applyBorder="1" applyAlignment="1">
      <alignment vertical="center" wrapText="1"/>
    </xf>
    <xf numFmtId="0" fontId="49" fillId="0" borderId="75" xfId="59" applyFont="1" applyBorder="1"/>
    <xf numFmtId="0" fontId="46" fillId="0" borderId="76" xfId="59" applyFont="1" applyBorder="1"/>
    <xf numFmtId="0" fontId="42" fillId="0" borderId="77" xfId="59" applyFont="1" applyBorder="1"/>
    <xf numFmtId="0" fontId="42" fillId="0" borderId="1" xfId="59" applyFont="1" applyBorder="1" applyAlignment="1">
      <alignment vertical="center" wrapText="1"/>
    </xf>
    <xf numFmtId="0" fontId="49" fillId="0" borderId="78" xfId="59" applyFont="1" applyBorder="1" applyAlignment="1">
      <alignment vertical="top"/>
    </xf>
    <xf numFmtId="0" fontId="49" fillId="0" borderId="79" xfId="59" applyFont="1" applyBorder="1"/>
    <xf numFmtId="0" fontId="42" fillId="0" borderId="80" xfId="59" applyFont="1" applyBorder="1"/>
    <xf numFmtId="0" fontId="42" fillId="24" borderId="26" xfId="59" applyFont="1" applyFill="1" applyBorder="1"/>
    <xf numFmtId="0" fontId="42" fillId="0" borderId="1" xfId="59" applyFont="1" applyBorder="1"/>
    <xf numFmtId="0" fontId="42" fillId="0" borderId="47" xfId="59" applyFont="1" applyBorder="1" applyAlignment="1">
      <alignment vertical="center" wrapText="1"/>
    </xf>
    <xf numFmtId="0" fontId="42" fillId="24" borderId="0" xfId="59" applyFont="1" applyFill="1"/>
    <xf numFmtId="0" fontId="49" fillId="0" borderId="1" xfId="59" applyFont="1" applyBorder="1"/>
    <xf numFmtId="0" fontId="49" fillId="0" borderId="47" xfId="59" applyFont="1" applyBorder="1"/>
    <xf numFmtId="0" fontId="43" fillId="0" borderId="81" xfId="59" applyFont="1" applyBorder="1" applyAlignment="1">
      <alignment vertical="center" wrapText="1"/>
    </xf>
    <xf numFmtId="49" fontId="43" fillId="0" borderId="81" xfId="59" applyNumberFormat="1" applyFont="1" applyBorder="1" applyAlignment="1">
      <alignment vertical="center" wrapText="1"/>
    </xf>
    <xf numFmtId="0" fontId="42" fillId="0" borderId="37" xfId="59" applyFont="1" applyBorder="1"/>
    <xf numFmtId="0" fontId="42" fillId="0" borderId="0" xfId="59" applyFont="1" applyAlignment="1">
      <alignment horizontal="center" vertical="center"/>
    </xf>
    <xf numFmtId="49" fontId="42" fillId="0" borderId="37" xfId="59" applyNumberFormat="1" applyFont="1" applyBorder="1"/>
    <xf numFmtId="0" fontId="42" fillId="0" borderId="48" xfId="59" applyFont="1" applyBorder="1"/>
    <xf numFmtId="49" fontId="42" fillId="0" borderId="47" xfId="59" applyNumberFormat="1" applyFont="1" applyBorder="1"/>
    <xf numFmtId="49" fontId="42" fillId="0" borderId="3" xfId="59" applyNumberFormat="1" applyFont="1" applyBorder="1"/>
    <xf numFmtId="0" fontId="42" fillId="0" borderId="3" xfId="59" applyFont="1" applyBorder="1" applyAlignment="1">
      <alignment horizontal="center" vertical="center"/>
    </xf>
    <xf numFmtId="49" fontId="42" fillId="0" borderId="3" xfId="59" applyNumberFormat="1" applyFont="1" applyBorder="1" applyAlignment="1">
      <alignment horizontal="center" vertical="center"/>
    </xf>
    <xf numFmtId="0" fontId="50" fillId="0" borderId="0" xfId="0" applyFont="1" applyAlignment="1">
      <alignment vertical="center" wrapText="1"/>
    </xf>
    <xf numFmtId="0" fontId="50" fillId="0" borderId="0" xfId="0" applyFont="1" applyAlignment="1">
      <alignment vertical="center"/>
    </xf>
    <xf numFmtId="0" fontId="51" fillId="0" borderId="0" xfId="0" applyFont="1" applyAlignment="1"/>
    <xf numFmtId="0" fontId="52" fillId="0" borderId="0" xfId="0" applyFont="1" applyAlignment="1"/>
    <xf numFmtId="0" fontId="50" fillId="0" borderId="0" xfId="0" applyFont="1">
      <alignment wrapText="1"/>
    </xf>
    <xf numFmtId="0" fontId="52" fillId="4" borderId="0" xfId="0" applyFont="1" applyFill="1" applyAlignment="1"/>
    <xf numFmtId="0" fontId="6" fillId="4" borderId="0" xfId="0" applyFont="1" applyFill="1">
      <alignment wrapText="1"/>
    </xf>
    <xf numFmtId="0" fontId="50" fillId="0" borderId="0" xfId="0" applyFont="1" applyAlignment="1"/>
    <xf numFmtId="0" fontId="52" fillId="0" borderId="0" xfId="0" applyFont="1" applyAlignment="1">
      <alignment vertical="center"/>
    </xf>
    <xf numFmtId="0" fontId="53" fillId="4" borderId="0" xfId="0" applyFont="1" applyFill="1" applyAlignment="1">
      <alignment horizontal="left" vertical="top" wrapText="1"/>
    </xf>
    <xf numFmtId="0" fontId="54" fillId="0" borderId="0" xfId="0" applyFont="1" applyAlignment="1"/>
    <xf numFmtId="0" fontId="55" fillId="4" borderId="0" xfId="0" applyFont="1" applyFill="1" applyAlignment="1"/>
    <xf numFmtId="0" fontId="56" fillId="25" borderId="7" xfId="0" applyFont="1" applyFill="1" applyBorder="1" applyAlignment="1">
      <alignment horizontal="center" vertical="center" wrapText="1"/>
    </xf>
    <xf numFmtId="0" fontId="24" fillId="0" borderId="7" xfId="0" applyFont="1" applyBorder="1" applyAlignment="1">
      <alignment horizontal="center" vertical="center" wrapText="1"/>
    </xf>
    <xf numFmtId="0" fontId="57" fillId="3" borderId="7" xfId="0" applyFont="1" applyFill="1" applyBorder="1" applyAlignment="1">
      <alignment horizontal="center" vertical="center" wrapText="1"/>
    </xf>
    <xf numFmtId="0" fontId="57" fillId="5" borderId="7" xfId="0" applyFont="1" applyFill="1" applyBorder="1" applyAlignment="1">
      <alignment horizontal="center" vertical="center" wrapText="1"/>
    </xf>
    <xf numFmtId="0" fontId="57" fillId="9" borderId="7" xfId="0" applyFont="1" applyFill="1" applyBorder="1" applyAlignment="1">
      <alignment horizontal="center" vertical="center" wrapText="1"/>
    </xf>
    <xf numFmtId="0" fontId="24" fillId="0" borderId="4" xfId="0" applyFont="1" applyBorder="1" applyAlignment="1">
      <alignment horizontal="center" vertical="center" wrapText="1"/>
    </xf>
    <xf numFmtId="0" fontId="57" fillId="3" borderId="4" xfId="0" applyFont="1" applyFill="1" applyBorder="1" applyAlignment="1">
      <alignment horizontal="center" vertical="center" wrapText="1"/>
    </xf>
    <xf numFmtId="0" fontId="57" fillId="5" borderId="4" xfId="0" applyFont="1" applyFill="1" applyBorder="1" applyAlignment="1">
      <alignment horizontal="center" vertical="center" wrapText="1"/>
    </xf>
    <xf numFmtId="0" fontId="57" fillId="9" borderId="4" xfId="0" applyFont="1" applyFill="1" applyBorder="1" applyAlignment="1">
      <alignment horizontal="center" vertical="center" wrapText="1"/>
    </xf>
    <xf numFmtId="0" fontId="58" fillId="4" borderId="0" xfId="0" applyFont="1" applyFill="1" applyAlignment="1"/>
    <xf numFmtId="0" fontId="59" fillId="25" borderId="6" xfId="0" applyFont="1" applyFill="1" applyBorder="1" applyAlignment="1">
      <alignment horizontal="center" vertical="center" wrapText="1"/>
    </xf>
    <xf numFmtId="0" fontId="24"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0" fillId="0" borderId="6" xfId="0" applyFont="1" applyBorder="1" applyAlignment="1">
      <alignment horizontal="center" vertical="center" wrapText="1"/>
    </xf>
    <xf numFmtId="0" fontId="61" fillId="0" borderId="0" xfId="0" applyFont="1" applyAlignment="1">
      <alignment horizontal="center" vertical="center" wrapText="1"/>
    </xf>
    <xf numFmtId="0" fontId="61" fillId="0" borderId="0" xfId="0" applyFont="1" applyAlignment="1">
      <alignment horizontal="left" vertical="top" wrapText="1"/>
    </xf>
    <xf numFmtId="0" fontId="62" fillId="0" borderId="0" xfId="0" applyFont="1">
      <alignment wrapText="1"/>
    </xf>
    <xf numFmtId="0" fontId="59" fillId="25" borderId="7" xfId="0" applyFont="1" applyFill="1" applyBorder="1" applyAlignment="1">
      <alignment horizontal="center" vertical="center" wrapText="1"/>
    </xf>
    <xf numFmtId="0" fontId="56" fillId="25" borderId="1" xfId="0" applyFont="1" applyFill="1" applyBorder="1" applyAlignment="1">
      <alignment horizontal="center" vertical="center" wrapText="1"/>
    </xf>
    <xf numFmtId="0" fontId="57" fillId="24" borderId="7" xfId="0" applyFont="1" applyFill="1" applyBorder="1" applyAlignment="1">
      <alignment horizontal="center" vertical="center" wrapText="1"/>
    </xf>
    <xf numFmtId="0" fontId="57" fillId="0" borderId="1" xfId="0" applyFont="1" applyBorder="1" applyAlignment="1">
      <alignment horizontal="center" vertical="center" wrapText="1"/>
    </xf>
    <xf numFmtId="0" fontId="57" fillId="0" borderId="82" xfId="0" applyFont="1" applyBorder="1" applyAlignment="1">
      <alignment horizontal="center" vertical="center" wrapText="1"/>
    </xf>
    <xf numFmtId="0" fontId="0" fillId="3" borderId="6" xfId="0" applyFill="1" applyBorder="1" applyAlignment="1">
      <alignment horizontal="center" vertical="center" wrapText="1"/>
    </xf>
    <xf numFmtId="0" fontId="0" fillId="9" borderId="6" xfId="0" applyFill="1" applyBorder="1" applyAlignment="1">
      <alignment horizontal="center" vertical="center" wrapText="1"/>
    </xf>
    <xf numFmtId="0" fontId="0" fillId="24" borderId="6" xfId="0" applyFill="1" applyBorder="1" applyAlignment="1">
      <alignment horizontal="center" vertical="center" wrapText="1"/>
    </xf>
    <xf numFmtId="0" fontId="0" fillId="5" borderId="6" xfId="0" applyFill="1" applyBorder="1" applyAlignment="1">
      <alignment horizontal="center" vertical="center" wrapText="1"/>
    </xf>
    <xf numFmtId="0" fontId="57" fillId="24" borderId="4" xfId="0" applyFont="1" applyFill="1" applyBorder="1" applyAlignment="1">
      <alignment horizontal="center" vertical="center" wrapText="1"/>
    </xf>
    <xf numFmtId="0" fontId="57" fillId="0" borderId="83" xfId="0" applyFont="1" applyBorder="1" applyAlignment="1">
      <alignment horizontal="center" vertical="center" wrapText="1"/>
    </xf>
    <xf numFmtId="0" fontId="57" fillId="0" borderId="0" xfId="0" applyFont="1" applyAlignment="1">
      <alignment horizontal="center" vertical="center" wrapText="1"/>
    </xf>
    <xf numFmtId="0" fontId="6" fillId="12" borderId="6" xfId="0" applyFont="1" applyFill="1" applyBorder="1" applyAlignment="1">
      <alignment horizontal="center" vertical="center" wrapText="1"/>
    </xf>
    <xf numFmtId="0" fontId="61" fillId="0" borderId="0" xfId="0" applyFont="1">
      <alignment wrapText="1"/>
    </xf>
    <xf numFmtId="58" fontId="31" fillId="0" borderId="0" xfId="0" applyNumberFormat="1" applyFont="1" applyAlignment="1" quotePrefix="1">
      <alignment horizontal="left" vertical="center" wrapText="1"/>
    </xf>
    <xf numFmtId="0" fontId="20" fillId="0" borderId="0" xfId="0" applyFont="1" quotePrefix="1">
      <alignment wrapText="1"/>
    </xf>
    <xf numFmtId="0" fontId="14" fillId="4" borderId="0" xfId="55" applyFont="1" applyFill="1" quotePrefix="1"/>
    <xf numFmtId="2" fontId="21" fillId="0" borderId="0" xfId="55" applyNumberFormat="1" applyFont="1" applyAlignment="1" quotePrefix="1">
      <alignment horizontal="left" vertical="center" wrapText="1" indent="1"/>
    </xf>
    <xf numFmtId="0" fontId="20" fillId="0" borderId="6" xfId="0" applyFont="1" applyBorder="1" applyAlignment="1" quotePrefix="1">
      <alignment horizontal="center" wrapTex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206">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51170384838"/>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51170384838"/>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951170384838"/>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951170384838"/>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51170384838"/>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51170384838"/>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51170384838"/>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951170384838"/>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51170384838"/>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5117038483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51170384838"/>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951170384838"/>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004B4080-53A3-490D-B846-658420964766}">
      <tableStyleElement type="wholeTable" dxfId="205"/>
      <tableStyleElement type="headerRow" dxfId="204"/>
      <tableStyleElement type="totalRow" dxfId="203"/>
      <tableStyleElement type="lastColumn" dxfId="202"/>
      <tableStyleElement type="secondColumnStripe" dxfId="201"/>
      <tableStyleElement type="lastHeaderCell" dxfId="200"/>
      <tableStyleElement type="lastTotalCell" dxfId="19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7" Type="http://schemas.openxmlformats.org/officeDocument/2006/relationships/styles" Target="styles.xml"/><Relationship Id="rId36" Type="http://schemas.openxmlformats.org/officeDocument/2006/relationships/sheetMetadata" Target="metadata.xml"/><Relationship Id="rId35" Type="http://schemas.openxmlformats.org/officeDocument/2006/relationships/sharedStrings" Target="sharedStrings.xml"/><Relationship Id="rId34" Type="http://schemas.openxmlformats.org/officeDocument/2006/relationships/theme" Target="theme/them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24" totalsRowShown="0">
  <autoFilter xmlns:etc="http://www.wps.cn/officeDocument/2017/etCustomData" ref="A1:J24" etc:filterBottomFollowUsedRange="0"/>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L191" totalsRowShown="0">
  <autoFilter xmlns:etc="http://www.wps.cn/officeDocument/2017/etCustomData" ref="A1:L191" etc:filterBottomFollowUsedRange="0">
    <filterColumn colId="1">
      <filters>
        <filter val="3A"/>
      </filters>
    </filterColumn>
    <filterColumn colId="8">
      <filters>
        <filter val="540"/>
        <filter val="2,170"/>
        <filter val="3,040"/>
        <filter val="3,200"/>
        <filter val="3,560"/>
        <filter val="3,790"/>
        <filter val="3,551"/>
        <filter val="6,641"/>
        <filter val="3,963"/>
        <filter val="1,396"/>
        <filter val="47"/>
        <filter val="367"/>
        <filter val="407"/>
        <filter val="198"/>
        <filter val="1,768"/>
      </filters>
    </filterColumn>
  </autoFilter>
  <tableColumns count="12">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 id="12" name="01/05/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L191" totalsRowShown="0">
  <autoFilter xmlns:etc="http://www.wps.cn/officeDocument/2017/etCustomData" ref="A1:L191" etc:filterBottomFollowUsedRange="0">
    <filterColumn colId="1">
      <filters>
        <filter val="3A"/>
      </filters>
    </filterColumn>
  </autoFilter>
  <tableColumns count="12">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 id="12" name="01/05/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37" totalsRowShown="0">
  <autoFilter xmlns:etc="http://www.wps.cn/officeDocument/2017/etCustomData" ref="A4:BS37"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(kWh)]]/$V$38</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$Y$38-$E$46</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SUM($Q$34:$Q$36)</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(%)]]*$AC$38</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$Q$34*Table1[[#This Row],[Percentage of Total export for Billing Period (%)]]</calculatedColumnFormula>
    </tableColumn>
    <tableColumn id="39" name="EV Charger based upon % total export to battery (kWh)" dataDxfId="104">
      <calculatedColumnFormula>$Q$33*Table1[[#This Row],[Percentage of Total export for Billing Period (%)]]</calculatedColumnFormula>
    </tableColumn>
    <tableColumn id="53" name="Therotical Energy Export to Grid (kWh)" dataDxfId="105"/>
    <tableColumn id="60" name="Energy Losses When Export to Grid (kWh)" dataDxfId="106">
      <calculatedColumnFormula>$AZ$38-$F$46</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$Q$34*'Tariff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calculatedColumnFormula>IF(E16&gt;0,"Payment due "&amp;TEXT(EOMONTH(TODAY(),0)+15,"dd/mm/yy"),"REFUND due "&amp;TEXT(EOMONTH(TODAY(),0)+15,"dd/mm/yy"))</calculatedColumnFormula>
    </tableColumn>
    <tableColumn id="2" name="Charge Rate ($ Inc. GST)" dataDxfId="127"/>
    <tableColumn id="4" name="Usage" dataDxfId="12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8.xml><?xml version="1.0" encoding="utf-8"?>
<table xmlns="http://schemas.openxmlformats.org/spreadsheetml/2006/main" id="3" name="Invoice34" displayName="Invoice34" ref="A15:E48" totalsRowShown="0">
  <autoFilter xmlns:etc="http://www.wps.cn/officeDocument/2017/etCustomData" ref="A15:E48" etc:filterBottomFollowUsedRange="0"/>
  <tableColumns count="5">
    <tableColumn id="1" name="Items" dataDxfId="130">
      <calculatedColumnFormula>IF(E16&gt;0,"Payment due "&amp;TEXT(EOMONTH(TODAY(),0)+15,"dd/mm/yy"),"REFUND due "&amp;TEXT(EOMONTH(TODAY(),0)+15,"dd/mm/yy"))</calculatedColumnFormula>
    </tableColumn>
    <tableColumn id="2" name="Charge Rate ($ Inc. GST)" dataDxfId="131"/>
    <tableColumn id="4" name="Usage" dataDxfId="13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9.xml><?xml version="1.0" encoding="utf-8"?>
<table xmlns="http://schemas.openxmlformats.org/spreadsheetml/2006/main" id="5" name="Invoice36" displayName="Invoice36" ref="A15:E48" totalsRowShown="0">
  <autoFilter xmlns:etc="http://www.wps.cn/officeDocument/2017/etCustomData" ref="A15:E48" etc:filterBottomFollowUsedRange="0"/>
  <tableColumns count="5">
    <tableColumn id="1" name="Items" dataDxfId="133">
      <calculatedColumnFormula>IF(E16&gt;0,"Payment due "&amp;TEXT(EOMONTH(TODAY(),0)+15,"dd/mm/yy"),"REFUND due "&amp;TEXT(EOMONTH(TODAY(),0)+15,"dd/mm/yy"))</calculatedColumnFormula>
    </tableColumn>
    <tableColumn id="2" name="Charge Rate ($ Inc. GST)" dataDxfId="134"/>
    <tableColumn id="4" name="Usage" dataDxfId="13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0.xml><?xml version="1.0" encoding="utf-8"?>
<table xmlns="http://schemas.openxmlformats.org/spreadsheetml/2006/main" id="6" name="Invoice37" displayName="Invoice37" ref="A15:E48" totalsRowShown="0">
  <autoFilter xmlns:etc="http://www.wps.cn/officeDocument/2017/etCustomData" ref="A15:E48" etc:filterBottomFollowUsedRange="0"/>
  <tableColumns count="5">
    <tableColumn id="1" name="Items" dataDxfId="136">
      <calculatedColumnFormula>IF(E16&gt;0,"Payment due "&amp;TEXT(EOMONTH(TODAY(),0)+15,"dd/mm/yy"),"REFUND due "&amp;TEXT(EOMONTH(TODAY(),0)+15,"dd/mm/yy"))</calculatedColumnFormula>
    </tableColumn>
    <tableColumn id="2" name="Charge Rate ($ Inc. GST)" dataDxfId="137"/>
    <tableColumn id="4" name="Usage" dataDxfId="13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1.xml><?xml version="1.0" encoding="utf-8"?>
<table xmlns="http://schemas.openxmlformats.org/spreadsheetml/2006/main" id="7" name="Invoice38" displayName="Invoice38" ref="A15:E48" totalsRowShown="0">
  <autoFilter xmlns:etc="http://www.wps.cn/officeDocument/2017/etCustomData" ref="A15:E48" etc:filterBottomFollowUsedRange="0"/>
  <tableColumns count="5">
    <tableColumn id="1" name="Items" dataDxfId="139">
      <calculatedColumnFormula>IF(E16&gt;0,"Payment due "&amp;TEXT(EOMONTH(TODAY(),0)+15,"dd/mm/yy"),"REFUND due "&amp;TEXT(EOMONTH(TODAY(),0)+15,"dd/mm/yy"))</calculatedColumnFormula>
    </tableColumn>
    <tableColumn id="2" name="Charge Rate ($ Inc. GST)" dataDxfId="140"/>
    <tableColumn id="4" name="Usage" dataDxfId="14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2.xml><?xml version="1.0" encoding="utf-8"?>
<table xmlns="http://schemas.openxmlformats.org/spreadsheetml/2006/main" id="8" name="Invoice39" displayName="Invoice39" ref="A15:E48" totalsRowShown="0">
  <autoFilter xmlns:etc="http://www.wps.cn/officeDocument/2017/etCustomData" ref="A15:E48" etc:filterBottomFollowUsedRange="0"/>
  <tableColumns count="5">
    <tableColumn id="1" name="Items" dataDxfId="142">
      <calculatedColumnFormula>IF(E16&gt;0,"Payment due "&amp;TEXT(EOMONTH(TODAY(),0)+15,"dd/mm/yy"),"REFUND due "&amp;TEXT(EOMONTH(TODAY(),0)+15,"dd/mm/yy"))</calculatedColumnFormula>
    </tableColumn>
    <tableColumn id="2" name="Charge Rate ($ Inc. GST)" dataDxfId="143"/>
    <tableColumn id="4" name="Usage" dataDxfId="14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3.xml><?xml version="1.0" encoding="utf-8"?>
<table xmlns="http://schemas.openxmlformats.org/spreadsheetml/2006/main" id="9" name="Invoice310" displayName="Invoice310" ref="A15:E48" totalsRowShown="0">
  <autoFilter xmlns:etc="http://www.wps.cn/officeDocument/2017/etCustomData" ref="A15:E48" etc:filterBottomFollowUsedRange="0"/>
  <tableColumns count="5">
    <tableColumn id="1" name="Items" dataDxfId="145">
      <calculatedColumnFormula>IF(E16&gt;0,"Payment due "&amp;TEXT(EOMONTH(TODAY(),0)+15,"dd/mm/yy"),"REFUND due "&amp;TEXT(EOMONTH(TODAY(),0)+15,"dd/mm/yy"))</calculatedColumnFormula>
    </tableColumn>
    <tableColumn id="2" name="Charge Rate ($ Inc. GST)" dataDxfId="146"/>
    <tableColumn id="4" name="Usage" dataDxfId="14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4.xml><?xml version="1.0" encoding="utf-8"?>
<table xmlns="http://schemas.openxmlformats.org/spreadsheetml/2006/main" id="10" name="Invoice311" displayName="Invoice311" ref="A15:E48" totalsRowShown="0">
  <autoFilter xmlns:etc="http://www.wps.cn/officeDocument/2017/etCustomData" ref="A15:E48" etc:filterBottomFollowUsedRange="0"/>
  <tableColumns count="5">
    <tableColumn id="1" name="Items" dataDxfId="148">
      <calculatedColumnFormula>IF(E16&gt;0,"Payment due "&amp;TEXT(EOMONTH(TODAY(),0)+15,"dd/mm/yy"),"REFUND due "&amp;TEXT(EOMONTH(TODAY(),0)+15,"dd/mm/yy"))</calculatedColumnFormula>
    </tableColumn>
    <tableColumn id="2" name="Charge Rate ($ Inc. GST)" dataDxfId="149"/>
    <tableColumn id="4" name="Usage" dataDxfId="15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5.xml><?xml version="1.0" encoding="utf-8"?>
<table xmlns="http://schemas.openxmlformats.org/spreadsheetml/2006/main" id="11" name="Invoice312" displayName="Invoice312" ref="A15:E48" totalsRowShown="0">
  <autoFilter xmlns:etc="http://www.wps.cn/officeDocument/2017/etCustomData" ref="A15:E48" etc:filterBottomFollowUsedRange="0"/>
  <tableColumns count="5">
    <tableColumn id="1" name="Items" dataDxfId="151">
      <calculatedColumnFormula>IF(E16&gt;0,"Payment due "&amp;TEXT(EOMONTH(TODAY(),0)+15,"dd/mm/yy"),"REFUND due "&amp;TEXT(EOMONTH(TODAY(),0)+15,"dd/mm/yy"))</calculatedColumnFormula>
    </tableColumn>
    <tableColumn id="2" name="Charge Rate ($ Inc. GST)" dataDxfId="152"/>
    <tableColumn id="4" name="Usage" dataDxfId="15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6.xml><?xml version="1.0" encoding="utf-8"?>
<table xmlns="http://schemas.openxmlformats.org/spreadsheetml/2006/main" id="12" name="Invoice313" displayName="Invoice313" ref="A15:E48" totalsRowShown="0">
  <autoFilter xmlns:etc="http://www.wps.cn/officeDocument/2017/etCustomData" ref="A15:E48" etc:filterBottomFollowUsedRange="0"/>
  <tableColumns count="5">
    <tableColumn id="1" name="Items" dataDxfId="154">
      <calculatedColumnFormula>IF(E16&gt;0,"Payment due "&amp;TEXT(EOMONTH(TODAY(),0)+15,"dd/mm/yy"),"REFUND due "&amp;TEXT(EOMONTH(TODAY(),0)+15,"dd/mm/yy"))</calculatedColumnFormula>
    </tableColumn>
    <tableColumn id="2" name="Charge Rate ($ Inc. GST)" dataDxfId="155"/>
    <tableColumn id="4" name="Usage" dataDxfId="15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7.xml><?xml version="1.0" encoding="utf-8"?>
<table xmlns="http://schemas.openxmlformats.org/spreadsheetml/2006/main" id="13" name="Invoice314" displayName="Invoice314" ref="A15:E48" totalsRowShown="0">
  <autoFilter xmlns:etc="http://www.wps.cn/officeDocument/2017/etCustomData" ref="A15:E48" etc:filterBottomFollowUsedRange="0"/>
  <tableColumns count="5">
    <tableColumn id="1" name="Items" dataDxfId="157">
      <calculatedColumnFormula>IF(E16&gt;0,"Payment due "&amp;TEXT(EOMONTH(TODAY(),0)+15,"dd/mm/yy"),"REFUND due "&amp;TEXT(EOMONTH(TODAY(),0)+15,"dd/mm/yy"))</calculatedColumnFormula>
    </tableColumn>
    <tableColumn id="2" name="Charge Rate ($ Inc. GST)" dataDxfId="158"/>
    <tableColumn id="4" name="Usage" dataDxfId="15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8.xml><?xml version="1.0" encoding="utf-8"?>
<table xmlns="http://schemas.openxmlformats.org/spreadsheetml/2006/main" id="14" name="Invoice315" displayName="Invoice315" ref="A15:E48" totalsRowShown="0">
  <autoFilter xmlns:etc="http://www.wps.cn/officeDocument/2017/etCustomData" ref="A15:E48" etc:filterBottomFollowUsedRange="0"/>
  <tableColumns count="5">
    <tableColumn id="1" name="Items" dataDxfId="160">
      <calculatedColumnFormula>IF(E16&gt;0,"Payment due "&amp;TEXT(EOMONTH(TODAY(),0)+15,"dd/mm/yy"),"REFUND due "&amp;TEXT(EOMONTH(TODAY(),0)+15,"dd/mm/yy"))</calculatedColumnFormula>
    </tableColumn>
    <tableColumn id="2" name="Charge Rate ($ Inc. GST)" dataDxfId="161"/>
    <tableColumn id="4" name="Usage" dataDxfId="16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19.xml><?xml version="1.0" encoding="utf-8"?>
<table xmlns="http://schemas.openxmlformats.org/spreadsheetml/2006/main" id="15" name="Invoice316" displayName="Invoice316" ref="A15:E48" totalsRowShown="0">
  <autoFilter xmlns:etc="http://www.wps.cn/officeDocument/2017/etCustomData" ref="A15:E48" etc:filterBottomFollowUsedRange="0"/>
  <tableColumns count="5">
    <tableColumn id="1" name="Items" dataDxfId="163">
      <calculatedColumnFormula>IF(E16&gt;0,"Payment due "&amp;TEXT(EOMONTH(TODAY(),0)+15,"dd/mm/yy"),"REFUND due "&amp;TEXT(EOMONTH(TODAY(),0)+15,"dd/mm/yy"))</calculatedColumnFormula>
    </tableColumn>
    <tableColumn id="2" name="Charge Rate ($ Inc. GST)" dataDxfId="164"/>
    <tableColumn id="4" name="Usage" dataDxfId="16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0.xml><?xml version="1.0" encoding="utf-8"?>
<table xmlns="http://schemas.openxmlformats.org/spreadsheetml/2006/main" id="16" name="Invoice317" displayName="Invoice317" ref="A15:E48" totalsRowShown="0">
  <autoFilter xmlns:etc="http://www.wps.cn/officeDocument/2017/etCustomData" ref="A15:E48" etc:filterBottomFollowUsedRange="0"/>
  <tableColumns count="5">
    <tableColumn id="1" name="Items" dataDxfId="166">
      <calculatedColumnFormula>IF(E16&gt;0,"Payment due "&amp;TEXT(EOMONTH(TODAY(),0)+15,"dd/mm/yy"),"REFUND due "&amp;TEXT(EOMONTH(TODAY(),0)+15,"dd/mm/yy"))</calculatedColumnFormula>
    </tableColumn>
    <tableColumn id="2" name="Charge Rate ($ Inc. GST)" dataDxfId="167"/>
    <tableColumn id="4" name="Usage" dataDxfId="16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1.xml><?xml version="1.0" encoding="utf-8"?>
<table xmlns="http://schemas.openxmlformats.org/spreadsheetml/2006/main" id="17" name="Invoice318" displayName="Invoice318" ref="A15:E48" totalsRowShown="0">
  <autoFilter xmlns:etc="http://www.wps.cn/officeDocument/2017/etCustomData" ref="A15:E48" etc:filterBottomFollowUsedRange="0"/>
  <tableColumns count="5">
    <tableColumn id="1" name="Items" dataDxfId="169">
      <calculatedColumnFormula>IF(E16&gt;0,"Payment due "&amp;TEXT(EOMONTH(TODAY(),0)+15,"dd/mm/yy"),"REFUND due "&amp;TEXT(EOMONTH(TODAY(),0)+15,"dd/mm/yy"))</calculatedColumnFormula>
    </tableColumn>
    <tableColumn id="2" name="Charge Rate ($ Inc. GST)" dataDxfId="170"/>
    <tableColumn id="4" name="Usage" dataDxfId="171"/>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2.xml><?xml version="1.0" encoding="utf-8"?>
<table xmlns="http://schemas.openxmlformats.org/spreadsheetml/2006/main" id="18" name="Invoice319" displayName="Invoice319" ref="A15:E48" totalsRowShown="0">
  <autoFilter xmlns:etc="http://www.wps.cn/officeDocument/2017/etCustomData" ref="A15:E48" etc:filterBottomFollowUsedRange="0"/>
  <tableColumns count="5">
    <tableColumn id="1" name="Items" dataDxfId="172">
      <calculatedColumnFormula>IF(E16&gt;0,"Payment due "&amp;TEXT(EOMONTH(TODAY(),0)+15,"dd/mm/yy"),"REFUND due "&amp;TEXT(EOMONTH(TODAY(),0)+15,"dd/mm/yy"))</calculatedColumnFormula>
    </tableColumn>
    <tableColumn id="2" name="Charge Rate ($ Inc. GST)" dataDxfId="173"/>
    <tableColumn id="4" name="Usage" dataDxfId="174"/>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3.xml><?xml version="1.0" encoding="utf-8"?>
<table xmlns="http://schemas.openxmlformats.org/spreadsheetml/2006/main" id="19" name="Invoice320" displayName="Invoice320" ref="A15:E48" totalsRowShown="0">
  <autoFilter xmlns:etc="http://www.wps.cn/officeDocument/2017/etCustomData" ref="A15:E48" etc:filterBottomFollowUsedRange="0"/>
  <tableColumns count="5">
    <tableColumn id="1" name="Items" dataDxfId="175">
      <calculatedColumnFormula>IF(E16&gt;0,"Payment due "&amp;TEXT(EOMONTH(TODAY(),0)+15,"dd/mm/yy"),"REFUND due "&amp;TEXT(EOMONTH(TODAY(),0)+15,"dd/mm/yy"))</calculatedColumnFormula>
    </tableColumn>
    <tableColumn id="2" name="Charge Rate ($ Inc. GST)" dataDxfId="176"/>
    <tableColumn id="4" name="Usage" dataDxfId="177"/>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4.xml><?xml version="1.0" encoding="utf-8"?>
<table xmlns="http://schemas.openxmlformats.org/spreadsheetml/2006/main" id="20" name="Invoice321" displayName="Invoice321" ref="A15:E48" totalsRowShown="0">
  <autoFilter xmlns:etc="http://www.wps.cn/officeDocument/2017/etCustomData" ref="A15:E48" etc:filterBottomFollowUsedRange="0"/>
  <tableColumns count="5">
    <tableColumn id="1" name="Items" dataDxfId="178">
      <calculatedColumnFormula>IF(E16&gt;0,"Payment due "&amp;TEXT(EOMONTH(TODAY(),0)+15,"dd/mm/yy"),"REFUND due "&amp;TEXT(EOMONTH(TODAY(),0)+15,"dd/mm/yy"))</calculatedColumnFormula>
    </tableColumn>
    <tableColumn id="2" name="Charge Rate ($ Inc. GST)" dataDxfId="179"/>
    <tableColumn id="4" name="Usage" dataDxfId="180"/>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5.xml><?xml version="1.0" encoding="utf-8"?>
<table xmlns="http://schemas.openxmlformats.org/spreadsheetml/2006/main" id="21" name="Invoice322" displayName="Invoice322" ref="A15:E48" totalsRowShown="0">
  <autoFilter xmlns:etc="http://www.wps.cn/officeDocument/2017/etCustomData" ref="A15:E48" etc:filterBottomFollowUsedRange="0"/>
  <tableColumns count="5">
    <tableColumn id="1" name="Items" dataDxfId="181">
      <calculatedColumnFormula>IF(E16&gt;0,"Payment due "&amp;TEXT(EOMONTH(TODAY(),0)+15,"dd/mm/yy"),"REFUND due "&amp;TEXT(EOMONTH(TODAY(),0)+15,"dd/mm/yy"))</calculatedColumnFormula>
    </tableColumn>
    <tableColumn id="2" name="Charge Rate ($ Inc. GST)" dataDxfId="182"/>
    <tableColumn id="4" name="Usage" dataDxfId="183"/>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6.xml><?xml version="1.0" encoding="utf-8"?>
<table xmlns="http://schemas.openxmlformats.org/spreadsheetml/2006/main" id="22" name="Invoice323" displayName="Invoice323" ref="A15:E48" totalsRowShown="0">
  <autoFilter xmlns:etc="http://www.wps.cn/officeDocument/2017/etCustomData" ref="A15:E48" etc:filterBottomFollowUsedRange="0"/>
  <tableColumns count="5">
    <tableColumn id="1" name="Items" dataDxfId="184">
      <calculatedColumnFormula>IF(E16&gt;0,"Payment due "&amp;TEXT(EOMONTH(TODAY(),0)+15,"dd/mm/yy"),"REFUND due "&amp;TEXT(EOMONTH(TODAY(),0)+15,"dd/mm/yy"))</calculatedColumnFormula>
    </tableColumn>
    <tableColumn id="2" name="Charge Rate ($ Inc. GST)" dataDxfId="185"/>
    <tableColumn id="4" name="Usage" dataDxfId="186"/>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7.xml><?xml version="1.0" encoding="utf-8"?>
<table xmlns="http://schemas.openxmlformats.org/spreadsheetml/2006/main" id="23" name="Invoice324" displayName="Invoice324" ref="A15:E48" totalsRowShown="0">
  <autoFilter xmlns:etc="http://www.wps.cn/officeDocument/2017/etCustomData" ref="A15:E48" etc:filterBottomFollowUsedRange="0"/>
  <tableColumns count="5">
    <tableColumn id="1" name="Items" dataDxfId="187">
      <calculatedColumnFormula>IF(E16&gt;0,"Payment due "&amp;TEXT(EOMONTH(TODAY(),0)+15,"dd/mm/yy"),"REFUND due "&amp;TEXT(EOMONTH(TODAY(),0)+15,"dd/mm/yy"))</calculatedColumnFormula>
    </tableColumn>
    <tableColumn id="2" name="Charge Rate ($ Inc. GST)" dataDxfId="188"/>
    <tableColumn id="4" name="Usage" dataDxfId="189"/>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8.xml><?xml version="1.0" encoding="utf-8"?>
<table xmlns="http://schemas.openxmlformats.org/spreadsheetml/2006/main" id="24" name="Invoice325" displayName="Invoice325" ref="A15:E48" totalsRowShown="0">
  <autoFilter xmlns:etc="http://www.wps.cn/officeDocument/2017/etCustomData" ref="A15:E48" etc:filterBottomFollowUsedRange="0"/>
  <tableColumns count="5">
    <tableColumn id="1" name="Items" dataDxfId="190">
      <calculatedColumnFormula>IF(E16&gt;0,"Payment due "&amp;TEXT(EOMONTH(TODAY(),0)+15,"dd/mm/yy"),"REFUND due "&amp;TEXT(EOMONTH(TODAY(),0)+15,"dd/mm/yy"))</calculatedColumnFormula>
    </tableColumn>
    <tableColumn id="2" name="Charge Rate ($ Inc. GST)" dataDxfId="191"/>
    <tableColumn id="4" name="Usage" dataDxfId="192"/>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29.xml><?xml version="1.0" encoding="utf-8"?>
<table xmlns="http://schemas.openxmlformats.org/spreadsheetml/2006/main" id="29" name="Invoice330" displayName="Invoice330" ref="A15:E48" totalsRowShown="0">
  <autoFilter xmlns:etc="http://www.wps.cn/officeDocument/2017/etCustomData" ref="A15:E48" etc:filterBottomFollowUsedRange="0"/>
  <tableColumns count="5">
    <tableColumn id="1" name="Items" dataDxfId="193">
      <calculatedColumnFormula>IF(E16&gt;0,"Payment due "&amp;TEXT(EOMONTH(TODAY(),0)+15,"dd/mm/yy"),"REFUND due "&amp;TEXT(EOMONTH(TODAY(),0)+15,"dd/mm/yy"))</calculatedColumnFormula>
    </tableColumn>
    <tableColumn id="2" name="Charge Rate ($ Inc. GST)" dataDxfId="194"/>
    <tableColumn id="4" name="Usage" dataDxfId="195"/>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ables/table30.xml><?xml version="1.0" encoding="utf-8"?>
<table xmlns="http://schemas.openxmlformats.org/spreadsheetml/2006/main" id="30" name="Invoice331" displayName="Invoice331" ref="A15:E48" totalsRowShown="0">
  <autoFilter xmlns:etc="http://www.wps.cn/officeDocument/2017/etCustomData" ref="A15:E48" etc:filterBottomFollowUsedRange="0"/>
  <tableColumns count="5">
    <tableColumn id="1" name="Items" dataDxfId="196">
      <calculatedColumnFormula>IF(E16&gt;0,"Payment due "&amp;TEXT(EOMONTH(TODAY(),0)+15,"dd/mm/yy"),"REFUND due "&amp;TEXT(EOMONTH(TODAY(),0)+15,"dd/mm/yy"))</calculatedColumnFormula>
    </tableColumn>
    <tableColumn id="2" name="Charge Rate ($ Inc. GST)" dataDxfId="197"/>
    <tableColumn id="4" name="Usage" dataDxfId="198"/>
    <tableColumn id="5" name=" "/>
    <tableColumn id="3" name="Amount due ($ Inc. GST)">
      <calculatedColumnFormula>E14-E15</calculatedColumnFormula>
    </tableColumn>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85"/>
  <sheetViews>
    <sheetView zoomScale="91" zoomScaleNormal="91" topLeftCell="A6" workbookViewId="0">
      <selection activeCell="L2" sqref="L2"/>
    </sheetView>
  </sheetViews>
  <sheetFormatPr defaultColWidth="11" defaultRowHeight="13.8"/>
  <cols>
    <col min="1" max="1" width="11.2" customWidth="1"/>
    <col min="2" max="2" width="49.5" customWidth="1"/>
    <col min="3" max="3" width="16.3" customWidth="1"/>
    <col min="4" max="4" width="24.8" customWidth="1"/>
    <col min="7" max="7" width="14.2" customWidth="1"/>
    <col min="10" max="10" width="20.2" customWidth="1"/>
  </cols>
  <sheetData>
    <row r="1" s="488" customFormat="1" ht="15.6" spans="1:2">
      <c r="A1" s="563" t="s">
        <v>0</v>
      </c>
      <c r="B1" s="564" t="s">
        <v>1</v>
      </c>
    </row>
    <row r="2" s="488" customFormat="1" ht="15.6" spans="1:2">
      <c r="A2" s="488" t="b">
        <v>0</v>
      </c>
      <c r="B2" s="565" t="s">
        <v>2</v>
      </c>
    </row>
    <row r="3" s="488" customFormat="1" ht="15" spans="1:2">
      <c r="A3" s="488" t="b">
        <v>0</v>
      </c>
      <c r="B3" s="566" t="s">
        <v>3</v>
      </c>
    </row>
    <row r="4" s="488" customFormat="1" ht="15" spans="1:2">
      <c r="A4" s="488" t="b">
        <v>0</v>
      </c>
      <c r="B4" s="566" t="s">
        <v>4</v>
      </c>
    </row>
    <row r="5" s="488" customFormat="1" ht="45" spans="1:5">
      <c r="A5" s="488" t="b">
        <v>0</v>
      </c>
      <c r="B5" s="566" t="s">
        <v>5</v>
      </c>
      <c r="C5" s="488" t="s">
        <v>6</v>
      </c>
      <c r="D5" s="567" t="s">
        <v>7</v>
      </c>
      <c r="E5" s="488" t="s">
        <v>8</v>
      </c>
    </row>
    <row r="6" s="488" customFormat="1" ht="45" spans="1:5">
      <c r="A6" s="488" t="b">
        <v>0</v>
      </c>
      <c r="B6" s="566" t="s">
        <v>9</v>
      </c>
      <c r="C6" s="488" t="s">
        <v>10</v>
      </c>
      <c r="D6" s="567" t="s">
        <v>11</v>
      </c>
      <c r="E6" s="488" t="s">
        <v>12</v>
      </c>
    </row>
    <row r="7" s="488" customFormat="1" ht="45" spans="1:19">
      <c r="A7" s="488" t="b">
        <v>0</v>
      </c>
      <c r="B7" s="566" t="s">
        <v>13</v>
      </c>
      <c r="C7" s="488" t="s">
        <v>14</v>
      </c>
      <c r="D7" s="488" t="s">
        <v>15</v>
      </c>
      <c r="E7" s="488" t="s">
        <v>16</v>
      </c>
      <c r="F7" s="488" t="s">
        <v>17</v>
      </c>
      <c r="G7" s="488" t="s">
        <v>18</v>
      </c>
      <c r="J7" s="591"/>
      <c r="L7"/>
      <c r="M7"/>
      <c r="N7"/>
      <c r="O7"/>
      <c r="P7"/>
      <c r="Q7"/>
      <c r="R7"/>
      <c r="S7"/>
    </row>
    <row r="8" s="488" customFormat="1" ht="15" spans="1:19">
      <c r="A8" s="488" t="b">
        <v>0</v>
      </c>
      <c r="B8" s="566" t="s">
        <v>19</v>
      </c>
      <c r="J8" s="591"/>
      <c r="L8"/>
      <c r="M8"/>
      <c r="N8"/>
      <c r="O8"/>
      <c r="P8"/>
      <c r="Q8"/>
      <c r="R8"/>
      <c r="S8"/>
    </row>
    <row r="9" s="488" customFormat="1" ht="15" spans="1:19">
      <c r="A9" s="488" t="b">
        <v>0</v>
      </c>
      <c r="B9" s="566" t="s">
        <v>20</v>
      </c>
      <c r="C9" s="568" t="s">
        <v>21</v>
      </c>
      <c r="D9" s="569"/>
      <c r="J9" s="591"/>
      <c r="L9"/>
      <c r="M9"/>
      <c r="N9"/>
      <c r="O9"/>
      <c r="P9"/>
      <c r="Q9"/>
      <c r="R9"/>
      <c r="S9"/>
    </row>
    <row r="10" s="488" customFormat="1" ht="15" spans="1:19">
      <c r="A10" s="488" t="b">
        <v>0</v>
      </c>
      <c r="B10" s="566" t="s">
        <v>22</v>
      </c>
      <c r="J10" s="591"/>
      <c r="L10"/>
      <c r="M10"/>
      <c r="N10"/>
      <c r="O10"/>
      <c r="P10"/>
      <c r="Q10"/>
      <c r="R10"/>
      <c r="S10"/>
    </row>
    <row r="11" s="488" customFormat="1" ht="15" spans="1:19">
      <c r="A11" s="488" t="b">
        <v>0</v>
      </c>
      <c r="B11" s="566" t="s">
        <v>23</v>
      </c>
      <c r="L11"/>
      <c r="M11"/>
      <c r="N11"/>
      <c r="O11"/>
      <c r="P11"/>
      <c r="Q11"/>
      <c r="R11"/>
      <c r="S11"/>
    </row>
    <row r="12" s="488" customFormat="1" ht="15" spans="1:2">
      <c r="A12" s="488" t="b">
        <v>0</v>
      </c>
      <c r="B12" s="566" t="s">
        <v>24</v>
      </c>
    </row>
    <row r="13" s="488" customFormat="1" ht="15" spans="2:2">
      <c r="B13" s="566"/>
    </row>
    <row r="14" s="488" customFormat="1" ht="15.6" spans="2:2">
      <c r="B14" s="570" t="s">
        <v>25</v>
      </c>
    </row>
    <row r="15" s="488" customFormat="1" ht="15" spans="1:2">
      <c r="A15" s="488" t="b">
        <v>0</v>
      </c>
      <c r="B15" s="566" t="s">
        <v>26</v>
      </c>
    </row>
    <row r="16" s="488" customFormat="1" ht="15" spans="1:2">
      <c r="A16" s="488" t="b">
        <v>0</v>
      </c>
      <c r="B16" s="566" t="s">
        <v>27</v>
      </c>
    </row>
    <row r="17" s="488" customFormat="1" ht="15" spans="1:2">
      <c r="A17" s="488" t="b">
        <v>0</v>
      </c>
      <c r="B17" s="566" t="s">
        <v>28</v>
      </c>
    </row>
    <row r="18" s="488" customFormat="1" ht="58.05" customHeight="1" spans="1:9">
      <c r="A18" s="488" t="b">
        <v>0</v>
      </c>
      <c r="B18" s="571" t="s">
        <v>29</v>
      </c>
      <c r="F18" s="572" t="s">
        <v>30</v>
      </c>
      <c r="G18" s="572"/>
      <c r="H18" s="572"/>
      <c r="I18" s="572"/>
    </row>
    <row r="19" s="488" customFormat="1" ht="15" spans="1:2">
      <c r="A19" s="488" t="b">
        <v>0</v>
      </c>
      <c r="B19" s="566" t="s">
        <v>31</v>
      </c>
    </row>
    <row r="20" s="488" customFormat="1" ht="15" spans="1:2">
      <c r="A20" s="488" t="b">
        <v>0</v>
      </c>
      <c r="B20" s="566" t="s">
        <v>32</v>
      </c>
    </row>
    <row r="21" ht="44.4" spans="2:2">
      <c r="B21" s="573"/>
    </row>
    <row r="22" ht="30" spans="2:2">
      <c r="B22" s="574" t="s">
        <v>33</v>
      </c>
    </row>
    <row r="23" ht="27.6" spans="2:13">
      <c r="B23" s="575" t="s">
        <v>34</v>
      </c>
      <c r="C23" s="575" t="s">
        <v>35</v>
      </c>
      <c r="D23" s="575" t="s">
        <v>36</v>
      </c>
      <c r="E23" s="575" t="s">
        <v>37</v>
      </c>
      <c r="F23" s="575" t="s">
        <v>38</v>
      </c>
      <c r="G23" s="575" t="s">
        <v>39</v>
      </c>
      <c r="H23" s="575" t="s">
        <v>40</v>
      </c>
      <c r="I23" s="575" t="s">
        <v>41</v>
      </c>
      <c r="J23" s="592" t="s">
        <v>42</v>
      </c>
      <c r="K23" s="593" t="s">
        <v>43</v>
      </c>
      <c r="L23" s="157"/>
      <c r="M23" s="157"/>
    </row>
    <row r="24" ht="15.6" spans="2:13">
      <c r="B24" s="576" t="s">
        <v>44</v>
      </c>
      <c r="C24" s="577">
        <v>1018</v>
      </c>
      <c r="D24" s="578" t="s">
        <v>45</v>
      </c>
      <c r="E24" s="578" t="s">
        <v>45</v>
      </c>
      <c r="F24" s="578" t="s">
        <v>45</v>
      </c>
      <c r="G24" s="577">
        <v>1077</v>
      </c>
      <c r="H24" s="579">
        <v>1091</v>
      </c>
      <c r="I24" s="576"/>
      <c r="J24" s="594" t="s">
        <v>46</v>
      </c>
      <c r="K24" s="595" t="s">
        <v>47</v>
      </c>
      <c r="L24" s="157"/>
      <c r="M24" s="157"/>
    </row>
    <row r="25" ht="15.6" spans="2:13">
      <c r="B25" s="576" t="s">
        <v>48</v>
      </c>
      <c r="C25" s="577">
        <v>1019</v>
      </c>
      <c r="D25" s="578" t="s">
        <v>45</v>
      </c>
      <c r="E25" s="578" t="s">
        <v>45</v>
      </c>
      <c r="F25" s="578" t="s">
        <v>45</v>
      </c>
      <c r="G25" s="577">
        <v>1069</v>
      </c>
      <c r="H25" s="579">
        <v>1092</v>
      </c>
      <c r="I25" s="576"/>
      <c r="J25" s="594" t="s">
        <v>49</v>
      </c>
      <c r="K25" s="596" t="s">
        <v>50</v>
      </c>
      <c r="L25" s="157"/>
      <c r="M25" s="597" t="s">
        <v>51</v>
      </c>
    </row>
    <row r="26" ht="15.6" spans="2:13">
      <c r="B26" s="576" t="s">
        <v>52</v>
      </c>
      <c r="C26" s="577">
        <v>1020</v>
      </c>
      <c r="D26" s="577">
        <v>1044</v>
      </c>
      <c r="E26" s="577">
        <v>1044</v>
      </c>
      <c r="F26" s="577">
        <v>1044</v>
      </c>
      <c r="G26" s="577">
        <v>1070</v>
      </c>
      <c r="H26" s="579">
        <v>1093</v>
      </c>
      <c r="I26" s="576"/>
      <c r="J26" s="576"/>
      <c r="K26" s="596" t="s">
        <v>47</v>
      </c>
      <c r="L26" s="157"/>
      <c r="M26" s="598" t="s">
        <v>53</v>
      </c>
    </row>
    <row r="27" ht="27.6" spans="2:13">
      <c r="B27" s="576" t="s">
        <v>54</v>
      </c>
      <c r="C27" s="577">
        <v>1021</v>
      </c>
      <c r="D27" s="578" t="s">
        <v>45</v>
      </c>
      <c r="E27" s="578" t="s">
        <v>45</v>
      </c>
      <c r="F27" s="578" t="s">
        <v>45</v>
      </c>
      <c r="G27" s="579">
        <v>1071</v>
      </c>
      <c r="H27" s="576"/>
      <c r="I27" s="576"/>
      <c r="J27" s="594" t="s">
        <v>55</v>
      </c>
      <c r="K27" s="596" t="s">
        <v>56</v>
      </c>
      <c r="L27" s="157"/>
      <c r="M27" s="599" t="s">
        <v>57</v>
      </c>
    </row>
    <row r="28" ht="15.6" spans="2:13">
      <c r="B28" s="576" t="s">
        <v>58</v>
      </c>
      <c r="C28" s="577">
        <v>1022</v>
      </c>
      <c r="D28" s="578" t="s">
        <v>45</v>
      </c>
      <c r="E28" s="577">
        <v>1046</v>
      </c>
      <c r="F28" s="577">
        <v>1046</v>
      </c>
      <c r="G28" s="577">
        <v>1082</v>
      </c>
      <c r="H28" s="579">
        <v>1094</v>
      </c>
      <c r="I28" s="576"/>
      <c r="J28" s="576"/>
      <c r="K28" s="596" t="s">
        <v>50</v>
      </c>
      <c r="L28" s="157"/>
      <c r="M28" s="600" t="s">
        <v>45</v>
      </c>
    </row>
    <row r="29" ht="15.6" spans="2:13">
      <c r="B29" s="576" t="s">
        <v>59</v>
      </c>
      <c r="C29" s="577">
        <v>1023</v>
      </c>
      <c r="D29" s="577" t="s">
        <v>45</v>
      </c>
      <c r="E29" s="577">
        <v>1047</v>
      </c>
      <c r="F29" s="577">
        <v>1047</v>
      </c>
      <c r="G29" s="577">
        <v>1081</v>
      </c>
      <c r="H29" s="576"/>
      <c r="I29" s="576"/>
      <c r="J29" s="576"/>
      <c r="K29" s="596" t="s">
        <v>50</v>
      </c>
      <c r="L29" s="157"/>
      <c r="M29" s="157"/>
    </row>
    <row r="30" ht="27.6" spans="2:13">
      <c r="B30" s="580" t="s">
        <v>60</v>
      </c>
      <c r="C30" s="581">
        <v>1024</v>
      </c>
      <c r="D30" s="582" t="s">
        <v>45</v>
      </c>
      <c r="E30" s="583">
        <v>1083</v>
      </c>
      <c r="F30" s="583">
        <v>1083</v>
      </c>
      <c r="G30" s="583">
        <v>1083</v>
      </c>
      <c r="H30" s="583">
        <v>1095</v>
      </c>
      <c r="I30" s="580"/>
      <c r="J30" s="601" t="s">
        <v>61</v>
      </c>
      <c r="K30" s="602" t="s">
        <v>62</v>
      </c>
      <c r="L30" s="157"/>
      <c r="M30" s="157"/>
    </row>
    <row r="31" spans="11:13">
      <c r="K31" s="603"/>
      <c r="L31" s="157"/>
      <c r="M31" s="157"/>
    </row>
    <row r="32" ht="27.6" spans="2:2">
      <c r="B32" s="584" t="s">
        <v>63</v>
      </c>
    </row>
    <row r="33" ht="93" customHeight="1" spans="2:12">
      <c r="B33" s="585" t="s">
        <v>34</v>
      </c>
      <c r="C33" s="585" t="s">
        <v>64</v>
      </c>
      <c r="D33" s="585" t="s">
        <v>65</v>
      </c>
      <c r="E33" s="585" t="s">
        <v>66</v>
      </c>
      <c r="F33" s="585" t="s">
        <v>67</v>
      </c>
      <c r="G33" s="585" t="s">
        <v>68</v>
      </c>
      <c r="H33" s="585" t="s">
        <v>69</v>
      </c>
      <c r="I33" s="585" t="s">
        <v>70</v>
      </c>
      <c r="J33" s="585" t="s">
        <v>71</v>
      </c>
      <c r="K33" s="585" t="s">
        <v>72</v>
      </c>
      <c r="L33" s="585" t="s">
        <v>73</v>
      </c>
    </row>
    <row r="34" ht="30" spans="2:12">
      <c r="B34" s="586" t="s">
        <v>44</v>
      </c>
      <c r="C34" s="587" t="s">
        <v>74</v>
      </c>
      <c r="D34" s="588" t="s">
        <v>75</v>
      </c>
      <c r="E34" s="588" t="s">
        <v>76</v>
      </c>
      <c r="F34" s="587" t="s">
        <v>74</v>
      </c>
      <c r="G34" s="587" t="s">
        <v>77</v>
      </c>
      <c r="H34" s="587" t="s">
        <v>78</v>
      </c>
      <c r="I34" s="604" t="s">
        <v>79</v>
      </c>
      <c r="J34" s="587" t="s">
        <v>80</v>
      </c>
      <c r="K34" s="587" t="s">
        <v>81</v>
      </c>
      <c r="L34" s="587">
        <v>2</v>
      </c>
    </row>
    <row r="35" ht="30" spans="2:12">
      <c r="B35" s="586" t="s">
        <v>48</v>
      </c>
      <c r="C35" s="587" t="s">
        <v>74</v>
      </c>
      <c r="D35" s="588" t="s">
        <v>82</v>
      </c>
      <c r="E35" s="588" t="s">
        <v>76</v>
      </c>
      <c r="F35" s="587" t="s">
        <v>74</v>
      </c>
      <c r="G35" s="587" t="s">
        <v>77</v>
      </c>
      <c r="H35" s="587" t="s">
        <v>77</v>
      </c>
      <c r="I35" s="604" t="s">
        <v>79</v>
      </c>
      <c r="J35" s="587" t="s">
        <v>80</v>
      </c>
      <c r="K35" s="587" t="s">
        <v>81</v>
      </c>
      <c r="L35" s="587">
        <v>2</v>
      </c>
    </row>
    <row r="36" ht="15.6" spans="2:12">
      <c r="B36" s="586" t="s">
        <v>52</v>
      </c>
      <c r="C36" s="587" t="s">
        <v>74</v>
      </c>
      <c r="D36" s="587" t="s">
        <v>74</v>
      </c>
      <c r="E36" s="587" t="s">
        <v>74</v>
      </c>
      <c r="F36" s="587" t="s">
        <v>74</v>
      </c>
      <c r="G36" s="587" t="s">
        <v>77</v>
      </c>
      <c r="H36" s="587" t="s">
        <v>77</v>
      </c>
      <c r="I36" s="604"/>
      <c r="J36" s="587" t="s">
        <v>80</v>
      </c>
      <c r="K36" s="587" t="s">
        <v>81</v>
      </c>
      <c r="L36" s="587">
        <v>2</v>
      </c>
    </row>
    <row r="37" ht="30" spans="2:12">
      <c r="B37" s="586" t="s">
        <v>54</v>
      </c>
      <c r="C37" s="587" t="s">
        <v>74</v>
      </c>
      <c r="D37" s="588" t="s">
        <v>75</v>
      </c>
      <c r="E37" s="588" t="s">
        <v>76</v>
      </c>
      <c r="F37" s="587"/>
      <c r="G37" s="587" t="s">
        <v>77</v>
      </c>
      <c r="H37" s="587" t="s">
        <v>77</v>
      </c>
      <c r="I37" s="604" t="s">
        <v>79</v>
      </c>
      <c r="J37" s="587" t="s">
        <v>80</v>
      </c>
      <c r="K37" s="587" t="s">
        <v>81</v>
      </c>
      <c r="L37" s="587">
        <v>2</v>
      </c>
    </row>
    <row r="38" ht="30" spans="2:12">
      <c r="B38" s="586" t="s">
        <v>58</v>
      </c>
      <c r="C38" s="587" t="s">
        <v>74</v>
      </c>
      <c r="D38" s="587" t="s">
        <v>74</v>
      </c>
      <c r="E38" s="588" t="s">
        <v>76</v>
      </c>
      <c r="F38" s="587"/>
      <c r="G38" s="587" t="s">
        <v>77</v>
      </c>
      <c r="H38" s="587" t="s">
        <v>77</v>
      </c>
      <c r="I38" s="604" t="s">
        <v>79</v>
      </c>
      <c r="J38" s="587" t="s">
        <v>80</v>
      </c>
      <c r="K38" s="587" t="s">
        <v>81</v>
      </c>
      <c r="L38" s="587">
        <v>2</v>
      </c>
    </row>
    <row r="39" ht="30" spans="2:12">
      <c r="B39" s="586" t="s">
        <v>59</v>
      </c>
      <c r="C39" s="588" t="s">
        <v>75</v>
      </c>
      <c r="D39" s="588" t="s">
        <v>75</v>
      </c>
      <c r="E39" s="588" t="s">
        <v>76</v>
      </c>
      <c r="F39" s="587"/>
      <c r="G39" s="587" t="s">
        <v>77</v>
      </c>
      <c r="H39" s="587" t="s">
        <v>77</v>
      </c>
      <c r="I39" s="604" t="s">
        <v>79</v>
      </c>
      <c r="J39" s="587" t="s">
        <v>80</v>
      </c>
      <c r="K39" s="587" t="s">
        <v>81</v>
      </c>
      <c r="L39" s="587">
        <v>0</v>
      </c>
    </row>
    <row r="40" ht="30" spans="2:12">
      <c r="B40" s="586" t="s">
        <v>60</v>
      </c>
      <c r="C40" s="588" t="s">
        <v>75</v>
      </c>
      <c r="D40" s="588" t="s">
        <v>75</v>
      </c>
      <c r="E40" s="588" t="s">
        <v>75</v>
      </c>
      <c r="F40" s="587"/>
      <c r="G40" s="587" t="s">
        <v>77</v>
      </c>
      <c r="H40" s="587" t="s">
        <v>77</v>
      </c>
      <c r="I40" s="604" t="s">
        <v>79</v>
      </c>
      <c r="J40" s="587" t="s">
        <v>80</v>
      </c>
      <c r="K40" s="587" t="s">
        <v>81</v>
      </c>
      <c r="L40" s="587">
        <v>0</v>
      </c>
    </row>
    <row r="41" ht="25.05" customHeight="1" spans="2:12">
      <c r="B41" s="589" t="b">
        <v>0</v>
      </c>
      <c r="C41" s="72" t="b">
        <v>0</v>
      </c>
      <c r="D41" s="72" t="b">
        <v>0</v>
      </c>
      <c r="E41" s="72" t="b">
        <v>0</v>
      </c>
      <c r="F41" s="72" t="b">
        <v>0</v>
      </c>
      <c r="G41" s="72" t="b">
        <v>0</v>
      </c>
      <c r="H41" s="72" t="b">
        <v>0</v>
      </c>
      <c r="I41" s="72" t="b">
        <v>0</v>
      </c>
      <c r="J41" s="72" t="b">
        <v>0</v>
      </c>
      <c r="K41" s="72" t="b">
        <v>0</v>
      </c>
      <c r="L41" s="72" t="b">
        <v>0</v>
      </c>
    </row>
    <row r="42" ht="13.95" customHeight="1" spans="2:2">
      <c r="B42" s="590"/>
    </row>
    <row r="43" ht="13.95" customHeight="1" spans="2:2">
      <c r="B43" s="590"/>
    </row>
    <row r="44" ht="13.95" customHeight="1" spans="2:2">
      <c r="B44" s="590"/>
    </row>
    <row r="45" ht="13.95" customHeight="1" spans="2:2">
      <c r="B45" s="590"/>
    </row>
    <row r="46" ht="13.95" customHeight="1" spans="2:2">
      <c r="B46" s="590"/>
    </row>
    <row r="47" ht="13.95" customHeight="1" spans="2:2">
      <c r="B47" s="590"/>
    </row>
    <row r="48" ht="13.95" customHeight="1" spans="2:2">
      <c r="B48" s="590"/>
    </row>
    <row r="49" ht="13.95" customHeight="1" spans="2:2">
      <c r="B49" s="590"/>
    </row>
    <row r="50" ht="13.95" customHeight="1" spans="2:2">
      <c r="B50" s="590"/>
    </row>
    <row r="51" ht="13.95" customHeight="1" spans="2:2">
      <c r="B51" s="590"/>
    </row>
    <row r="52" ht="13.95" customHeight="1" spans="2:2">
      <c r="B52" s="590"/>
    </row>
    <row r="53" ht="13.95" customHeight="1" spans="2:2">
      <c r="B53" s="590"/>
    </row>
    <row r="54" ht="13.95" customHeight="1" spans="2:2">
      <c r="B54" s="590"/>
    </row>
    <row r="55" ht="13.95" customHeight="1" spans="2:2">
      <c r="B55" s="590"/>
    </row>
    <row r="56" ht="13.95" customHeight="1" spans="2:2">
      <c r="B56" s="590"/>
    </row>
    <row r="57" ht="13.95" customHeight="1" spans="2:2">
      <c r="B57" s="590"/>
    </row>
    <row r="58" ht="13.95" customHeight="1" spans="2:2">
      <c r="B58" s="590"/>
    </row>
    <row r="59" ht="13.95" customHeight="1" spans="2:2">
      <c r="B59" s="590"/>
    </row>
    <row r="60" ht="13.95" customHeight="1" spans="2:2">
      <c r="B60" s="590"/>
    </row>
    <row r="61" ht="13.95" customHeight="1" spans="2:2">
      <c r="B61" s="590"/>
    </row>
    <row r="62" ht="13.95" customHeight="1" spans="2:2">
      <c r="B62" s="590"/>
    </row>
    <row r="63" ht="13.95" customHeight="1" spans="2:2">
      <c r="B63" s="590"/>
    </row>
    <row r="64" ht="13.95" customHeight="1" spans="2:2">
      <c r="B64" s="590"/>
    </row>
    <row r="65" ht="13.95" customHeight="1" spans="2:2">
      <c r="B65" s="590"/>
    </row>
    <row r="66" ht="13.95" customHeight="1" spans="2:2">
      <c r="B66" s="590"/>
    </row>
    <row r="67" ht="13.95" customHeight="1" spans="2:2">
      <c r="B67" s="590"/>
    </row>
    <row r="68" ht="13.95" customHeight="1" spans="2:2">
      <c r="B68" s="590"/>
    </row>
    <row r="69" ht="13.95" customHeight="1" spans="2:2">
      <c r="B69" s="590"/>
    </row>
    <row r="70" ht="13.95" customHeight="1" spans="2:2">
      <c r="B70" s="590"/>
    </row>
    <row r="71" ht="13.95" customHeight="1" spans="2:2">
      <c r="B71" s="590"/>
    </row>
    <row r="72" ht="16.8" spans="2:2">
      <c r="B72" s="605"/>
    </row>
    <row r="73" ht="16.8" spans="2:2">
      <c r="B73" s="605"/>
    </row>
    <row r="74" ht="16.8" spans="2:2">
      <c r="B74" s="605"/>
    </row>
    <row r="75" ht="16.8" spans="2:2">
      <c r="B75" s="605"/>
    </row>
    <row r="76" ht="16.8" spans="2:2">
      <c r="B76" s="605"/>
    </row>
    <row r="77" ht="16.8" spans="2:2">
      <c r="B77" s="605"/>
    </row>
    <row r="78" ht="16.8" spans="2:2">
      <c r="B78" s="605"/>
    </row>
    <row r="79" ht="16.8" spans="2:2">
      <c r="B79" s="605"/>
    </row>
    <row r="80" ht="16.8" spans="2:2">
      <c r="B80" s="605"/>
    </row>
    <row r="85" ht="16.8" spans="2:2">
      <c r="B85" s="605"/>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70" zoomScaleNormal="70" workbookViewId="0">
      <selection activeCell="B15" sqref="B15"/>
    </sheetView>
  </sheetViews>
  <sheetFormatPr defaultColWidth="10.8" defaultRowHeight="15"/>
  <cols>
    <col min="1" max="1" width="10.8" style="504"/>
    <col min="2" max="2" width="34" style="504" customWidth="1"/>
    <col min="3" max="3" width="19.3" style="504" customWidth="1"/>
    <col min="4" max="4" width="22.5" style="504" customWidth="1"/>
    <col min="5" max="5" width="27.8" style="504" customWidth="1"/>
    <col min="6" max="6" width="30.3" style="504" customWidth="1"/>
    <col min="7" max="7" width="25.7" style="504" customWidth="1"/>
    <col min="8" max="8" width="28" style="504" customWidth="1"/>
    <col min="9" max="9" width="37.8" style="504" customWidth="1"/>
    <col min="10" max="10" width="16.3" style="504" customWidth="1"/>
    <col min="11" max="11" width="21.5" style="504" customWidth="1"/>
    <col min="12" max="12" width="16.3" style="504" customWidth="1"/>
    <col min="13" max="13" width="35.2" style="504" customWidth="1"/>
    <col min="14" max="14" width="8.8" style="504" customWidth="1"/>
    <col min="15" max="15" width="19" style="504" customWidth="1"/>
    <col min="16" max="16384" width="10.8" style="504"/>
  </cols>
  <sheetData>
    <row r="1" ht="48" customHeight="1" spans="1:15">
      <c r="A1" s="505" t="s">
        <v>83</v>
      </c>
      <c r="B1" s="505" t="s">
        <v>84</v>
      </c>
      <c r="C1" s="506" t="s">
        <v>85</v>
      </c>
      <c r="D1" s="507" t="s">
        <v>86</v>
      </c>
      <c r="E1" s="506" t="s">
        <v>87</v>
      </c>
      <c r="F1" s="506" t="s">
        <v>88</v>
      </c>
      <c r="G1" s="506" t="s">
        <v>89</v>
      </c>
      <c r="H1" s="506" t="s">
        <v>90</v>
      </c>
      <c r="I1" s="506" t="s">
        <v>91</v>
      </c>
      <c r="J1" s="506" t="s">
        <v>92</v>
      </c>
      <c r="K1" s="553" t="s">
        <v>93</v>
      </c>
      <c r="L1" s="553" t="s">
        <v>94</v>
      </c>
      <c r="M1" s="554" t="s">
        <v>95</v>
      </c>
      <c r="N1" s="554" t="s">
        <v>96</v>
      </c>
      <c r="O1" s="554" t="s">
        <v>97</v>
      </c>
    </row>
    <row r="2" ht="26.4" spans="1:15">
      <c r="A2" s="508" t="s">
        <v>44</v>
      </c>
      <c r="B2" s="508" t="s">
        <v>98</v>
      </c>
      <c r="C2" s="509" t="s">
        <v>99</v>
      </c>
      <c r="D2" s="509" t="s">
        <v>100</v>
      </c>
      <c r="E2" s="504" t="s">
        <v>101</v>
      </c>
      <c r="F2" s="510" t="s">
        <v>102</v>
      </c>
      <c r="G2" s="511" t="s">
        <v>103</v>
      </c>
      <c r="H2" s="512" t="s">
        <v>104</v>
      </c>
      <c r="I2" s="555"/>
      <c r="J2" s="556" t="s">
        <v>105</v>
      </c>
      <c r="K2" s="555"/>
      <c r="L2" s="555"/>
      <c r="M2" s="557" t="s">
        <v>106</v>
      </c>
      <c r="N2" s="557" t="s">
        <v>107</v>
      </c>
      <c r="O2" s="557" t="s">
        <v>108</v>
      </c>
    </row>
    <row r="3" spans="1:15">
      <c r="A3" s="513"/>
      <c r="B3" s="513" t="s">
        <v>109</v>
      </c>
      <c r="C3" s="514"/>
      <c r="D3" s="514"/>
      <c r="E3" s="515" t="s">
        <v>110</v>
      </c>
      <c r="F3" s="516" t="s">
        <v>111</v>
      </c>
      <c r="G3" s="517"/>
      <c r="H3" s="518"/>
      <c r="I3" s="517"/>
      <c r="J3" s="558"/>
      <c r="K3" s="517"/>
      <c r="L3" s="517">
        <v>24</v>
      </c>
      <c r="M3" s="559"/>
      <c r="N3" s="559"/>
      <c r="O3" s="559"/>
    </row>
    <row r="4" ht="26.4" spans="1:15">
      <c r="A4" s="508" t="s">
        <v>48</v>
      </c>
      <c r="B4" s="508" t="s">
        <v>112</v>
      </c>
      <c r="C4" s="519" t="s">
        <v>113</v>
      </c>
      <c r="D4" s="519" t="s">
        <v>114</v>
      </c>
      <c r="E4" s="504" t="s">
        <v>115</v>
      </c>
      <c r="F4" s="520" t="s">
        <v>116</v>
      </c>
      <c r="G4" s="521" t="s">
        <v>103</v>
      </c>
      <c r="H4" s="522" t="s">
        <v>117</v>
      </c>
      <c r="I4" s="524"/>
      <c r="J4" s="556" t="s">
        <v>105</v>
      </c>
      <c r="K4" s="524"/>
      <c r="L4" s="524"/>
      <c r="M4" s="560" t="s">
        <v>118</v>
      </c>
      <c r="N4" s="560">
        <v>633000</v>
      </c>
      <c r="O4" s="560" t="s">
        <v>119</v>
      </c>
    </row>
    <row r="5" spans="1:15">
      <c r="A5" s="523"/>
      <c r="B5" s="523" t="s">
        <v>120</v>
      </c>
      <c r="C5" s="519"/>
      <c r="D5" s="519"/>
      <c r="F5" s="524"/>
      <c r="G5" s="524"/>
      <c r="H5" s="518"/>
      <c r="I5" s="517"/>
      <c r="J5" s="558"/>
      <c r="K5" s="517"/>
      <c r="L5" s="517">
        <v>21</v>
      </c>
      <c r="M5" s="559"/>
      <c r="N5" s="559"/>
      <c r="O5" s="559"/>
    </row>
    <row r="6" ht="26.4" spans="1:15">
      <c r="A6" s="525" t="s">
        <v>52</v>
      </c>
      <c r="B6" s="525" t="s">
        <v>121</v>
      </c>
      <c r="C6" s="526" t="s">
        <v>122</v>
      </c>
      <c r="D6" s="526" t="s">
        <v>123</v>
      </c>
      <c r="E6" s="527" t="s">
        <v>124</v>
      </c>
      <c r="F6" s="520" t="s">
        <v>125</v>
      </c>
      <c r="G6" s="528" t="s">
        <v>103</v>
      </c>
      <c r="H6" s="522" t="s">
        <v>126</v>
      </c>
      <c r="I6" s="524"/>
      <c r="J6" s="556" t="s">
        <v>105</v>
      </c>
      <c r="K6" s="524"/>
      <c r="L6" s="524"/>
      <c r="M6" s="560" t="s">
        <v>127</v>
      </c>
      <c r="N6" s="560" t="s">
        <v>128</v>
      </c>
      <c r="O6" s="560" t="s">
        <v>129</v>
      </c>
    </row>
    <row r="7" spans="1:15">
      <c r="A7" s="529"/>
      <c r="B7" s="529" t="s">
        <v>130</v>
      </c>
      <c r="C7" s="514"/>
      <c r="D7" s="514"/>
      <c r="E7" s="515"/>
      <c r="F7" s="517"/>
      <c r="G7" s="517"/>
      <c r="H7" s="518"/>
      <c r="I7" s="517"/>
      <c r="J7" s="558"/>
      <c r="K7" s="517"/>
      <c r="L7" s="517">
        <v>19</v>
      </c>
      <c r="M7" s="559"/>
      <c r="N7" s="559"/>
      <c r="O7" s="559"/>
    </row>
    <row r="8" spans="1:15">
      <c r="A8" s="530"/>
      <c r="B8" s="530"/>
      <c r="C8" s="531"/>
      <c r="D8" s="531"/>
      <c r="E8" s="532"/>
      <c r="F8" s="533"/>
      <c r="G8" s="534"/>
      <c r="H8" s="535"/>
      <c r="I8" s="534"/>
      <c r="J8" s="558"/>
      <c r="K8" s="517"/>
      <c r="L8" s="517"/>
      <c r="M8" s="559"/>
      <c r="N8" s="559"/>
      <c r="O8" s="559"/>
    </row>
    <row r="9" ht="26.4" spans="1:15">
      <c r="A9" s="525" t="s">
        <v>54</v>
      </c>
      <c r="B9" s="525" t="s">
        <v>131</v>
      </c>
      <c r="C9" s="526" t="s">
        <v>132</v>
      </c>
      <c r="D9" s="526" t="s">
        <v>133</v>
      </c>
      <c r="E9" s="527" t="s">
        <v>134</v>
      </c>
      <c r="F9" s="520" t="s">
        <v>135</v>
      </c>
      <c r="G9" s="521" t="s">
        <v>103</v>
      </c>
      <c r="H9" s="522" t="s">
        <v>136</v>
      </c>
      <c r="I9" s="524"/>
      <c r="J9" s="556" t="s">
        <v>105</v>
      </c>
      <c r="K9" s="524"/>
      <c r="L9" s="524"/>
      <c r="M9" s="560" t="s">
        <v>137</v>
      </c>
      <c r="N9" s="560" t="s">
        <v>138</v>
      </c>
      <c r="O9" s="560">
        <v>352588</v>
      </c>
    </row>
    <row r="10" spans="1:15">
      <c r="A10" s="529"/>
      <c r="B10" s="529" t="s">
        <v>139</v>
      </c>
      <c r="C10" s="514"/>
      <c r="D10" s="514"/>
      <c r="E10" s="515"/>
      <c r="F10" s="517"/>
      <c r="G10" s="517"/>
      <c r="H10" s="518"/>
      <c r="I10" s="517"/>
      <c r="J10" s="558"/>
      <c r="K10" s="517"/>
      <c r="L10" s="517">
        <v>23</v>
      </c>
      <c r="M10" s="559"/>
      <c r="N10" s="559"/>
      <c r="O10" s="559"/>
    </row>
    <row r="11" ht="26.4" spans="1:15">
      <c r="A11" s="508" t="s">
        <v>58</v>
      </c>
      <c r="B11" s="508" t="s">
        <v>140</v>
      </c>
      <c r="C11" s="519" t="s">
        <v>141</v>
      </c>
      <c r="D11" s="519" t="s">
        <v>142</v>
      </c>
      <c r="E11" s="504" t="s">
        <v>143</v>
      </c>
      <c r="F11" s="520" t="s">
        <v>144</v>
      </c>
      <c r="G11" s="521" t="s">
        <v>103</v>
      </c>
      <c r="H11" s="522" t="s">
        <v>145</v>
      </c>
      <c r="I11" s="524"/>
      <c r="J11" s="556" t="s">
        <v>105</v>
      </c>
      <c r="K11" s="524"/>
      <c r="L11" s="524"/>
      <c r="M11" s="560" t="s">
        <v>146</v>
      </c>
      <c r="N11" s="560">
        <v>633000</v>
      </c>
      <c r="O11" s="560" t="s">
        <v>147</v>
      </c>
    </row>
    <row r="12" spans="1:15">
      <c r="A12" s="523"/>
      <c r="B12" s="523" t="s">
        <v>148</v>
      </c>
      <c r="C12" s="519"/>
      <c r="D12" s="519"/>
      <c r="F12" s="517"/>
      <c r="G12" s="524"/>
      <c r="H12" s="518"/>
      <c r="I12" s="517"/>
      <c r="J12" s="558"/>
      <c r="K12" s="517"/>
      <c r="L12" s="517">
        <v>22</v>
      </c>
      <c r="M12" s="559"/>
      <c r="N12" s="559"/>
      <c r="O12" s="559"/>
    </row>
    <row r="13" ht="15.6" spans="1:15">
      <c r="A13" s="536"/>
      <c r="B13" s="536"/>
      <c r="C13" s="536"/>
      <c r="D13" s="536"/>
      <c r="E13" s="537"/>
      <c r="F13" s="534"/>
      <c r="G13" s="538"/>
      <c r="H13" s="536"/>
      <c r="I13" s="534"/>
      <c r="J13" s="558"/>
      <c r="K13" s="517"/>
      <c r="L13" s="517"/>
      <c r="M13" s="559"/>
      <c r="N13" s="559"/>
      <c r="O13" s="559"/>
    </row>
    <row r="14" ht="31.95" customHeight="1" spans="1:15">
      <c r="A14" s="508" t="s">
        <v>59</v>
      </c>
      <c r="B14" s="508" t="s">
        <v>149</v>
      </c>
      <c r="C14" s="539" t="s">
        <v>150</v>
      </c>
      <c r="D14" s="519" t="s">
        <v>151</v>
      </c>
      <c r="E14" s="504" t="s">
        <v>152</v>
      </c>
      <c r="F14" s="540" t="s">
        <v>153</v>
      </c>
      <c r="G14" s="541" t="s">
        <v>103</v>
      </c>
      <c r="H14" s="522" t="s">
        <v>154</v>
      </c>
      <c r="I14" s="561" t="s">
        <v>105</v>
      </c>
      <c r="J14" s="556" t="s">
        <v>105</v>
      </c>
      <c r="K14" s="524"/>
      <c r="L14" s="524"/>
      <c r="M14" s="560" t="s">
        <v>155</v>
      </c>
      <c r="N14" s="560" t="s">
        <v>128</v>
      </c>
      <c r="O14" s="560" t="s">
        <v>156</v>
      </c>
    </row>
    <row r="15" spans="1:15">
      <c r="A15" s="523"/>
      <c r="B15" s="523" t="s">
        <v>157</v>
      </c>
      <c r="C15" s="539"/>
      <c r="D15" s="539"/>
      <c r="F15" s="542"/>
      <c r="G15" s="517"/>
      <c r="H15" s="518"/>
      <c r="I15" s="517"/>
      <c r="J15" s="558"/>
      <c r="K15" s="517"/>
      <c r="L15" s="517">
        <v>27</v>
      </c>
      <c r="M15" s="559"/>
      <c r="N15" s="559"/>
      <c r="O15" s="559"/>
    </row>
    <row r="16" ht="31.95" customHeight="1" spans="1:15">
      <c r="A16" s="525" t="s">
        <v>60</v>
      </c>
      <c r="B16" s="525" t="s">
        <v>158</v>
      </c>
      <c r="C16" s="543" t="s">
        <v>159</v>
      </c>
      <c r="D16" s="526" t="s">
        <v>160</v>
      </c>
      <c r="E16" s="527" t="s">
        <v>161</v>
      </c>
      <c r="F16" s="544" t="s">
        <v>162</v>
      </c>
      <c r="G16" s="521" t="s">
        <v>103</v>
      </c>
      <c r="H16" s="522" t="s">
        <v>163</v>
      </c>
      <c r="I16" s="561" t="s">
        <v>105</v>
      </c>
      <c r="J16" s="556" t="s">
        <v>105</v>
      </c>
      <c r="K16" s="524"/>
      <c r="L16" s="524"/>
      <c r="M16" s="560" t="s">
        <v>164</v>
      </c>
      <c r="N16" s="560" t="s">
        <v>165</v>
      </c>
      <c r="O16" s="560" t="s">
        <v>166</v>
      </c>
    </row>
    <row r="17" ht="15.6" spans="1:15">
      <c r="A17" s="523"/>
      <c r="B17" s="523" t="s">
        <v>130</v>
      </c>
      <c r="C17" s="539"/>
      <c r="D17" s="539"/>
      <c r="E17" s="504" t="s">
        <v>167</v>
      </c>
      <c r="F17" s="545" t="s">
        <v>168</v>
      </c>
      <c r="G17" s="546"/>
      <c r="H17" s="518"/>
      <c r="I17" s="517"/>
      <c r="J17" s="558"/>
      <c r="K17" s="517"/>
      <c r="L17" s="517">
        <v>19</v>
      </c>
      <c r="M17" s="559"/>
      <c r="N17" s="559"/>
      <c r="O17" s="559"/>
    </row>
    <row r="18" ht="31.95" customHeight="1" spans="1:15">
      <c r="A18" s="525"/>
      <c r="B18" s="525" t="s">
        <v>169</v>
      </c>
      <c r="C18" s="543" t="s">
        <v>170</v>
      </c>
      <c r="D18" s="526" t="s">
        <v>171</v>
      </c>
      <c r="E18" s="547" t="s">
        <v>172</v>
      </c>
      <c r="F18" s="548"/>
      <c r="G18" s="521" t="s">
        <v>103</v>
      </c>
      <c r="H18" s="522" t="s">
        <v>173</v>
      </c>
      <c r="I18" s="561" t="s">
        <v>105</v>
      </c>
      <c r="K18" s="561" t="s">
        <v>105</v>
      </c>
      <c r="L18" s="561"/>
      <c r="M18" s="562"/>
      <c r="N18" s="562"/>
      <c r="O18" s="562"/>
    </row>
    <row r="19" spans="1:15">
      <c r="A19" s="523"/>
      <c r="B19" s="523" t="s">
        <v>174</v>
      </c>
      <c r="C19" s="549"/>
      <c r="D19" s="549"/>
      <c r="E19" s="515"/>
      <c r="F19" s="517"/>
      <c r="G19" s="517"/>
      <c r="H19" s="518"/>
      <c r="I19" s="524"/>
      <c r="J19" s="558"/>
      <c r="K19" s="517"/>
      <c r="L19" s="517">
        <v>15</v>
      </c>
      <c r="M19" s="517"/>
      <c r="N19" s="517"/>
      <c r="O19" s="517"/>
    </row>
    <row r="20" ht="15.6" spans="1:11">
      <c r="A20" s="536"/>
      <c r="B20" s="536"/>
      <c r="C20" s="536"/>
      <c r="D20" s="536"/>
      <c r="E20" s="537"/>
      <c r="F20" s="534"/>
      <c r="G20" s="534"/>
      <c r="H20" s="536"/>
      <c r="I20" s="534"/>
      <c r="J20" s="558"/>
      <c r="K20" s="517"/>
    </row>
    <row r="21" ht="31.95" customHeight="1" spans="2:11">
      <c r="B21" s="508" t="s">
        <v>175</v>
      </c>
      <c r="C21" s="519" t="s">
        <v>176</v>
      </c>
      <c r="D21" s="519" t="s">
        <v>177</v>
      </c>
      <c r="E21" s="550" t="s">
        <v>172</v>
      </c>
      <c r="F21" s="524"/>
      <c r="G21" s="527" t="s">
        <v>178</v>
      </c>
      <c r="H21" s="522" t="s">
        <v>179</v>
      </c>
      <c r="I21" s="561" t="s">
        <v>105</v>
      </c>
      <c r="K21" s="561" t="s">
        <v>105</v>
      </c>
    </row>
    <row r="22" spans="2:12">
      <c r="B22" s="523" t="s">
        <v>180</v>
      </c>
      <c r="C22" s="519"/>
      <c r="D22" s="519"/>
      <c r="F22" s="524"/>
      <c r="G22" s="517"/>
      <c r="H22" s="518"/>
      <c r="I22" s="517"/>
      <c r="J22" s="515"/>
      <c r="K22" s="517"/>
      <c r="L22" s="504">
        <v>26</v>
      </c>
    </row>
    <row r="23" ht="31.95" customHeight="1" spans="2:11">
      <c r="B23" s="525" t="s">
        <v>181</v>
      </c>
      <c r="C23" s="526" t="s">
        <v>182</v>
      </c>
      <c r="D23" s="526" t="s">
        <v>183</v>
      </c>
      <c r="E23" s="527" t="s">
        <v>184</v>
      </c>
      <c r="F23" s="551" t="s">
        <v>185</v>
      </c>
      <c r="G23" s="548" t="s">
        <v>186</v>
      </c>
      <c r="H23" s="522" t="s">
        <v>187</v>
      </c>
      <c r="I23" s="561" t="s">
        <v>105</v>
      </c>
      <c r="K23" s="561" t="s">
        <v>105</v>
      </c>
    </row>
    <row r="24" ht="15.6" spans="2:12">
      <c r="B24" s="529" t="s">
        <v>188</v>
      </c>
      <c r="C24" s="514"/>
      <c r="D24" s="514"/>
      <c r="E24" s="515" t="s">
        <v>186</v>
      </c>
      <c r="F24" s="552" t="s">
        <v>189</v>
      </c>
      <c r="G24" s="517"/>
      <c r="H24" s="518"/>
      <c r="I24" s="517"/>
      <c r="J24" s="517"/>
      <c r="K24" s="517"/>
      <c r="L24" s="504">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tabSelected="1" zoomScale="70" zoomScaleNormal="70" workbookViewId="0">
      <pane xSplit="1" topLeftCell="M1" activePane="topRight" state="frozen"/>
      <selection/>
      <selection pane="topRight" activeCell="AC6" sqref="AC6"/>
    </sheetView>
  </sheetViews>
  <sheetFormatPr defaultColWidth="10.8" defaultRowHeight="15.6"/>
  <cols>
    <col min="1" max="1" width="5.5" style="427" customWidth="1"/>
    <col min="2" max="2" width="10.8" style="428"/>
    <col min="3" max="3" width="14.5" style="428" customWidth="1"/>
    <col min="4" max="4" width="10.8" style="428"/>
    <col min="5" max="5" width="39.7" style="427" customWidth="1"/>
    <col min="6" max="6" width="29.8" style="427" customWidth="1"/>
    <col min="7" max="9" width="10.8" style="428"/>
    <col min="10" max="10" width="13" style="429" customWidth="1"/>
    <col min="11" max="11" width="13" style="430" customWidth="1"/>
    <col min="12" max="12" width="13" style="431" customWidth="1"/>
    <col min="13" max="13" width="10.8" style="428"/>
    <col min="14" max="14" width="10.8" style="432"/>
    <col min="15" max="19" width="10.8" style="426"/>
    <col min="20" max="20" width="17.8" style="433" customWidth="1"/>
    <col min="21" max="21" width="14.3" style="434" customWidth="1"/>
    <col min="22" max="22" width="29.7" style="435" customWidth="1"/>
    <col min="23" max="23" width="12" style="426" customWidth="1"/>
    <col min="24" max="24" width="11.8" style="436" customWidth="1"/>
    <col min="25" max="25" width="13.7" style="437" customWidth="1"/>
    <col min="26" max="27" width="10.8" style="426"/>
    <col min="28" max="28" width="29.2" style="426" customWidth="1"/>
    <col min="29" max="30" width="10.8" style="426"/>
    <col min="31" max="31" width="16.3" style="428" customWidth="1"/>
    <col min="32" max="16384" width="10.8" style="428"/>
  </cols>
  <sheetData>
    <row r="1" s="425" customFormat="1" ht="62.4" spans="1:26">
      <c r="A1" s="425" t="s">
        <v>190</v>
      </c>
      <c r="B1" s="425" t="s">
        <v>191</v>
      </c>
      <c r="C1" s="425" t="s">
        <v>192</v>
      </c>
      <c r="D1" s="425" t="s">
        <v>193</v>
      </c>
      <c r="E1" s="428" t="s">
        <v>194</v>
      </c>
      <c r="F1" s="425" t="s">
        <v>195</v>
      </c>
      <c r="G1" s="425" t="s">
        <v>196</v>
      </c>
      <c r="H1" s="425" t="s">
        <v>197</v>
      </c>
      <c r="I1" s="425" t="s">
        <v>198</v>
      </c>
      <c r="J1" s="425" t="s">
        <v>199</v>
      </c>
      <c r="K1" s="444" t="s">
        <v>200</v>
      </c>
      <c r="L1" s="445" t="s">
        <v>201</v>
      </c>
      <c r="M1" s="425" t="s">
        <v>202</v>
      </c>
      <c r="N1" s="445" t="s">
        <v>203</v>
      </c>
      <c r="O1" s="425" t="s">
        <v>204</v>
      </c>
      <c r="P1" s="425" t="s">
        <v>205</v>
      </c>
      <c r="Q1" s="425" t="s">
        <v>206</v>
      </c>
      <c r="R1" s="425" t="s">
        <v>207</v>
      </c>
      <c r="S1" s="425" t="s">
        <v>208</v>
      </c>
      <c r="T1" s="460" t="s">
        <v>209</v>
      </c>
      <c r="U1" s="460" t="s">
        <v>210</v>
      </c>
      <c r="V1" s="460" t="s">
        <v>211</v>
      </c>
      <c r="W1" s="425" t="s">
        <v>212</v>
      </c>
      <c r="X1" s="461" t="s">
        <v>213</v>
      </c>
      <c r="Y1" s="425" t="s">
        <v>214</v>
      </c>
      <c r="Z1" s="425" t="s">
        <v>215</v>
      </c>
    </row>
    <row r="2" s="426" customFormat="1" ht="17.4" spans="1:27">
      <c r="A2" s="347">
        <v>1</v>
      </c>
      <c r="B2" s="348" t="s">
        <v>44</v>
      </c>
      <c r="C2" s="352"/>
      <c r="D2" s="438" t="s">
        <v>216</v>
      </c>
      <c r="E2" s="428" t="s">
        <v>217</v>
      </c>
      <c r="F2" s="438" t="s">
        <v>218</v>
      </c>
      <c r="G2" s="428" t="s">
        <v>219</v>
      </c>
      <c r="H2" s="428" t="s">
        <v>220</v>
      </c>
      <c r="I2" s="428">
        <v>6286</v>
      </c>
      <c r="J2" s="446">
        <v>36</v>
      </c>
      <c r="K2" s="447">
        <v>0.036</v>
      </c>
      <c r="L2" s="431">
        <v>8.352</v>
      </c>
      <c r="M2" s="448"/>
      <c r="N2" s="426">
        <v>0</v>
      </c>
      <c r="P2" s="438" t="s">
        <v>221</v>
      </c>
      <c r="Q2" s="438" t="s">
        <v>222</v>
      </c>
      <c r="R2" s="462" t="s">
        <v>222</v>
      </c>
      <c r="S2" s="463" t="s">
        <v>223</v>
      </c>
      <c r="T2" s="426">
        <v>0</v>
      </c>
      <c r="U2" s="434">
        <v>0.72</v>
      </c>
      <c r="V2" s="426" t="s">
        <v>224</v>
      </c>
      <c r="W2" s="426" t="s">
        <v>225</v>
      </c>
      <c r="X2" s="464" t="s">
        <v>226</v>
      </c>
      <c r="Y2" s="437"/>
      <c r="Z2" s="426">
        <v>45292</v>
      </c>
      <c r="AA2" s="426" t="s">
        <v>227</v>
      </c>
    </row>
    <row r="3" s="426" customFormat="1" ht="17.4" spans="1:28">
      <c r="A3" s="347">
        <v>2</v>
      </c>
      <c r="B3" s="348" t="s">
        <v>44</v>
      </c>
      <c r="C3" s="352"/>
      <c r="D3" s="438" t="s">
        <v>216</v>
      </c>
      <c r="E3" s="428" t="s">
        <v>228</v>
      </c>
      <c r="F3" s="438" t="s">
        <v>229</v>
      </c>
      <c r="G3" s="428" t="s">
        <v>219</v>
      </c>
      <c r="H3" s="428" t="s">
        <v>220</v>
      </c>
      <c r="I3" s="428">
        <v>6286</v>
      </c>
      <c r="J3" s="446">
        <v>36</v>
      </c>
      <c r="K3" s="447">
        <v>0.036</v>
      </c>
      <c r="L3" s="431">
        <v>8.352</v>
      </c>
      <c r="M3" s="448"/>
      <c r="N3" s="432">
        <v>0</v>
      </c>
      <c r="P3" s="438" t="s">
        <v>221</v>
      </c>
      <c r="Q3" s="438" t="s">
        <v>222</v>
      </c>
      <c r="R3" s="462" t="s">
        <v>222</v>
      </c>
      <c r="S3" s="463" t="s">
        <v>223</v>
      </c>
      <c r="T3" s="426">
        <v>0</v>
      </c>
      <c r="U3" s="434">
        <v>0.72</v>
      </c>
      <c r="V3" s="426" t="s">
        <v>230</v>
      </c>
      <c r="X3" s="464" t="s">
        <v>231</v>
      </c>
      <c r="Y3" s="437"/>
      <c r="Z3" s="426">
        <v>45292</v>
      </c>
      <c r="AA3" s="426" t="s">
        <v>227</v>
      </c>
      <c r="AB3" s="465">
        <v>45792</v>
      </c>
    </row>
    <row r="4" s="426" customFormat="1" ht="17.4" spans="1:27">
      <c r="A4" s="347">
        <v>3</v>
      </c>
      <c r="B4" s="348" t="s">
        <v>44</v>
      </c>
      <c r="C4" s="349">
        <v>50002872</v>
      </c>
      <c r="D4" s="438" t="s">
        <v>216</v>
      </c>
      <c r="E4" t="s">
        <v>232</v>
      </c>
      <c r="F4" s="438" t="s">
        <v>233</v>
      </c>
      <c r="G4" s="428" t="s">
        <v>219</v>
      </c>
      <c r="H4" s="428" t="s">
        <v>220</v>
      </c>
      <c r="I4" s="428">
        <v>6286</v>
      </c>
      <c r="J4" s="446">
        <v>37</v>
      </c>
      <c r="K4" s="447">
        <v>0.037</v>
      </c>
      <c r="L4" s="431">
        <v>8.584</v>
      </c>
      <c r="M4" s="448"/>
      <c r="N4" s="432">
        <v>0</v>
      </c>
      <c r="P4" s="438" t="s">
        <v>221</v>
      </c>
      <c r="Q4" s="438" t="s">
        <v>222</v>
      </c>
      <c r="R4" s="462" t="s">
        <v>222</v>
      </c>
      <c r="S4" s="463" t="s">
        <v>234</v>
      </c>
      <c r="T4" s="426">
        <v>0</v>
      </c>
      <c r="U4" s="434">
        <v>0.72</v>
      </c>
      <c r="V4" s="426" t="s">
        <v>235</v>
      </c>
      <c r="X4" s="464" t="s">
        <v>236</v>
      </c>
      <c r="Y4" s="437"/>
      <c r="Z4" s="426">
        <v>45292</v>
      </c>
      <c r="AA4" s="426" t="s">
        <v>227</v>
      </c>
    </row>
    <row r="5" s="426" customFormat="1" ht="17.4" spans="1:27">
      <c r="A5" s="347">
        <v>4</v>
      </c>
      <c r="B5" s="348" t="s">
        <v>44</v>
      </c>
      <c r="C5" s="349">
        <v>50002869</v>
      </c>
      <c r="D5" s="438" t="s">
        <v>216</v>
      </c>
      <c r="E5" s="428" t="s">
        <v>237</v>
      </c>
      <c r="F5" s="438" t="s">
        <v>238</v>
      </c>
      <c r="G5" s="428" t="s">
        <v>219</v>
      </c>
      <c r="H5" s="428" t="s">
        <v>220</v>
      </c>
      <c r="I5" s="428">
        <v>6286</v>
      </c>
      <c r="J5" s="446">
        <v>38</v>
      </c>
      <c r="K5" s="447">
        <v>0.038</v>
      </c>
      <c r="L5" s="431">
        <v>8.816</v>
      </c>
      <c r="M5" s="448" t="s">
        <v>239</v>
      </c>
      <c r="N5" s="432">
        <v>8.816</v>
      </c>
      <c r="O5" s="448">
        <v>6.64</v>
      </c>
      <c r="P5" s="438" t="s">
        <v>221</v>
      </c>
      <c r="Q5" s="438" t="s">
        <v>221</v>
      </c>
      <c r="R5" s="462" t="s">
        <v>221</v>
      </c>
      <c r="S5" s="463" t="s">
        <v>234</v>
      </c>
      <c r="T5" s="426">
        <v>4.7808</v>
      </c>
      <c r="U5" s="434">
        <v>0.72</v>
      </c>
      <c r="V5" s="426" t="s">
        <v>240</v>
      </c>
      <c r="W5" s="426" t="s">
        <v>241</v>
      </c>
      <c r="X5" s="464" t="s">
        <v>242</v>
      </c>
      <c r="Y5" s="437"/>
      <c r="Z5" s="426">
        <v>45292</v>
      </c>
      <c r="AA5" s="426" t="s">
        <v>227</v>
      </c>
    </row>
    <row r="6" s="426" customFormat="1" ht="17.4" spans="1:27">
      <c r="A6" s="347">
        <v>5</v>
      </c>
      <c r="B6" s="348" t="s">
        <v>44</v>
      </c>
      <c r="C6" s="349">
        <v>50002879</v>
      </c>
      <c r="D6" s="438" t="s">
        <v>216</v>
      </c>
      <c r="E6" s="428" t="s">
        <v>243</v>
      </c>
      <c r="F6" s="438" t="s">
        <v>244</v>
      </c>
      <c r="G6" s="428" t="s">
        <v>219</v>
      </c>
      <c r="H6" s="428" t="s">
        <v>220</v>
      </c>
      <c r="I6" s="428">
        <v>6286</v>
      </c>
      <c r="J6" s="446">
        <v>39</v>
      </c>
      <c r="K6" s="447">
        <v>0.039</v>
      </c>
      <c r="L6" s="431">
        <v>9.048</v>
      </c>
      <c r="M6" s="448" t="s">
        <v>239</v>
      </c>
      <c r="N6" s="432">
        <v>9.048</v>
      </c>
      <c r="O6" s="448">
        <v>6.4</v>
      </c>
      <c r="P6" s="438" t="s">
        <v>221</v>
      </c>
      <c r="Q6" s="438" t="s">
        <v>221</v>
      </c>
      <c r="R6" s="462" t="s">
        <v>221</v>
      </c>
      <c r="S6" s="463" t="s">
        <v>234</v>
      </c>
      <c r="T6" s="426">
        <v>4.608</v>
      </c>
      <c r="U6" s="434">
        <v>0.72</v>
      </c>
      <c r="V6" s="426" t="s">
        <v>245</v>
      </c>
      <c r="W6" s="426" t="s">
        <v>246</v>
      </c>
      <c r="X6" s="464" t="s">
        <v>247</v>
      </c>
      <c r="Y6" s="437"/>
      <c r="Z6" s="426">
        <v>45292</v>
      </c>
      <c r="AA6" s="426" t="s">
        <v>227</v>
      </c>
    </row>
    <row r="7" s="426" customFormat="1" ht="17.4" spans="1:27">
      <c r="A7" s="347">
        <v>6</v>
      </c>
      <c r="B7" s="348" t="s">
        <v>44</v>
      </c>
      <c r="C7" s="349">
        <v>50002865</v>
      </c>
      <c r="D7" s="438" t="s">
        <v>216</v>
      </c>
      <c r="E7" s="428" t="s">
        <v>248</v>
      </c>
      <c r="F7" s="438" t="s">
        <v>249</v>
      </c>
      <c r="G7" s="428" t="s">
        <v>219</v>
      </c>
      <c r="H7" s="428" t="s">
        <v>220</v>
      </c>
      <c r="I7" s="428">
        <v>6286</v>
      </c>
      <c r="J7" s="446">
        <v>39</v>
      </c>
      <c r="K7" s="447">
        <v>0.039</v>
      </c>
      <c r="L7" s="431">
        <v>9.048</v>
      </c>
      <c r="M7" s="448" t="s">
        <v>250</v>
      </c>
      <c r="N7" s="432">
        <v>9.048</v>
      </c>
      <c r="O7" s="448">
        <v>10.88</v>
      </c>
      <c r="P7" s="438" t="s">
        <v>221</v>
      </c>
      <c r="Q7" s="438" t="s">
        <v>221</v>
      </c>
      <c r="R7" s="462" t="s">
        <v>221</v>
      </c>
      <c r="S7" s="463" t="s">
        <v>234</v>
      </c>
      <c r="T7" s="426">
        <v>7.8336</v>
      </c>
      <c r="U7" s="434">
        <v>0.72</v>
      </c>
      <c r="V7" s="426" t="s">
        <v>251</v>
      </c>
      <c r="W7" s="426" t="s">
        <v>252</v>
      </c>
      <c r="X7" s="464" t="s">
        <v>253</v>
      </c>
      <c r="Y7" s="437"/>
      <c r="Z7" s="426">
        <v>45292</v>
      </c>
      <c r="AA7" s="426" t="s">
        <v>227</v>
      </c>
    </row>
    <row r="8" s="426" customFormat="1" ht="17.4" spans="1:27">
      <c r="A8" s="347">
        <v>7</v>
      </c>
      <c r="B8" s="348" t="s">
        <v>44</v>
      </c>
      <c r="C8" s="352"/>
      <c r="D8" s="438" t="s">
        <v>216</v>
      </c>
      <c r="E8" s="428" t="s">
        <v>254</v>
      </c>
      <c r="F8" s="438" t="s">
        <v>255</v>
      </c>
      <c r="G8" s="428" t="s">
        <v>219</v>
      </c>
      <c r="H8" s="428" t="s">
        <v>220</v>
      </c>
      <c r="I8" s="428">
        <v>6286</v>
      </c>
      <c r="J8" s="446">
        <v>37</v>
      </c>
      <c r="K8" s="447">
        <v>0.037</v>
      </c>
      <c r="L8" s="431">
        <v>8.584</v>
      </c>
      <c r="M8" s="448"/>
      <c r="N8" s="432">
        <v>0</v>
      </c>
      <c r="O8" s="448"/>
      <c r="P8" s="438" t="s">
        <v>221</v>
      </c>
      <c r="Q8" s="438" t="s">
        <v>222</v>
      </c>
      <c r="R8" s="462" t="s">
        <v>222</v>
      </c>
      <c r="S8" s="463" t="s">
        <v>234</v>
      </c>
      <c r="T8" s="426">
        <v>0</v>
      </c>
      <c r="U8" s="434">
        <v>0.72</v>
      </c>
      <c r="V8" s="426" t="s">
        <v>256</v>
      </c>
      <c r="X8" s="464" t="s">
        <v>257</v>
      </c>
      <c r="Y8" s="437"/>
      <c r="Z8" s="426">
        <v>45292</v>
      </c>
      <c r="AA8" s="426" t="s">
        <v>227</v>
      </c>
    </row>
    <row r="9" s="426" customFormat="1" ht="17.4" spans="1:27">
      <c r="A9" s="347">
        <v>8</v>
      </c>
      <c r="B9" s="348" t="s">
        <v>44</v>
      </c>
      <c r="C9" s="349">
        <v>50002846</v>
      </c>
      <c r="D9" s="438" t="s">
        <v>216</v>
      </c>
      <c r="E9" s="428" t="s">
        <v>258</v>
      </c>
      <c r="F9" s="438" t="s">
        <v>259</v>
      </c>
      <c r="G9" s="428" t="s">
        <v>219</v>
      </c>
      <c r="H9" s="428" t="s">
        <v>220</v>
      </c>
      <c r="I9" s="428">
        <v>6286</v>
      </c>
      <c r="J9" s="446">
        <v>36</v>
      </c>
      <c r="K9" s="447">
        <v>0.036</v>
      </c>
      <c r="L9" s="431">
        <v>8.352</v>
      </c>
      <c r="M9" s="448" t="s">
        <v>239</v>
      </c>
      <c r="N9" s="432">
        <v>8.352</v>
      </c>
      <c r="O9" s="448">
        <v>6.6</v>
      </c>
      <c r="P9" s="438" t="s">
        <v>221</v>
      </c>
      <c r="Q9" s="438" t="s">
        <v>221</v>
      </c>
      <c r="R9" s="462" t="s">
        <v>221</v>
      </c>
      <c r="S9" s="463" t="s">
        <v>234</v>
      </c>
      <c r="T9" s="426">
        <v>4.752</v>
      </c>
      <c r="U9" s="434">
        <v>0.72</v>
      </c>
      <c r="V9" s="426" t="s">
        <v>260</v>
      </c>
      <c r="W9" s="426" t="s">
        <v>261</v>
      </c>
      <c r="X9" s="464" t="s">
        <v>262</v>
      </c>
      <c r="Y9" s="437"/>
      <c r="Z9" s="426">
        <v>45292</v>
      </c>
      <c r="AA9" s="426" t="s">
        <v>227</v>
      </c>
    </row>
    <row r="10" s="426" customFormat="1" ht="17.4" spans="1:27">
      <c r="A10" s="347">
        <v>9</v>
      </c>
      <c r="B10" s="348" t="s">
        <v>44</v>
      </c>
      <c r="C10" s="352"/>
      <c r="D10" s="438" t="s">
        <v>216</v>
      </c>
      <c r="E10" s="428" t="s">
        <v>263</v>
      </c>
      <c r="F10" s="438" t="s">
        <v>264</v>
      </c>
      <c r="G10" s="428" t="s">
        <v>219</v>
      </c>
      <c r="H10" s="428" t="s">
        <v>220</v>
      </c>
      <c r="I10" s="428">
        <v>6286</v>
      </c>
      <c r="J10" s="446">
        <v>36</v>
      </c>
      <c r="K10" s="447">
        <v>0.036</v>
      </c>
      <c r="L10" s="431">
        <v>8.352</v>
      </c>
      <c r="M10" s="448"/>
      <c r="N10" s="432">
        <v>0</v>
      </c>
      <c r="O10" s="448"/>
      <c r="P10" s="438" t="s">
        <v>221</v>
      </c>
      <c r="Q10" s="438" t="s">
        <v>222</v>
      </c>
      <c r="R10" s="462" t="s">
        <v>222</v>
      </c>
      <c r="S10" s="463" t="s">
        <v>234</v>
      </c>
      <c r="T10" s="426">
        <v>0</v>
      </c>
      <c r="U10" s="434">
        <v>0.72</v>
      </c>
      <c r="V10" s="426" t="s">
        <v>265</v>
      </c>
      <c r="X10" s="464" t="s">
        <v>266</v>
      </c>
      <c r="Y10" s="437"/>
      <c r="Z10" s="426">
        <v>45292</v>
      </c>
      <c r="AA10" s="426" t="s">
        <v>227</v>
      </c>
    </row>
    <row r="11" s="426" customFormat="1" ht="17.4" spans="1:27">
      <c r="A11" s="347">
        <v>10</v>
      </c>
      <c r="B11" s="348" t="s">
        <v>44</v>
      </c>
      <c r="C11" s="352"/>
      <c r="D11" s="438" t="s">
        <v>267</v>
      </c>
      <c r="E11" s="428" t="s">
        <v>268</v>
      </c>
      <c r="F11" s="438" t="s">
        <v>269</v>
      </c>
      <c r="G11" s="428" t="s">
        <v>219</v>
      </c>
      <c r="H11" s="428" t="s">
        <v>220</v>
      </c>
      <c r="I11" s="428">
        <v>6286</v>
      </c>
      <c r="J11" s="446">
        <v>53</v>
      </c>
      <c r="K11" s="447">
        <v>0.053</v>
      </c>
      <c r="L11" s="431">
        <v>12.296</v>
      </c>
      <c r="M11" s="448" t="s">
        <v>239</v>
      </c>
      <c r="N11" s="432">
        <v>12.296</v>
      </c>
      <c r="O11" s="448">
        <v>6.4</v>
      </c>
      <c r="P11" s="438" t="s">
        <v>221</v>
      </c>
      <c r="Q11" s="438" t="s">
        <v>221</v>
      </c>
      <c r="R11" s="462" t="s">
        <v>221</v>
      </c>
      <c r="S11" s="463" t="s">
        <v>234</v>
      </c>
      <c r="T11" s="426">
        <v>4.608</v>
      </c>
      <c r="U11" s="434">
        <v>0.72</v>
      </c>
      <c r="V11" s="426" t="s">
        <v>270</v>
      </c>
      <c r="X11" s="464" t="s">
        <v>271</v>
      </c>
      <c r="Y11" s="437"/>
      <c r="Z11" s="426">
        <v>45292</v>
      </c>
      <c r="AA11" s="426" t="s">
        <v>227</v>
      </c>
    </row>
    <row r="12" s="426" customFormat="1" ht="17.4" spans="1:27">
      <c r="A12" s="347">
        <v>11</v>
      </c>
      <c r="B12" s="348" t="s">
        <v>44</v>
      </c>
      <c r="C12" s="349">
        <v>50002848</v>
      </c>
      <c r="D12" s="438" t="s">
        <v>267</v>
      </c>
      <c r="E12" s="428" t="s">
        <v>272</v>
      </c>
      <c r="F12" s="438" t="s">
        <v>273</v>
      </c>
      <c r="G12" s="428" t="s">
        <v>219</v>
      </c>
      <c r="H12" s="428" t="s">
        <v>220</v>
      </c>
      <c r="I12" s="428">
        <v>6286</v>
      </c>
      <c r="J12" s="446">
        <v>52</v>
      </c>
      <c r="K12" s="447">
        <v>0.052</v>
      </c>
      <c r="L12" s="431">
        <v>12.064</v>
      </c>
      <c r="M12" s="448" t="s">
        <v>239</v>
      </c>
      <c r="N12" s="432">
        <v>12.064</v>
      </c>
      <c r="O12" s="448">
        <v>6.4</v>
      </c>
      <c r="P12" s="438" t="s">
        <v>221</v>
      </c>
      <c r="Q12" s="438" t="s">
        <v>221</v>
      </c>
      <c r="R12" s="462" t="s">
        <v>221</v>
      </c>
      <c r="S12" s="463" t="s">
        <v>234</v>
      </c>
      <c r="T12" s="426">
        <v>4.608</v>
      </c>
      <c r="U12" s="434">
        <v>0.72</v>
      </c>
      <c r="V12" s="426" t="s">
        <v>274</v>
      </c>
      <c r="X12" s="464" t="s">
        <v>275</v>
      </c>
      <c r="Y12" s="437"/>
      <c r="Z12" s="426">
        <v>45292</v>
      </c>
      <c r="AA12" s="426" t="s">
        <v>227</v>
      </c>
    </row>
    <row r="13" s="426" customFormat="1" ht="17.4" spans="1:27">
      <c r="A13" s="347">
        <v>12</v>
      </c>
      <c r="B13" s="348" t="s">
        <v>44</v>
      </c>
      <c r="C13" s="352"/>
      <c r="D13" s="438" t="s">
        <v>267</v>
      </c>
      <c r="E13" s="428" t="s">
        <v>276</v>
      </c>
      <c r="F13" s="438" t="s">
        <v>277</v>
      </c>
      <c r="G13" s="428" t="s">
        <v>219</v>
      </c>
      <c r="H13" s="428" t="s">
        <v>220</v>
      </c>
      <c r="I13" s="428">
        <v>6286</v>
      </c>
      <c r="J13" s="446">
        <v>52</v>
      </c>
      <c r="K13" s="447">
        <v>0.052</v>
      </c>
      <c r="L13" s="431">
        <v>12.064</v>
      </c>
      <c r="M13" s="448"/>
      <c r="N13" s="432">
        <v>0</v>
      </c>
      <c r="O13" s="448"/>
      <c r="P13" s="438" t="s">
        <v>221</v>
      </c>
      <c r="Q13" s="438" t="s">
        <v>222</v>
      </c>
      <c r="R13" s="462" t="s">
        <v>222</v>
      </c>
      <c r="S13" s="463" t="s">
        <v>223</v>
      </c>
      <c r="T13" s="426">
        <v>0</v>
      </c>
      <c r="U13" s="434">
        <v>0.72</v>
      </c>
      <c r="V13" s="426" t="s">
        <v>278</v>
      </c>
      <c r="W13" s="426" t="s">
        <v>279</v>
      </c>
      <c r="X13" s="464" t="s">
        <v>280</v>
      </c>
      <c r="Y13" s="437"/>
      <c r="Z13" s="426">
        <v>45292</v>
      </c>
      <c r="AA13" s="426" t="s">
        <v>227</v>
      </c>
    </row>
    <row r="14" s="426" customFormat="1" ht="17.4" spans="1:27">
      <c r="A14" s="347">
        <v>13</v>
      </c>
      <c r="B14" s="348" t="s">
        <v>44</v>
      </c>
      <c r="C14" s="349">
        <v>50002739</v>
      </c>
      <c r="D14" s="438" t="s">
        <v>267</v>
      </c>
      <c r="E14" s="428" t="s">
        <v>281</v>
      </c>
      <c r="F14" s="438" t="s">
        <v>282</v>
      </c>
      <c r="G14" s="428" t="s">
        <v>219</v>
      </c>
      <c r="H14" s="428" t="s">
        <v>220</v>
      </c>
      <c r="I14" s="428">
        <v>6286</v>
      </c>
      <c r="J14" s="446">
        <v>52</v>
      </c>
      <c r="K14" s="447">
        <v>0.052</v>
      </c>
      <c r="L14" s="431">
        <v>12.064</v>
      </c>
      <c r="M14" s="448" t="s">
        <v>283</v>
      </c>
      <c r="N14" s="432">
        <v>12.064</v>
      </c>
      <c r="O14" s="448">
        <v>12.8</v>
      </c>
      <c r="P14" s="438" t="s">
        <v>221</v>
      </c>
      <c r="Q14" s="438" t="s">
        <v>221</v>
      </c>
      <c r="R14" s="462" t="s">
        <v>221</v>
      </c>
      <c r="S14" s="463" t="s">
        <v>234</v>
      </c>
      <c r="T14" s="426">
        <v>9.216</v>
      </c>
      <c r="U14" s="434">
        <v>0.72</v>
      </c>
      <c r="V14" s="426" t="s">
        <v>284</v>
      </c>
      <c r="W14" s="426" t="s">
        <v>285</v>
      </c>
      <c r="X14" s="464" t="s">
        <v>102</v>
      </c>
      <c r="Y14" s="437"/>
      <c r="Z14" s="426">
        <v>45292</v>
      </c>
      <c r="AA14" s="426" t="s">
        <v>227</v>
      </c>
    </row>
    <row r="15" s="426" customFormat="1" ht="17.4" spans="1:27">
      <c r="A15" s="347">
        <v>14</v>
      </c>
      <c r="B15" s="348" t="s">
        <v>44</v>
      </c>
      <c r="C15" s="352"/>
      <c r="D15" s="438" t="s">
        <v>267</v>
      </c>
      <c r="E15" s="428" t="s">
        <v>286</v>
      </c>
      <c r="F15" s="438" t="s">
        <v>287</v>
      </c>
      <c r="G15" s="428" t="s">
        <v>219</v>
      </c>
      <c r="H15" s="428" t="s">
        <v>220</v>
      </c>
      <c r="I15" s="428">
        <v>6286</v>
      </c>
      <c r="J15" s="446">
        <v>52</v>
      </c>
      <c r="K15" s="447">
        <v>0.052</v>
      </c>
      <c r="L15" s="431">
        <v>12.064</v>
      </c>
      <c r="M15" s="448" t="s">
        <v>283</v>
      </c>
      <c r="N15" s="432">
        <v>12.064</v>
      </c>
      <c r="O15" s="448">
        <v>13.2</v>
      </c>
      <c r="P15" s="438" t="s">
        <v>221</v>
      </c>
      <c r="Q15" s="438" t="s">
        <v>221</v>
      </c>
      <c r="R15" s="462" t="s">
        <v>222</v>
      </c>
      <c r="S15" s="463" t="s">
        <v>223</v>
      </c>
      <c r="T15" s="426">
        <v>9.504</v>
      </c>
      <c r="U15" s="434">
        <v>0.72</v>
      </c>
      <c r="V15" s="426" t="s">
        <v>288</v>
      </c>
      <c r="W15" s="426" t="s">
        <v>289</v>
      </c>
      <c r="X15" s="464" t="s">
        <v>290</v>
      </c>
      <c r="Y15" s="437"/>
      <c r="Z15" s="426">
        <v>45292</v>
      </c>
      <c r="AA15" s="426" t="s">
        <v>227</v>
      </c>
    </row>
    <row r="16" s="426" customFormat="1" ht="17.4" spans="1:27">
      <c r="A16" s="347">
        <v>15</v>
      </c>
      <c r="B16" s="348" t="s">
        <v>44</v>
      </c>
      <c r="C16" s="374"/>
      <c r="D16" s="438" t="s">
        <v>267</v>
      </c>
      <c r="E16" s="428" t="s">
        <v>291</v>
      </c>
      <c r="F16" s="438" t="s">
        <v>292</v>
      </c>
      <c r="G16" s="428" t="s">
        <v>219</v>
      </c>
      <c r="H16" s="428" t="s">
        <v>220</v>
      </c>
      <c r="I16" s="428">
        <v>6286</v>
      </c>
      <c r="J16" s="446">
        <v>53</v>
      </c>
      <c r="K16" s="447">
        <v>0.053</v>
      </c>
      <c r="L16" s="431">
        <v>12.296</v>
      </c>
      <c r="M16" s="448"/>
      <c r="N16" s="432">
        <v>0</v>
      </c>
      <c r="O16" s="448"/>
      <c r="P16" s="438" t="s">
        <v>221</v>
      </c>
      <c r="Q16" s="438" t="s">
        <v>222</v>
      </c>
      <c r="R16" s="462" t="s">
        <v>222</v>
      </c>
      <c r="S16" s="463" t="s">
        <v>223</v>
      </c>
      <c r="T16" s="426">
        <v>0</v>
      </c>
      <c r="U16" s="434">
        <v>0.72</v>
      </c>
      <c r="V16" s="426" t="s">
        <v>293</v>
      </c>
      <c r="W16" s="426" t="s">
        <v>294</v>
      </c>
      <c r="X16" s="464" t="s">
        <v>295</v>
      </c>
      <c r="Y16" s="437"/>
      <c r="Z16" s="426">
        <v>45292</v>
      </c>
      <c r="AA16" s="426" t="s">
        <v>227</v>
      </c>
    </row>
    <row r="17" s="426" customFormat="1" ht="17.4" spans="1:27">
      <c r="A17" s="347">
        <v>16</v>
      </c>
      <c r="B17" s="348" t="s">
        <v>44</v>
      </c>
      <c r="C17" s="349">
        <v>50002855</v>
      </c>
      <c r="D17" s="438" t="s">
        <v>267</v>
      </c>
      <c r="E17" s="428" t="s">
        <v>296</v>
      </c>
      <c r="F17" s="438" t="s">
        <v>297</v>
      </c>
      <c r="G17" s="428" t="s">
        <v>219</v>
      </c>
      <c r="H17" s="428" t="s">
        <v>220</v>
      </c>
      <c r="I17" s="428">
        <v>6286</v>
      </c>
      <c r="J17" s="446">
        <v>55</v>
      </c>
      <c r="K17" s="447">
        <v>0.055</v>
      </c>
      <c r="L17" s="431">
        <v>12.76</v>
      </c>
      <c r="M17" s="448" t="s">
        <v>239</v>
      </c>
      <c r="N17" s="432">
        <v>12.76</v>
      </c>
      <c r="O17" s="448">
        <v>6.6</v>
      </c>
      <c r="P17" s="438" t="s">
        <v>221</v>
      </c>
      <c r="Q17" s="438" t="s">
        <v>221</v>
      </c>
      <c r="R17" s="462" t="s">
        <v>221</v>
      </c>
      <c r="S17" s="463" t="s">
        <v>234</v>
      </c>
      <c r="T17" s="426">
        <v>4.752</v>
      </c>
      <c r="U17" s="434">
        <v>0.72</v>
      </c>
      <c r="V17" s="426" t="s">
        <v>298</v>
      </c>
      <c r="X17" s="464" t="s">
        <v>299</v>
      </c>
      <c r="Y17" s="437"/>
      <c r="Z17" s="426">
        <v>45292</v>
      </c>
      <c r="AA17" s="426" t="s">
        <v>227</v>
      </c>
    </row>
    <row r="18" s="426" customFormat="1" ht="17.4" spans="1:27">
      <c r="A18" s="347">
        <v>17</v>
      </c>
      <c r="B18" s="348" t="s">
        <v>44</v>
      </c>
      <c r="C18" s="349">
        <v>50002877</v>
      </c>
      <c r="D18" s="438" t="s">
        <v>267</v>
      </c>
      <c r="E18" s="428" t="s">
        <v>300</v>
      </c>
      <c r="F18" s="438" t="s">
        <v>301</v>
      </c>
      <c r="G18" s="428" t="s">
        <v>219</v>
      </c>
      <c r="H18" s="428" t="s">
        <v>220</v>
      </c>
      <c r="I18" s="428">
        <v>6286</v>
      </c>
      <c r="J18" s="446">
        <v>55</v>
      </c>
      <c r="K18" s="447">
        <v>0.055</v>
      </c>
      <c r="L18" s="431">
        <v>12.76</v>
      </c>
      <c r="M18" s="448" t="s">
        <v>250</v>
      </c>
      <c r="N18" s="432">
        <v>12.76</v>
      </c>
      <c r="O18" s="448">
        <v>10.9</v>
      </c>
      <c r="P18" s="438" t="s">
        <v>221</v>
      </c>
      <c r="Q18" s="438" t="s">
        <v>221</v>
      </c>
      <c r="R18" s="462" t="s">
        <v>221</v>
      </c>
      <c r="S18" s="463" t="s">
        <v>234</v>
      </c>
      <c r="T18" s="426">
        <v>7.848</v>
      </c>
      <c r="U18" s="434">
        <v>0.72</v>
      </c>
      <c r="V18" s="426" t="s">
        <v>302</v>
      </c>
      <c r="W18" s="426" t="s">
        <v>303</v>
      </c>
      <c r="X18" s="464" t="s">
        <v>304</v>
      </c>
      <c r="Y18" s="437"/>
      <c r="Z18" s="426">
        <v>45292</v>
      </c>
      <c r="AA18" s="426" t="s">
        <v>227</v>
      </c>
    </row>
    <row r="19" s="426" customFormat="1" ht="17.4" spans="1:27">
      <c r="A19" s="347">
        <v>18</v>
      </c>
      <c r="B19" s="348" t="s">
        <v>44</v>
      </c>
      <c r="C19" s="352"/>
      <c r="D19" s="438" t="s">
        <v>267</v>
      </c>
      <c r="E19" s="428" t="s">
        <v>305</v>
      </c>
      <c r="F19" s="438" t="s">
        <v>306</v>
      </c>
      <c r="G19" s="428" t="s">
        <v>219</v>
      </c>
      <c r="H19" s="428" t="s">
        <v>220</v>
      </c>
      <c r="I19" s="428">
        <v>6286</v>
      </c>
      <c r="J19" s="446">
        <v>55</v>
      </c>
      <c r="K19" s="447">
        <v>0.055</v>
      </c>
      <c r="L19" s="431">
        <v>12.76</v>
      </c>
      <c r="M19" s="448"/>
      <c r="N19" s="432">
        <v>0</v>
      </c>
      <c r="O19" s="448"/>
      <c r="P19" s="438"/>
      <c r="Q19" s="438" t="s">
        <v>222</v>
      </c>
      <c r="R19" s="462" t="s">
        <v>222</v>
      </c>
      <c r="S19" s="463" t="s">
        <v>307</v>
      </c>
      <c r="T19" s="426">
        <v>0</v>
      </c>
      <c r="U19" s="434">
        <v>0.72</v>
      </c>
      <c r="V19" s="426" t="s">
        <v>308</v>
      </c>
      <c r="X19" s="464" t="s">
        <v>309</v>
      </c>
      <c r="Y19" s="437"/>
      <c r="Z19" s="426">
        <v>45292</v>
      </c>
      <c r="AA19" s="426" t="s">
        <v>227</v>
      </c>
    </row>
    <row r="20" s="426" customFormat="1" ht="17.4" spans="1:27">
      <c r="A20" s="347">
        <v>19</v>
      </c>
      <c r="B20" s="348" t="s">
        <v>44</v>
      </c>
      <c r="C20" s="349">
        <v>50002864</v>
      </c>
      <c r="D20" s="438" t="s">
        <v>267</v>
      </c>
      <c r="E20" s="428" t="s">
        <v>110</v>
      </c>
      <c r="F20" s="438" t="s">
        <v>310</v>
      </c>
      <c r="G20" s="428" t="s">
        <v>219</v>
      </c>
      <c r="H20" s="428" t="s">
        <v>220</v>
      </c>
      <c r="I20" s="428">
        <v>6286</v>
      </c>
      <c r="J20" s="446">
        <v>55</v>
      </c>
      <c r="K20" s="447">
        <v>0.055</v>
      </c>
      <c r="L20" s="431">
        <v>12.76</v>
      </c>
      <c r="M20" s="448" t="s">
        <v>283</v>
      </c>
      <c r="N20" s="432">
        <v>12.76</v>
      </c>
      <c r="O20" s="448">
        <v>12.8</v>
      </c>
      <c r="P20" s="438" t="s">
        <v>221</v>
      </c>
      <c r="Q20" s="438" t="s">
        <v>221</v>
      </c>
      <c r="R20" s="462" t="s">
        <v>221</v>
      </c>
      <c r="S20" s="463" t="s">
        <v>234</v>
      </c>
      <c r="T20" s="426">
        <v>9.216</v>
      </c>
      <c r="U20" s="434">
        <v>0.72</v>
      </c>
      <c r="V20" s="426" t="s">
        <v>311</v>
      </c>
      <c r="X20" s="464" t="s">
        <v>111</v>
      </c>
      <c r="Y20" s="437"/>
      <c r="Z20" s="426">
        <v>45292</v>
      </c>
      <c r="AA20" s="426" t="s">
        <v>227</v>
      </c>
    </row>
    <row r="21" s="426" customFormat="1" ht="17.4" spans="1:27">
      <c r="A21" s="347">
        <v>20</v>
      </c>
      <c r="B21" s="348" t="s">
        <v>44</v>
      </c>
      <c r="C21" s="349">
        <v>50002710</v>
      </c>
      <c r="D21" s="438" t="s">
        <v>312</v>
      </c>
      <c r="E21" s="428" t="s">
        <v>313</v>
      </c>
      <c r="F21" s="438" t="s">
        <v>314</v>
      </c>
      <c r="G21" s="428" t="s">
        <v>219</v>
      </c>
      <c r="H21" s="428" t="s">
        <v>220</v>
      </c>
      <c r="I21" s="428">
        <v>6286</v>
      </c>
      <c r="J21" s="446">
        <v>26</v>
      </c>
      <c r="K21" s="447">
        <v>0.026</v>
      </c>
      <c r="L21" s="431">
        <v>6.032</v>
      </c>
      <c r="M21" s="448" t="s">
        <v>239</v>
      </c>
      <c r="N21" s="432">
        <v>6.032</v>
      </c>
      <c r="O21" s="448">
        <v>6.4</v>
      </c>
      <c r="P21" s="438" t="s">
        <v>221</v>
      </c>
      <c r="Q21" s="438" t="s">
        <v>221</v>
      </c>
      <c r="R21" s="462" t="s">
        <v>221</v>
      </c>
      <c r="S21" s="463" t="s">
        <v>234</v>
      </c>
      <c r="T21" s="426">
        <v>4.608</v>
      </c>
      <c r="U21" s="434">
        <v>0.72</v>
      </c>
      <c r="V21" s="426" t="s">
        <v>315</v>
      </c>
      <c r="X21" s="464" t="s">
        <v>316</v>
      </c>
      <c r="Y21" s="437"/>
      <c r="Z21" s="426">
        <v>45292</v>
      </c>
      <c r="AA21" s="426" t="s">
        <v>227</v>
      </c>
    </row>
    <row r="22" s="426" customFormat="1" ht="17.4" spans="1:27">
      <c r="A22" s="347">
        <v>21</v>
      </c>
      <c r="B22" s="348" t="s">
        <v>44</v>
      </c>
      <c r="C22" s="349">
        <v>50002719</v>
      </c>
      <c r="D22" s="438" t="s">
        <v>312</v>
      </c>
      <c r="E22" s="428" t="s">
        <v>317</v>
      </c>
      <c r="F22" s="438" t="s">
        <v>318</v>
      </c>
      <c r="G22" s="428" t="s">
        <v>219</v>
      </c>
      <c r="H22" s="428" t="s">
        <v>220</v>
      </c>
      <c r="I22" s="428">
        <v>6286</v>
      </c>
      <c r="J22" s="446">
        <v>26</v>
      </c>
      <c r="K22" s="447">
        <v>0.026</v>
      </c>
      <c r="L22" s="431">
        <v>6.032</v>
      </c>
      <c r="M22" s="448" t="s">
        <v>239</v>
      </c>
      <c r="N22" s="432">
        <v>6.032</v>
      </c>
      <c r="O22" s="448">
        <v>6.4</v>
      </c>
      <c r="P22" s="438" t="s">
        <v>221</v>
      </c>
      <c r="Q22" s="438" t="s">
        <v>221</v>
      </c>
      <c r="R22" s="462" t="s">
        <v>221</v>
      </c>
      <c r="S22" s="463" t="s">
        <v>234</v>
      </c>
      <c r="T22" s="426">
        <v>4.608</v>
      </c>
      <c r="U22" s="434">
        <v>0.72</v>
      </c>
      <c r="V22" s="426" t="s">
        <v>319</v>
      </c>
      <c r="X22" s="464" t="s">
        <v>320</v>
      </c>
      <c r="Y22" s="437"/>
      <c r="Z22" s="426">
        <v>45292</v>
      </c>
      <c r="AA22" s="426" t="s">
        <v>227</v>
      </c>
    </row>
    <row r="23" s="426" customFormat="1" ht="17.4" spans="1:27">
      <c r="A23" s="347">
        <v>22</v>
      </c>
      <c r="B23" s="348" t="s">
        <v>44</v>
      </c>
      <c r="C23" s="349">
        <v>50002876</v>
      </c>
      <c r="D23" s="438" t="s">
        <v>312</v>
      </c>
      <c r="E23" s="428" t="s">
        <v>321</v>
      </c>
      <c r="F23" s="438" t="s">
        <v>322</v>
      </c>
      <c r="G23" s="428" t="s">
        <v>219</v>
      </c>
      <c r="H23" s="428" t="s">
        <v>220</v>
      </c>
      <c r="I23" s="428">
        <v>6286</v>
      </c>
      <c r="J23" s="446">
        <v>26</v>
      </c>
      <c r="K23" s="447">
        <v>0.026</v>
      </c>
      <c r="L23" s="431">
        <v>6.032</v>
      </c>
      <c r="M23" s="448" t="s">
        <v>239</v>
      </c>
      <c r="N23" s="432">
        <v>6.032</v>
      </c>
      <c r="O23" s="448">
        <v>6.4</v>
      </c>
      <c r="P23" s="438" t="s">
        <v>221</v>
      </c>
      <c r="Q23" s="438" t="s">
        <v>221</v>
      </c>
      <c r="R23" s="462" t="s">
        <v>221</v>
      </c>
      <c r="S23" s="463" t="s">
        <v>234</v>
      </c>
      <c r="T23" s="426">
        <v>4.608</v>
      </c>
      <c r="U23" s="434">
        <v>0.72</v>
      </c>
      <c r="V23" s="426" t="s">
        <v>323</v>
      </c>
      <c r="W23" s="426" t="s">
        <v>324</v>
      </c>
      <c r="X23" s="464" t="s">
        <v>325</v>
      </c>
      <c r="Y23" s="437"/>
      <c r="Z23" s="426">
        <v>45292</v>
      </c>
      <c r="AA23" s="426" t="s">
        <v>227</v>
      </c>
    </row>
    <row r="24" s="426" customFormat="1" ht="17.4" spans="1:27">
      <c r="A24" s="347">
        <v>23</v>
      </c>
      <c r="B24" s="348" t="s">
        <v>44</v>
      </c>
      <c r="C24" s="349">
        <v>50002860</v>
      </c>
      <c r="D24" s="438" t="s">
        <v>312</v>
      </c>
      <c r="E24" s="428" t="s">
        <v>326</v>
      </c>
      <c r="F24" s="438" t="s">
        <v>327</v>
      </c>
      <c r="G24" s="428" t="s">
        <v>219</v>
      </c>
      <c r="H24" s="428" t="s">
        <v>220</v>
      </c>
      <c r="I24" s="428">
        <v>6286</v>
      </c>
      <c r="J24" s="446">
        <v>26</v>
      </c>
      <c r="K24" s="447">
        <v>0.026</v>
      </c>
      <c r="L24" s="431">
        <v>6.032</v>
      </c>
      <c r="M24" s="448" t="s">
        <v>239</v>
      </c>
      <c r="N24" s="432">
        <v>6.032</v>
      </c>
      <c r="O24" s="448">
        <v>6.4</v>
      </c>
      <c r="P24" s="438" t="s">
        <v>221</v>
      </c>
      <c r="Q24" s="438" t="s">
        <v>221</v>
      </c>
      <c r="R24" s="462" t="s">
        <v>221</v>
      </c>
      <c r="S24" s="463" t="s">
        <v>234</v>
      </c>
      <c r="T24" s="426">
        <v>4.608</v>
      </c>
      <c r="U24" s="434">
        <v>0.72</v>
      </c>
      <c r="V24" s="426" t="s">
        <v>328</v>
      </c>
      <c r="X24" s="464" t="s">
        <v>329</v>
      </c>
      <c r="Y24" s="437"/>
      <c r="Z24" s="426">
        <v>45292</v>
      </c>
      <c r="AA24" s="426" t="s">
        <v>227</v>
      </c>
    </row>
    <row r="25" s="426" customFormat="1" ht="17.4" spans="1:27">
      <c r="A25" s="347">
        <v>24</v>
      </c>
      <c r="B25" s="348" t="s">
        <v>44</v>
      </c>
      <c r="C25" s="352"/>
      <c r="D25" s="438" t="s">
        <v>312</v>
      </c>
      <c r="E25" s="428" t="s">
        <v>330</v>
      </c>
      <c r="F25" s="438" t="s">
        <v>331</v>
      </c>
      <c r="G25" s="428" t="s">
        <v>219</v>
      </c>
      <c r="H25" s="428" t="s">
        <v>220</v>
      </c>
      <c r="I25" s="428">
        <v>6286</v>
      </c>
      <c r="J25" s="446">
        <v>28</v>
      </c>
      <c r="K25" s="447">
        <v>0.028</v>
      </c>
      <c r="L25" s="431">
        <v>6.496</v>
      </c>
      <c r="M25" s="448"/>
      <c r="N25" s="432">
        <v>0</v>
      </c>
      <c r="P25" s="438" t="s">
        <v>221</v>
      </c>
      <c r="Q25" s="438" t="s">
        <v>222</v>
      </c>
      <c r="R25" s="462" t="s">
        <v>222</v>
      </c>
      <c r="S25" s="463" t="s">
        <v>223</v>
      </c>
      <c r="T25" s="426">
        <v>0</v>
      </c>
      <c r="U25" s="434">
        <v>0.72</v>
      </c>
      <c r="V25" s="426" t="s">
        <v>332</v>
      </c>
      <c r="X25" s="464" t="s">
        <v>333</v>
      </c>
      <c r="Y25" s="437"/>
      <c r="Z25" s="426">
        <v>45292</v>
      </c>
      <c r="AA25" s="426" t="s">
        <v>227</v>
      </c>
    </row>
    <row r="26" s="426" customFormat="1" ht="18" spans="1:25">
      <c r="A26" s="355" t="s">
        <v>334</v>
      </c>
      <c r="B26" s="348" t="s">
        <v>44</v>
      </c>
      <c r="C26" s="352">
        <v>40002686</v>
      </c>
      <c r="D26" s="428"/>
      <c r="E26" s="427" t="s">
        <v>335</v>
      </c>
      <c r="F26" s="439"/>
      <c r="G26" s="428"/>
      <c r="H26" s="428"/>
      <c r="I26" s="428"/>
      <c r="J26" s="449">
        <v>1000</v>
      </c>
      <c r="K26" s="430">
        <v>1</v>
      </c>
      <c r="L26" s="431"/>
      <c r="M26" s="428"/>
      <c r="N26" s="432">
        <v>0</v>
      </c>
      <c r="T26" s="433">
        <v>0</v>
      </c>
      <c r="U26" s="434">
        <v>0.72</v>
      </c>
      <c r="V26" s="435"/>
      <c r="X26" s="436"/>
      <c r="Y26" s="437"/>
    </row>
    <row r="27" s="426" customFormat="1" ht="17.4" spans="1:25">
      <c r="A27" s="347" t="s">
        <v>336</v>
      </c>
      <c r="B27" s="348" t="s">
        <v>44</v>
      </c>
      <c r="C27" s="352">
        <v>40002693</v>
      </c>
      <c r="D27" s="428" t="s">
        <v>337</v>
      </c>
      <c r="E27" s="428" t="s">
        <v>338</v>
      </c>
      <c r="F27" s="428"/>
      <c r="G27" s="428" t="s">
        <v>219</v>
      </c>
      <c r="H27" s="428" t="s">
        <v>220</v>
      </c>
      <c r="I27" s="428">
        <v>6286</v>
      </c>
      <c r="J27" s="446"/>
      <c r="K27" s="447">
        <v>0</v>
      </c>
      <c r="L27" s="431">
        <v>0</v>
      </c>
      <c r="M27" s="428"/>
      <c r="N27" s="432">
        <v>0</v>
      </c>
      <c r="P27" s="438" t="s">
        <v>221</v>
      </c>
      <c r="Q27" s="438" t="s">
        <v>222</v>
      </c>
      <c r="R27" s="428" t="s">
        <v>221</v>
      </c>
      <c r="S27" s="428"/>
      <c r="T27" s="426">
        <v>0</v>
      </c>
      <c r="U27" s="434">
        <v>0.72</v>
      </c>
      <c r="X27" s="464"/>
      <c r="Y27" s="437"/>
    </row>
    <row r="28" s="426" customFormat="1" ht="17.4" spans="1:25">
      <c r="A28" s="347" t="s">
        <v>339</v>
      </c>
      <c r="B28" s="348" t="s">
        <v>44</v>
      </c>
      <c r="C28" s="352"/>
      <c r="D28" s="428" t="s">
        <v>337</v>
      </c>
      <c r="E28" s="428" t="s">
        <v>340</v>
      </c>
      <c r="F28" s="428"/>
      <c r="G28" s="428" t="s">
        <v>219</v>
      </c>
      <c r="H28" s="428" t="s">
        <v>220</v>
      </c>
      <c r="I28" s="428">
        <v>6286</v>
      </c>
      <c r="J28" s="450"/>
      <c r="K28" s="451">
        <v>0</v>
      </c>
      <c r="L28" s="431">
        <v>0</v>
      </c>
      <c r="M28" s="428"/>
      <c r="N28" s="432">
        <v>0</v>
      </c>
      <c r="P28" s="438" t="s">
        <v>221</v>
      </c>
      <c r="Q28" s="438" t="s">
        <v>222</v>
      </c>
      <c r="R28" s="428" t="s">
        <v>221</v>
      </c>
      <c r="S28" s="428"/>
      <c r="T28" s="426">
        <v>0</v>
      </c>
      <c r="U28" s="434">
        <v>0.72</v>
      </c>
      <c r="X28" s="464"/>
      <c r="Y28" s="437"/>
    </row>
    <row r="29" s="426" customFormat="1" ht="18" spans="1:25">
      <c r="A29" s="360" t="s">
        <v>341</v>
      </c>
      <c r="B29" s="348" t="s">
        <v>44</v>
      </c>
      <c r="C29" s="375"/>
      <c r="D29" s="428"/>
      <c r="E29" s="427"/>
      <c r="F29" s="427"/>
      <c r="G29" s="428"/>
      <c r="H29" s="428"/>
      <c r="I29" s="428"/>
      <c r="J29" s="429"/>
      <c r="K29" s="430">
        <v>0</v>
      </c>
      <c r="L29" s="431"/>
      <c r="M29" s="428"/>
      <c r="N29" s="432">
        <v>0</v>
      </c>
      <c r="T29" s="433">
        <v>0</v>
      </c>
      <c r="U29" s="434"/>
      <c r="V29" s="435"/>
      <c r="X29" s="436"/>
      <c r="Y29" s="437"/>
    </row>
    <row r="30" s="426" customFormat="1" ht="18" spans="1:25">
      <c r="A30" s="361" t="s">
        <v>342</v>
      </c>
      <c r="B30" s="348" t="s">
        <v>44</v>
      </c>
      <c r="C30" s="375"/>
      <c r="D30" s="428"/>
      <c r="E30" s="427"/>
      <c r="F30" s="427"/>
      <c r="G30" s="428"/>
      <c r="H30" s="428"/>
      <c r="I30" s="428"/>
      <c r="J30" s="429"/>
      <c r="K30" s="430">
        <v>0</v>
      </c>
      <c r="L30" s="431"/>
      <c r="M30" s="428"/>
      <c r="N30" s="432">
        <v>0</v>
      </c>
      <c r="T30" s="433">
        <v>0</v>
      </c>
      <c r="U30" s="434"/>
      <c r="V30" s="435"/>
      <c r="X30" s="436"/>
      <c r="Y30" s="437"/>
    </row>
    <row r="31" s="426" customFormat="1" ht="17.4" spans="1:25">
      <c r="A31" s="347">
        <v>1</v>
      </c>
      <c r="B31" s="348" t="s">
        <v>48</v>
      </c>
      <c r="C31" s="362">
        <v>50003409</v>
      </c>
      <c r="D31" s="428" t="s">
        <v>216</v>
      </c>
      <c r="E31" s="428" t="s">
        <v>343</v>
      </c>
      <c r="F31" s="428" t="s">
        <v>344</v>
      </c>
      <c r="G31" s="428" t="s">
        <v>219</v>
      </c>
      <c r="H31" s="428" t="s">
        <v>220</v>
      </c>
      <c r="I31" s="428">
        <v>6286</v>
      </c>
      <c r="J31" s="446">
        <v>42</v>
      </c>
      <c r="K31" s="447">
        <f>Table_Household_Alloc[[#This Row],[Unit Entitlement]]/1000</f>
        <v>0.042</v>
      </c>
      <c r="L31" s="431">
        <f t="shared" ref="L31:L54" si="0">(J31/1000)*232</f>
        <v>9.744</v>
      </c>
      <c r="M31" s="452" t="s">
        <v>239</v>
      </c>
      <c r="N31" s="432">
        <f>IF(Table_Household_Alloc[[#This Row],[PV Installed]]="Y",1,0)*Table_Household_Alloc[[#This Row],[Calculated Battery Allocation (kWh)]]</f>
        <v>9.744</v>
      </c>
      <c r="O31" s="426">
        <v>5</v>
      </c>
      <c r="P31" s="426" t="s">
        <v>221</v>
      </c>
      <c r="Q31" s="426" t="s">
        <v>221</v>
      </c>
      <c r="R31" s="426" t="s">
        <v>221</v>
      </c>
      <c r="S31" s="426" t="s">
        <v>234</v>
      </c>
      <c r="U31" s="434"/>
      <c r="X31" s="464"/>
      <c r="Y31" s="437"/>
    </row>
    <row r="32" s="426" customFormat="1" ht="17.4" spans="1:25">
      <c r="A32" s="347">
        <v>2</v>
      </c>
      <c r="B32" s="348" t="s">
        <v>48</v>
      </c>
      <c r="C32" s="362">
        <v>50003436</v>
      </c>
      <c r="D32" s="428" t="s">
        <v>216</v>
      </c>
      <c r="E32" s="428" t="s">
        <v>345</v>
      </c>
      <c r="F32" s="428" t="s">
        <v>346</v>
      </c>
      <c r="G32" s="428" t="s">
        <v>219</v>
      </c>
      <c r="H32" s="428" t="s">
        <v>220</v>
      </c>
      <c r="I32" s="428">
        <v>6286</v>
      </c>
      <c r="J32" s="446">
        <v>43</v>
      </c>
      <c r="K32" s="447">
        <f>Table_Household_Alloc[[#This Row],[Unit Entitlement]]/1000</f>
        <v>0.043</v>
      </c>
      <c r="L32" s="431">
        <f t="shared" si="0"/>
        <v>9.976</v>
      </c>
      <c r="M32" s="452" t="s">
        <v>250</v>
      </c>
      <c r="N32" s="432">
        <f>IF(Table_Household_Alloc[[#This Row],[PV Installed]]="Y",1,0)*Table_Household_Alloc[[#This Row],[Calculated Battery Allocation (kWh)]]</f>
        <v>9.976</v>
      </c>
      <c r="O32" s="426">
        <v>8.2</v>
      </c>
      <c r="P32" s="426" t="s">
        <v>221</v>
      </c>
      <c r="Q32" s="426" t="s">
        <v>221</v>
      </c>
      <c r="R32" s="426" t="s">
        <v>221</v>
      </c>
      <c r="S32" s="426" t="s">
        <v>234</v>
      </c>
      <c r="U32" s="434"/>
      <c r="X32" s="464"/>
      <c r="Y32" s="437"/>
    </row>
    <row r="33" s="426" customFormat="1" ht="17.4" spans="1:25">
      <c r="A33" s="347">
        <v>3</v>
      </c>
      <c r="B33" s="348" t="s">
        <v>48</v>
      </c>
      <c r="C33" s="362">
        <v>50004064</v>
      </c>
      <c r="D33" s="428" t="s">
        <v>216</v>
      </c>
      <c r="E33" s="428" t="s">
        <v>347</v>
      </c>
      <c r="F33" s="428" t="s">
        <v>348</v>
      </c>
      <c r="G33" s="428" t="s">
        <v>219</v>
      </c>
      <c r="H33" s="428" t="s">
        <v>220</v>
      </c>
      <c r="I33" s="428">
        <v>6286</v>
      </c>
      <c r="J33" s="446">
        <v>43</v>
      </c>
      <c r="K33" s="447">
        <f>Table_Household_Alloc[[#This Row],[Unit Entitlement]]/1000</f>
        <v>0.043</v>
      </c>
      <c r="L33" s="431">
        <f t="shared" si="0"/>
        <v>9.976</v>
      </c>
      <c r="M33" s="452" t="s">
        <v>239</v>
      </c>
      <c r="N33" s="432">
        <f>IF(Table_Household_Alloc[[#This Row],[PV Installed]]="Y",1,0)*Table_Household_Alloc[[#This Row],[Calculated Battery Allocation (kWh)]]</f>
        <v>9.976</v>
      </c>
      <c r="O33" s="426">
        <v>5</v>
      </c>
      <c r="P33" s="426" t="s">
        <v>221</v>
      </c>
      <c r="Q33" s="426" t="s">
        <v>221</v>
      </c>
      <c r="R33" s="426" t="s">
        <v>221</v>
      </c>
      <c r="S33" s="426" t="s">
        <v>234</v>
      </c>
      <c r="U33" s="434"/>
      <c r="X33" s="464"/>
      <c r="Y33" s="437"/>
    </row>
    <row r="34" s="426" customFormat="1" ht="17.4" spans="1:25">
      <c r="A34" s="347">
        <v>4</v>
      </c>
      <c r="B34" s="348" t="s">
        <v>48</v>
      </c>
      <c r="C34" s="362">
        <v>50003414</v>
      </c>
      <c r="D34" s="428" t="s">
        <v>216</v>
      </c>
      <c r="E34" s="428" t="s">
        <v>349</v>
      </c>
      <c r="F34" s="428" t="s">
        <v>350</v>
      </c>
      <c r="G34" s="428" t="s">
        <v>219</v>
      </c>
      <c r="H34" s="428" t="s">
        <v>220</v>
      </c>
      <c r="I34" s="428">
        <v>6286</v>
      </c>
      <c r="J34" s="446">
        <v>45</v>
      </c>
      <c r="K34" s="447">
        <f>Table_Household_Alloc[[#This Row],[Unit Entitlement]]/1000</f>
        <v>0.045</v>
      </c>
      <c r="L34" s="431">
        <f t="shared" si="0"/>
        <v>10.44</v>
      </c>
      <c r="M34" s="452" t="s">
        <v>239</v>
      </c>
      <c r="N34" s="432">
        <f>IF(Table_Household_Alloc[[#This Row],[PV Installed]]="Y",1,0)*Table_Household_Alloc[[#This Row],[Calculated Battery Allocation (kWh)]]</f>
        <v>10.44</v>
      </c>
      <c r="O34" s="426">
        <v>5</v>
      </c>
      <c r="P34" s="426" t="s">
        <v>221</v>
      </c>
      <c r="Q34" s="426" t="s">
        <v>221</v>
      </c>
      <c r="R34" s="426" t="s">
        <v>221</v>
      </c>
      <c r="S34" s="426" t="s">
        <v>234</v>
      </c>
      <c r="U34" s="434"/>
      <c r="X34" s="464"/>
      <c r="Y34" s="437"/>
    </row>
    <row r="35" s="426" customFormat="1" ht="17.4" spans="1:25">
      <c r="A35" s="347">
        <v>5</v>
      </c>
      <c r="B35" s="348" t="s">
        <v>48</v>
      </c>
      <c r="C35" s="362">
        <v>50003389</v>
      </c>
      <c r="D35" s="428" t="s">
        <v>216</v>
      </c>
      <c r="E35" s="428" t="s">
        <v>351</v>
      </c>
      <c r="F35" s="428" t="s">
        <v>352</v>
      </c>
      <c r="G35" s="428" t="s">
        <v>219</v>
      </c>
      <c r="H35" s="428" t="s">
        <v>220</v>
      </c>
      <c r="I35" s="428">
        <v>6286</v>
      </c>
      <c r="J35" s="446">
        <v>46</v>
      </c>
      <c r="K35" s="447">
        <f>Table_Household_Alloc[[#This Row],[Unit Entitlement]]/1000</f>
        <v>0.046</v>
      </c>
      <c r="L35" s="431">
        <f t="shared" si="0"/>
        <v>10.672</v>
      </c>
      <c r="M35" s="452" t="s">
        <v>250</v>
      </c>
      <c r="N35" s="432">
        <f>IF(Table_Household_Alloc[[#This Row],[PV Installed]]="Y",1,0)*Table_Household_Alloc[[#This Row],[Calculated Battery Allocation (kWh)]]</f>
        <v>10.672</v>
      </c>
      <c r="O35" s="426">
        <v>8.2</v>
      </c>
      <c r="P35" s="426" t="s">
        <v>221</v>
      </c>
      <c r="Q35" s="426" t="s">
        <v>221</v>
      </c>
      <c r="R35" s="426" t="s">
        <v>221</v>
      </c>
      <c r="S35" s="426" t="s">
        <v>234</v>
      </c>
      <c r="U35" s="434"/>
      <c r="X35" s="464"/>
      <c r="Y35" s="437"/>
    </row>
    <row r="36" s="426" customFormat="1" ht="17.4" spans="1:25">
      <c r="A36" s="347">
        <v>6</v>
      </c>
      <c r="B36" s="348" t="s">
        <v>48</v>
      </c>
      <c r="C36" s="362">
        <v>50002969</v>
      </c>
      <c r="D36" s="428" t="s">
        <v>216</v>
      </c>
      <c r="E36" s="428" t="s">
        <v>353</v>
      </c>
      <c r="F36" s="428" t="s">
        <v>354</v>
      </c>
      <c r="G36" s="428" t="s">
        <v>219</v>
      </c>
      <c r="H36" s="428" t="s">
        <v>220</v>
      </c>
      <c r="I36" s="428">
        <v>6286</v>
      </c>
      <c r="J36" s="446">
        <v>50</v>
      </c>
      <c r="K36" s="447">
        <f>Table_Household_Alloc[[#This Row],[Unit Entitlement]]/1000</f>
        <v>0.05</v>
      </c>
      <c r="L36" s="431">
        <f t="shared" si="0"/>
        <v>11.6</v>
      </c>
      <c r="M36" s="452" t="s">
        <v>250</v>
      </c>
      <c r="N36" s="432">
        <f>IF(Table_Household_Alloc[[#This Row],[PV Installed]]="Y",1,0)*Table_Household_Alloc[[#This Row],[Calculated Battery Allocation (kWh)]]</f>
        <v>11.6</v>
      </c>
      <c r="O36" s="426">
        <v>8.2</v>
      </c>
      <c r="P36" s="426" t="s">
        <v>221</v>
      </c>
      <c r="Q36" s="426" t="s">
        <v>221</v>
      </c>
      <c r="R36" s="426" t="s">
        <v>221</v>
      </c>
      <c r="S36" s="426" t="s">
        <v>234</v>
      </c>
      <c r="U36" s="434"/>
      <c r="X36" s="464"/>
      <c r="Y36" s="437"/>
    </row>
    <row r="37" s="426" customFormat="1" ht="17.4" spans="1:25">
      <c r="A37" s="347">
        <v>7</v>
      </c>
      <c r="B37" s="348" t="s">
        <v>48</v>
      </c>
      <c r="C37" s="362">
        <v>50002951</v>
      </c>
      <c r="D37" s="428" t="s">
        <v>216</v>
      </c>
      <c r="E37" s="428" t="s">
        <v>355</v>
      </c>
      <c r="F37" s="428" t="s">
        <v>356</v>
      </c>
      <c r="G37" s="428" t="s">
        <v>219</v>
      </c>
      <c r="H37" s="428" t="s">
        <v>220</v>
      </c>
      <c r="I37" s="428">
        <v>6286</v>
      </c>
      <c r="J37" s="446">
        <v>52</v>
      </c>
      <c r="K37" s="447">
        <f>Table_Household_Alloc[[#This Row],[Unit Entitlement]]/1000</f>
        <v>0.052</v>
      </c>
      <c r="L37" s="431">
        <f t="shared" si="0"/>
        <v>12.064</v>
      </c>
      <c r="M37" s="452" t="s">
        <v>239</v>
      </c>
      <c r="N37" s="432">
        <f>IF(Table_Household_Alloc[[#This Row],[PV Installed]]="Y",1,0)*Table_Household_Alloc[[#This Row],[Calculated Battery Allocation (kWh)]]</f>
        <v>12.064</v>
      </c>
      <c r="O37" s="426">
        <v>5</v>
      </c>
      <c r="P37" s="426" t="s">
        <v>221</v>
      </c>
      <c r="Q37" s="426" t="s">
        <v>221</v>
      </c>
      <c r="R37" s="426" t="s">
        <v>221</v>
      </c>
      <c r="S37" s="426" t="s">
        <v>234</v>
      </c>
      <c r="U37" s="434"/>
      <c r="X37" s="464"/>
      <c r="Y37" s="437"/>
    </row>
    <row r="38" s="426" customFormat="1" ht="17.4" spans="1:25">
      <c r="A38" s="347">
        <v>8</v>
      </c>
      <c r="B38" s="348" t="s">
        <v>48</v>
      </c>
      <c r="C38" s="362">
        <v>50002959</v>
      </c>
      <c r="D38" s="428" t="s">
        <v>267</v>
      </c>
      <c r="E38" s="428" t="s">
        <v>357</v>
      </c>
      <c r="F38" s="428" t="s">
        <v>358</v>
      </c>
      <c r="G38" s="428" t="s">
        <v>219</v>
      </c>
      <c r="H38" s="428" t="s">
        <v>220</v>
      </c>
      <c r="I38" s="428">
        <v>6286</v>
      </c>
      <c r="J38" s="446">
        <v>69</v>
      </c>
      <c r="K38" s="447">
        <f>Table_Household_Alloc[[#This Row],[Unit Entitlement]]/1000</f>
        <v>0.069</v>
      </c>
      <c r="L38" s="431">
        <f t="shared" si="0"/>
        <v>16.008</v>
      </c>
      <c r="M38" s="452" t="s">
        <v>359</v>
      </c>
      <c r="N38" s="432">
        <f>IF(Table_Household_Alloc[[#This Row],[PV Installed]]="Y",1,0)*Table_Household_Alloc[[#This Row],[Calculated Battery Allocation (kWh)]]</f>
        <v>16.008</v>
      </c>
      <c r="O38" s="426">
        <v>6</v>
      </c>
      <c r="P38" s="426" t="s">
        <v>221</v>
      </c>
      <c r="Q38" s="426" t="s">
        <v>221</v>
      </c>
      <c r="R38" s="426" t="s">
        <v>221</v>
      </c>
      <c r="S38" s="426" t="s">
        <v>234</v>
      </c>
      <c r="U38" s="434"/>
      <c r="X38" s="464"/>
      <c r="Y38" s="437"/>
    </row>
    <row r="39" s="426" customFormat="1" ht="17.4" spans="1:25">
      <c r="A39" s="347">
        <v>9</v>
      </c>
      <c r="B39" s="348" t="s">
        <v>48</v>
      </c>
      <c r="C39" s="352"/>
      <c r="D39" s="428" t="s">
        <v>267</v>
      </c>
      <c r="E39" s="428" t="s">
        <v>360</v>
      </c>
      <c r="F39" s="428" t="s">
        <v>361</v>
      </c>
      <c r="G39" s="428" t="s">
        <v>219</v>
      </c>
      <c r="H39" s="428" t="s">
        <v>220</v>
      </c>
      <c r="I39" s="428">
        <v>6286</v>
      </c>
      <c r="J39" s="453">
        <v>55</v>
      </c>
      <c r="K39" s="454">
        <f>Table_Household_Alloc[[#This Row],[Unit Entitlement]]/1000</f>
        <v>0.055</v>
      </c>
      <c r="L39" s="455">
        <f t="shared" si="0"/>
        <v>12.76</v>
      </c>
      <c r="M39" s="452" t="s">
        <v>283</v>
      </c>
      <c r="N39" s="432">
        <f>IF(Table_Household_Alloc[[#This Row],[PV Installed]]="Y",1,0)*Table_Household_Alloc[[#This Row],[Calculated Battery Allocation (kWh)]]</f>
        <v>0</v>
      </c>
      <c r="P39" s="426" t="s">
        <v>222</v>
      </c>
      <c r="Q39" s="426" t="s">
        <v>222</v>
      </c>
      <c r="R39" s="426" t="s">
        <v>222</v>
      </c>
      <c r="S39" s="426" t="s">
        <v>307</v>
      </c>
      <c r="U39" s="434"/>
      <c r="X39" s="464"/>
      <c r="Y39" s="437"/>
    </row>
    <row r="40" s="426" customFormat="1" ht="17.4" spans="1:25">
      <c r="A40" s="347">
        <v>10</v>
      </c>
      <c r="B40" s="348" t="s">
        <v>48</v>
      </c>
      <c r="C40" s="362">
        <v>50003420</v>
      </c>
      <c r="D40" s="428" t="s">
        <v>267</v>
      </c>
      <c r="E40" s="428" t="s">
        <v>362</v>
      </c>
      <c r="F40" s="428" t="s">
        <v>363</v>
      </c>
      <c r="G40" s="428" t="s">
        <v>219</v>
      </c>
      <c r="H40" s="428" t="s">
        <v>220</v>
      </c>
      <c r="I40" s="428">
        <v>6286</v>
      </c>
      <c r="J40" s="456">
        <v>57</v>
      </c>
      <c r="K40" s="454">
        <f>Table_Household_Alloc[[#This Row],[Unit Entitlement]]/1000</f>
        <v>0.057</v>
      </c>
      <c r="L40" s="431">
        <f t="shared" si="0"/>
        <v>13.224</v>
      </c>
      <c r="M40" s="452" t="s">
        <v>239</v>
      </c>
      <c r="N40" s="432">
        <f>IF(Table_Household_Alloc[[#This Row],[PV Installed]]="Y",1,0)*Table_Household_Alloc[[#This Row],[Calculated Battery Allocation (kWh)]]</f>
        <v>13.224</v>
      </c>
      <c r="O40" s="426">
        <v>5</v>
      </c>
      <c r="P40" s="426" t="s">
        <v>221</v>
      </c>
      <c r="Q40" s="426" t="s">
        <v>221</v>
      </c>
      <c r="R40" s="426" t="s">
        <v>221</v>
      </c>
      <c r="S40" s="426" t="s">
        <v>234</v>
      </c>
      <c r="U40" s="434"/>
      <c r="X40" s="464"/>
      <c r="Y40" s="437"/>
    </row>
    <row r="41" s="426" customFormat="1" ht="17.4" spans="1:25">
      <c r="A41" s="347">
        <v>11</v>
      </c>
      <c r="B41" s="348" t="s">
        <v>48</v>
      </c>
      <c r="C41" s="363">
        <v>50003410</v>
      </c>
      <c r="D41" s="428" t="s">
        <v>267</v>
      </c>
      <c r="E41" s="428" t="s">
        <v>364</v>
      </c>
      <c r="F41" s="428" t="s">
        <v>365</v>
      </c>
      <c r="G41" s="428" t="s">
        <v>219</v>
      </c>
      <c r="H41" s="428" t="s">
        <v>220</v>
      </c>
      <c r="I41" s="428">
        <v>6286</v>
      </c>
      <c r="J41" s="456">
        <v>59</v>
      </c>
      <c r="K41" s="454">
        <f>Table_Household_Alloc[[#This Row],[Unit Entitlement]]/1000</f>
        <v>0.059</v>
      </c>
      <c r="L41" s="431">
        <f t="shared" si="0"/>
        <v>13.688</v>
      </c>
      <c r="M41" s="452" t="s">
        <v>359</v>
      </c>
      <c r="N41" s="432">
        <f>IF(Table_Household_Alloc[[#This Row],[PV Installed]]="Y",1,0)*Table_Household_Alloc[[#This Row],[Calculated Battery Allocation (kWh)]]</f>
        <v>13.688</v>
      </c>
      <c r="O41" s="426">
        <v>6</v>
      </c>
      <c r="P41" s="426" t="s">
        <v>221</v>
      </c>
      <c r="Q41" s="426" t="s">
        <v>221</v>
      </c>
      <c r="R41" s="426" t="s">
        <v>221</v>
      </c>
      <c r="S41" s="426" t="s">
        <v>234</v>
      </c>
      <c r="U41" s="434"/>
      <c r="X41" s="464"/>
      <c r="Y41" s="437"/>
    </row>
    <row r="42" s="426" customFormat="1" ht="17.4" spans="1:25">
      <c r="A42" s="347">
        <v>12</v>
      </c>
      <c r="B42" s="348" t="s">
        <v>48</v>
      </c>
      <c r="C42" s="362">
        <v>50003418</v>
      </c>
      <c r="D42" s="428" t="s">
        <v>267</v>
      </c>
      <c r="E42" s="428" t="s">
        <v>366</v>
      </c>
      <c r="F42" s="428" t="s">
        <v>367</v>
      </c>
      <c r="G42" s="428" t="s">
        <v>219</v>
      </c>
      <c r="H42" s="428" t="s">
        <v>220</v>
      </c>
      <c r="I42" s="428">
        <v>6286</v>
      </c>
      <c r="J42" s="456">
        <v>60</v>
      </c>
      <c r="K42" s="454">
        <f>Table_Household_Alloc[[#This Row],[Unit Entitlement]]/1000</f>
        <v>0.06</v>
      </c>
      <c r="L42" s="431">
        <f t="shared" si="0"/>
        <v>13.92</v>
      </c>
      <c r="M42" s="452" t="s">
        <v>283</v>
      </c>
      <c r="N42" s="432">
        <f>IF(Table_Household_Alloc[[#This Row],[PV Installed]]="Y",1,0)*Table_Household_Alloc[[#This Row],[Calculated Battery Allocation (kWh)]]</f>
        <v>13.92</v>
      </c>
      <c r="O42" s="426">
        <v>10</v>
      </c>
      <c r="P42" s="426" t="s">
        <v>221</v>
      </c>
      <c r="Q42" s="426" t="s">
        <v>221</v>
      </c>
      <c r="R42" s="426" t="s">
        <v>221</v>
      </c>
      <c r="S42" s="426" t="s">
        <v>234</v>
      </c>
      <c r="U42" s="434"/>
      <c r="X42" s="464"/>
      <c r="Y42" s="437"/>
    </row>
    <row r="43" s="426" customFormat="1" ht="17.4" spans="1:25">
      <c r="A43" s="347">
        <v>13</v>
      </c>
      <c r="B43" s="348" t="s">
        <v>48</v>
      </c>
      <c r="C43" s="362">
        <v>50002859</v>
      </c>
      <c r="D43" s="428" t="s">
        <v>267</v>
      </c>
      <c r="E43" s="428" t="s">
        <v>368</v>
      </c>
      <c r="F43" s="428" t="s">
        <v>369</v>
      </c>
      <c r="G43" s="428" t="s">
        <v>219</v>
      </c>
      <c r="H43" s="428" t="s">
        <v>220</v>
      </c>
      <c r="I43" s="428">
        <v>6286</v>
      </c>
      <c r="J43" s="456">
        <v>60</v>
      </c>
      <c r="K43" s="454">
        <f>Table_Household_Alloc[[#This Row],[Unit Entitlement]]/1000</f>
        <v>0.06</v>
      </c>
      <c r="L43" s="431">
        <f t="shared" si="0"/>
        <v>13.92</v>
      </c>
      <c r="M43" s="452" t="s">
        <v>283</v>
      </c>
      <c r="N43" s="432">
        <f>IF(Table_Household_Alloc[[#This Row],[PV Installed]]="Y",1,0)*Table_Household_Alloc[[#This Row],[Calculated Battery Allocation (kWh)]]</f>
        <v>13.92</v>
      </c>
      <c r="O43" s="426">
        <v>10</v>
      </c>
      <c r="P43" s="426" t="s">
        <v>221</v>
      </c>
      <c r="Q43" s="426" t="s">
        <v>221</v>
      </c>
      <c r="R43" s="426" t="s">
        <v>221</v>
      </c>
      <c r="S43" s="426" t="s">
        <v>234</v>
      </c>
      <c r="U43" s="434"/>
      <c r="X43" s="464"/>
      <c r="Y43" s="437"/>
    </row>
    <row r="44" s="426" customFormat="1" ht="17.4" spans="1:25">
      <c r="A44" s="347">
        <v>14</v>
      </c>
      <c r="B44" s="348" t="s">
        <v>48</v>
      </c>
      <c r="C44" s="362">
        <v>50003396</v>
      </c>
      <c r="D44" s="428" t="s">
        <v>267</v>
      </c>
      <c r="E44" s="428" t="s">
        <v>370</v>
      </c>
      <c r="F44" s="428" t="s">
        <v>371</v>
      </c>
      <c r="G44" s="428" t="s">
        <v>219</v>
      </c>
      <c r="H44" s="428" t="s">
        <v>220</v>
      </c>
      <c r="I44" s="428">
        <v>6286</v>
      </c>
      <c r="J44" s="456">
        <v>63</v>
      </c>
      <c r="K44" s="454">
        <f>Table_Household_Alloc[[#This Row],[Unit Entitlement]]/1000</f>
        <v>0.063</v>
      </c>
      <c r="L44" s="431">
        <f t="shared" si="0"/>
        <v>14.616</v>
      </c>
      <c r="M44" s="452" t="s">
        <v>283</v>
      </c>
      <c r="N44" s="432">
        <f>IF(Table_Household_Alloc[[#This Row],[PV Installed]]="Y",1,0)*Table_Household_Alloc[[#This Row],[Calculated Battery Allocation (kWh)]]</f>
        <v>14.616</v>
      </c>
      <c r="O44" s="426">
        <v>10</v>
      </c>
      <c r="P44" s="426" t="s">
        <v>221</v>
      </c>
      <c r="Q44" s="426" t="s">
        <v>221</v>
      </c>
      <c r="R44" s="426" t="s">
        <v>221</v>
      </c>
      <c r="S44" s="426" t="s">
        <v>234</v>
      </c>
      <c r="U44" s="434"/>
      <c r="X44" s="464"/>
      <c r="Y44" s="437"/>
    </row>
    <row r="45" s="426" customFormat="1" ht="17.4" spans="1:25">
      <c r="A45" s="347">
        <v>15</v>
      </c>
      <c r="B45" s="348" t="s">
        <v>48</v>
      </c>
      <c r="C45" s="362">
        <v>50003401</v>
      </c>
      <c r="D45" s="428" t="s">
        <v>312</v>
      </c>
      <c r="E45" s="428" t="s">
        <v>372</v>
      </c>
      <c r="F45" s="428" t="s">
        <v>373</v>
      </c>
      <c r="G45" s="428" t="s">
        <v>219</v>
      </c>
      <c r="H45" s="428" t="s">
        <v>220</v>
      </c>
      <c r="I45" s="428">
        <v>6286</v>
      </c>
      <c r="J45" s="456">
        <v>27</v>
      </c>
      <c r="K45" s="454">
        <f>Table_Household_Alloc[[#This Row],[Unit Entitlement]]/1000</f>
        <v>0.027</v>
      </c>
      <c r="L45" s="431">
        <f t="shared" si="0"/>
        <v>6.264</v>
      </c>
      <c r="M45" s="452" t="s">
        <v>239</v>
      </c>
      <c r="N45" s="432">
        <f>IF(Table_Household_Alloc[[#This Row],[PV Installed]]="Y",1,0)*Table_Household_Alloc[[#This Row],[Calculated Battery Allocation (kWh)]]</f>
        <v>6.264</v>
      </c>
      <c r="O45" s="426">
        <v>5</v>
      </c>
      <c r="P45" s="426" t="s">
        <v>221</v>
      </c>
      <c r="Q45" s="426" t="s">
        <v>221</v>
      </c>
      <c r="R45" s="426" t="s">
        <v>222</v>
      </c>
      <c r="S45" s="426" t="s">
        <v>234</v>
      </c>
      <c r="U45" s="434"/>
      <c r="X45" s="464"/>
      <c r="Y45" s="437"/>
    </row>
    <row r="46" s="426" customFormat="1" ht="17.4" spans="1:25">
      <c r="A46" s="347">
        <v>16</v>
      </c>
      <c r="B46" s="348" t="s">
        <v>48</v>
      </c>
      <c r="C46" s="362">
        <v>50003430</v>
      </c>
      <c r="D46" s="428" t="s">
        <v>312</v>
      </c>
      <c r="E46" s="428" t="s">
        <v>374</v>
      </c>
      <c r="F46" s="428" t="s">
        <v>375</v>
      </c>
      <c r="G46" s="428" t="s">
        <v>219</v>
      </c>
      <c r="H46" s="428" t="s">
        <v>220</v>
      </c>
      <c r="I46" s="428">
        <v>6286</v>
      </c>
      <c r="J46" s="456">
        <v>27</v>
      </c>
      <c r="K46" s="454">
        <f>Table_Household_Alloc[[#This Row],[Unit Entitlement]]/1000</f>
        <v>0.027</v>
      </c>
      <c r="L46" s="431">
        <f t="shared" si="0"/>
        <v>6.264</v>
      </c>
      <c r="M46" s="452" t="s">
        <v>239</v>
      </c>
      <c r="N46" s="432">
        <f>IF(Table_Household_Alloc[[#This Row],[PV Installed]]="Y",1,0)*Table_Household_Alloc[[#This Row],[Calculated Battery Allocation (kWh)]]</f>
        <v>6.264</v>
      </c>
      <c r="O46" s="426">
        <v>5</v>
      </c>
      <c r="P46" s="426" t="s">
        <v>221</v>
      </c>
      <c r="Q46" s="426" t="s">
        <v>221</v>
      </c>
      <c r="R46" s="426" t="s">
        <v>221</v>
      </c>
      <c r="S46" s="426" t="s">
        <v>234</v>
      </c>
      <c r="U46" s="434"/>
      <c r="X46" s="464"/>
      <c r="Y46" s="437"/>
    </row>
    <row r="47" s="426" customFormat="1" ht="17.4" spans="1:25">
      <c r="A47" s="347">
        <v>17</v>
      </c>
      <c r="B47" s="348" t="s">
        <v>48</v>
      </c>
      <c r="C47" s="362">
        <v>50003415</v>
      </c>
      <c r="D47" s="428" t="s">
        <v>312</v>
      </c>
      <c r="E47" s="428" t="s">
        <v>376</v>
      </c>
      <c r="F47" s="428" t="s">
        <v>377</v>
      </c>
      <c r="G47" s="428" t="s">
        <v>219</v>
      </c>
      <c r="H47" s="428" t="s">
        <v>220</v>
      </c>
      <c r="I47" s="428">
        <v>6286</v>
      </c>
      <c r="J47" s="456">
        <v>27</v>
      </c>
      <c r="K47" s="454">
        <f>Table_Household_Alloc[[#This Row],[Unit Entitlement]]/1000</f>
        <v>0.027</v>
      </c>
      <c r="L47" s="431">
        <f t="shared" si="0"/>
        <v>6.264</v>
      </c>
      <c r="M47" s="452" t="s">
        <v>239</v>
      </c>
      <c r="N47" s="432">
        <f>IF(Table_Household_Alloc[[#This Row],[PV Installed]]="Y",1,0)*Table_Household_Alloc[[#This Row],[Calculated Battery Allocation (kWh)]]</f>
        <v>6.264</v>
      </c>
      <c r="O47" s="426">
        <v>5</v>
      </c>
      <c r="P47" s="426" t="s">
        <v>221</v>
      </c>
      <c r="Q47" s="426" t="s">
        <v>221</v>
      </c>
      <c r="R47" s="426" t="s">
        <v>222</v>
      </c>
      <c r="S47" s="426" t="s">
        <v>234</v>
      </c>
      <c r="U47" s="434"/>
      <c r="X47" s="464"/>
      <c r="Y47" s="437"/>
    </row>
    <row r="48" s="426" customFormat="1" ht="17.4" spans="1:25">
      <c r="A48" s="347">
        <v>18</v>
      </c>
      <c r="B48" s="348" t="s">
        <v>48</v>
      </c>
      <c r="C48" s="352"/>
      <c r="D48" s="428" t="s">
        <v>312</v>
      </c>
      <c r="E48" s="428" t="s">
        <v>378</v>
      </c>
      <c r="F48" s="428" t="s">
        <v>379</v>
      </c>
      <c r="G48" s="428" t="s">
        <v>219</v>
      </c>
      <c r="H48" s="428" t="s">
        <v>220</v>
      </c>
      <c r="I48" s="428">
        <v>6286</v>
      </c>
      <c r="J48" s="453">
        <v>27</v>
      </c>
      <c r="K48" s="454">
        <f>Table_Household_Alloc[[#This Row],[Unit Entitlement]]/1000</f>
        <v>0.027</v>
      </c>
      <c r="L48" s="455">
        <f t="shared" si="0"/>
        <v>6.264</v>
      </c>
      <c r="M48" s="452" t="s">
        <v>239</v>
      </c>
      <c r="N48" s="432">
        <f>IF(Table_Household_Alloc[[#This Row],[PV Installed]]="Y",1,0)*Table_Household_Alloc[[#This Row],[Calculated Battery Allocation (kWh)]]</f>
        <v>0</v>
      </c>
      <c r="P48" s="426" t="s">
        <v>221</v>
      </c>
      <c r="Q48" s="426" t="s">
        <v>222</v>
      </c>
      <c r="R48" s="426" t="s">
        <v>222</v>
      </c>
      <c r="S48" s="426" t="s">
        <v>223</v>
      </c>
      <c r="U48" s="434"/>
      <c r="X48" s="464"/>
      <c r="Y48" s="437"/>
    </row>
    <row r="49" s="426" customFormat="1" ht="17.4" spans="1:25">
      <c r="A49" s="347">
        <v>19</v>
      </c>
      <c r="B49" s="348" t="s">
        <v>48</v>
      </c>
      <c r="C49" s="362">
        <v>50003432</v>
      </c>
      <c r="D49" s="428" t="s">
        <v>312</v>
      </c>
      <c r="E49" s="428" t="s">
        <v>380</v>
      </c>
      <c r="F49" s="428" t="s">
        <v>381</v>
      </c>
      <c r="G49" s="428" t="s">
        <v>219</v>
      </c>
      <c r="H49" s="428" t="s">
        <v>220</v>
      </c>
      <c r="I49" s="428">
        <v>6286</v>
      </c>
      <c r="J49" s="456">
        <v>30</v>
      </c>
      <c r="K49" s="454">
        <f>Table_Household_Alloc[[#This Row],[Unit Entitlement]]/1000</f>
        <v>0.03</v>
      </c>
      <c r="L49" s="431">
        <f t="shared" si="0"/>
        <v>6.96</v>
      </c>
      <c r="M49" s="452" t="s">
        <v>239</v>
      </c>
      <c r="N49" s="432">
        <f>IF(Table_Household_Alloc[[#This Row],[PV Installed]]="Y",1,0)*Table_Household_Alloc[[#This Row],[Calculated Battery Allocation (kWh)]]</f>
        <v>6.96</v>
      </c>
      <c r="O49" s="426">
        <v>5</v>
      </c>
      <c r="P49" s="426" t="s">
        <v>221</v>
      </c>
      <c r="Q49" s="426" t="s">
        <v>221</v>
      </c>
      <c r="R49" s="426" t="s">
        <v>221</v>
      </c>
      <c r="S49" s="426" t="s">
        <v>234</v>
      </c>
      <c r="U49" s="434"/>
      <c r="X49" s="464"/>
      <c r="Y49" s="437"/>
    </row>
    <row r="50" s="426" customFormat="1" ht="17.4" spans="1:25">
      <c r="A50" s="347">
        <v>20</v>
      </c>
      <c r="B50" s="348" t="s">
        <v>48</v>
      </c>
      <c r="C50" s="362">
        <v>50002972</v>
      </c>
      <c r="D50" s="428" t="s">
        <v>267</v>
      </c>
      <c r="E50" s="428" t="s">
        <v>382</v>
      </c>
      <c r="F50" s="428" t="s">
        <v>383</v>
      </c>
      <c r="G50" s="428" t="s">
        <v>219</v>
      </c>
      <c r="H50" s="428" t="s">
        <v>220</v>
      </c>
      <c r="I50" s="428">
        <v>6286</v>
      </c>
      <c r="J50" s="446">
        <v>59</v>
      </c>
      <c r="K50" s="447">
        <f>Table_Household_Alloc[[#This Row],[Unit Entitlement]]/1000</f>
        <v>0.059</v>
      </c>
      <c r="L50" s="431">
        <f t="shared" si="0"/>
        <v>13.688</v>
      </c>
      <c r="M50" s="452" t="s">
        <v>283</v>
      </c>
      <c r="N50" s="432">
        <f>IF(Table_Household_Alloc[[#This Row],[PV Installed]]="Y",1,0)*Table_Household_Alloc[[#This Row],[Calculated Battery Allocation (kWh)]]</f>
        <v>13.688</v>
      </c>
      <c r="O50" s="426">
        <v>10</v>
      </c>
      <c r="P50" s="426" t="s">
        <v>221</v>
      </c>
      <c r="Q50" s="426" t="s">
        <v>221</v>
      </c>
      <c r="R50" s="426" t="s">
        <v>221</v>
      </c>
      <c r="S50" s="426" t="s">
        <v>234</v>
      </c>
      <c r="U50" s="434"/>
      <c r="X50" s="464"/>
      <c r="Y50" s="437"/>
    </row>
    <row r="51" s="426" customFormat="1" ht="17.4" spans="1:25">
      <c r="A51" s="347">
        <v>21</v>
      </c>
      <c r="B51" s="348" t="s">
        <v>48</v>
      </c>
      <c r="C51" s="362">
        <v>50002650</v>
      </c>
      <c r="D51" s="428" t="s">
        <v>384</v>
      </c>
      <c r="E51" s="428" t="s">
        <v>385</v>
      </c>
      <c r="F51" s="428" t="s">
        <v>386</v>
      </c>
      <c r="G51" s="428" t="s">
        <v>219</v>
      </c>
      <c r="H51" s="428" t="s">
        <v>220</v>
      </c>
      <c r="I51" s="428">
        <v>6286</v>
      </c>
      <c r="J51" s="446">
        <v>59</v>
      </c>
      <c r="K51" s="447">
        <f>Table_Household_Alloc[[#This Row],[Unit Entitlement]]/1000</f>
        <v>0.059</v>
      </c>
      <c r="L51" s="431">
        <f t="shared" si="0"/>
        <v>13.688</v>
      </c>
      <c r="M51" s="452" t="s">
        <v>283</v>
      </c>
      <c r="N51" s="432">
        <f>IF(Table_Household_Alloc[[#This Row],[PV Installed]]="Y",1,0)*Table_Household_Alloc[[#This Row],[Calculated Battery Allocation (kWh)]]</f>
        <v>13.688</v>
      </c>
      <c r="O51" s="426">
        <v>10</v>
      </c>
      <c r="P51" s="426" t="s">
        <v>221</v>
      </c>
      <c r="Q51" s="426" t="s">
        <v>221</v>
      </c>
      <c r="R51" s="426" t="s">
        <v>221</v>
      </c>
      <c r="S51" s="426" t="s">
        <v>234</v>
      </c>
      <c r="U51" s="434"/>
      <c r="X51" s="464"/>
      <c r="Y51" s="437"/>
    </row>
    <row r="52" s="426" customFormat="1" ht="18" spans="1:25">
      <c r="A52" s="355" t="s">
        <v>334</v>
      </c>
      <c r="B52" s="348" t="s">
        <v>48</v>
      </c>
      <c r="C52" s="362">
        <v>40002670</v>
      </c>
      <c r="D52" s="428"/>
      <c r="E52" s="440" t="s">
        <v>335</v>
      </c>
      <c r="F52" s="427"/>
      <c r="G52" s="428"/>
      <c r="H52" s="428"/>
      <c r="I52" s="428"/>
      <c r="J52" s="449"/>
      <c r="K52" s="430">
        <f>Table_Household_Alloc[[#This Row],[Unit Entitlement]]/1000</f>
        <v>0</v>
      </c>
      <c r="L52" s="431"/>
      <c r="M52" s="428"/>
      <c r="N52" s="432">
        <f>IF(Table_Household_Alloc[[#This Row],[PV Installed]]="Y",1,0)*Table_Household_Alloc[[#This Row],[Calculated Battery Allocation (kWh)]]</f>
        <v>0</v>
      </c>
      <c r="T52" s="433"/>
      <c r="U52" s="434"/>
      <c r="V52" s="435"/>
      <c r="X52" s="436"/>
      <c r="Y52" s="437"/>
    </row>
    <row r="53" s="426" customFormat="1" ht="17.4" spans="1:25">
      <c r="A53" s="347" t="s">
        <v>336</v>
      </c>
      <c r="B53" s="348" t="s">
        <v>48</v>
      </c>
      <c r="C53" s="362">
        <v>40002667</v>
      </c>
      <c r="D53" s="428" t="s">
        <v>337</v>
      </c>
      <c r="E53" s="440" t="s">
        <v>338</v>
      </c>
      <c r="F53" s="428"/>
      <c r="G53" s="428" t="s">
        <v>219</v>
      </c>
      <c r="H53" s="428" t="s">
        <v>220</v>
      </c>
      <c r="I53" s="428">
        <v>6286</v>
      </c>
      <c r="J53" s="446"/>
      <c r="K53" s="447">
        <f>Table_Household_Alloc[[#This Row],[Unit Entitlement]]/1000</f>
        <v>0</v>
      </c>
      <c r="L53" s="431">
        <f t="shared" si="0"/>
        <v>0</v>
      </c>
      <c r="M53" s="452"/>
      <c r="N53" s="432">
        <f>IF(Table_Household_Alloc[[#This Row],[PV Installed]]="Y",1,0)*Table_Household_Alloc[[#This Row],[Calculated Battery Allocation (kWh)]]</f>
        <v>0</v>
      </c>
      <c r="P53" s="438" t="s">
        <v>221</v>
      </c>
      <c r="Q53" s="438" t="s">
        <v>222</v>
      </c>
      <c r="R53" s="428" t="s">
        <v>221</v>
      </c>
      <c r="S53" s="428"/>
      <c r="U53" s="434"/>
      <c r="X53" s="464"/>
      <c r="Y53" s="437"/>
    </row>
    <row r="54" s="426" customFormat="1" ht="17.4" spans="1:25">
      <c r="A54" s="347" t="s">
        <v>339</v>
      </c>
      <c r="B54" s="348" t="s">
        <v>48</v>
      </c>
      <c r="C54" s="362">
        <v>50003399</v>
      </c>
      <c r="D54" s="428" t="s">
        <v>337</v>
      </c>
      <c r="E54" s="440" t="s">
        <v>340</v>
      </c>
      <c r="F54" s="428"/>
      <c r="G54" s="428" t="s">
        <v>219</v>
      </c>
      <c r="H54" s="428" t="s">
        <v>220</v>
      </c>
      <c r="I54" s="428">
        <v>6286</v>
      </c>
      <c r="J54" s="450"/>
      <c r="K54" s="451">
        <f>Table_Household_Alloc[[#This Row],[Unit Entitlement]]/1000</f>
        <v>0</v>
      </c>
      <c r="L54" s="431">
        <f t="shared" si="0"/>
        <v>0</v>
      </c>
      <c r="M54" s="452"/>
      <c r="N54" s="432">
        <f>IF(Table_Household_Alloc[[#This Row],[PV Installed]]="Y",1,0)*Table_Household_Alloc[[#This Row],[Calculated Battery Allocation (kWh)]]</f>
        <v>0</v>
      </c>
      <c r="P54" s="438" t="s">
        <v>221</v>
      </c>
      <c r="Q54" s="438" t="s">
        <v>222</v>
      </c>
      <c r="R54" s="428" t="s">
        <v>221</v>
      </c>
      <c r="S54" s="428"/>
      <c r="U54" s="434"/>
      <c r="X54" s="464"/>
      <c r="Y54" s="437"/>
    </row>
    <row r="55" s="426" customFormat="1" ht="18" spans="1:25">
      <c r="A55" s="360" t="s">
        <v>341</v>
      </c>
      <c r="B55" s="348" t="s">
        <v>48</v>
      </c>
      <c r="C55" s="362"/>
      <c r="D55" s="428"/>
      <c r="E55" s="427"/>
      <c r="F55" s="427"/>
      <c r="G55" s="428"/>
      <c r="H55" s="428"/>
      <c r="I55" s="428"/>
      <c r="J55" s="429"/>
      <c r="K55" s="430">
        <f>Table_Household_Alloc[[#This Row],[Unit Entitlement]]/1000</f>
        <v>0</v>
      </c>
      <c r="L55" s="431"/>
      <c r="M55" s="428"/>
      <c r="N55" s="432">
        <f>IF(Table_Household_Alloc[[#This Row],[PV Installed]]="Y",1,0)*Table_Household_Alloc[[#This Row],[Calculated Battery Allocation (kWh)]]</f>
        <v>0</v>
      </c>
      <c r="T55" s="433"/>
      <c r="U55" s="434"/>
      <c r="V55" s="435"/>
      <c r="X55" s="436"/>
      <c r="Y55" s="437"/>
    </row>
    <row r="56" s="426" customFormat="1" ht="18" spans="1:25">
      <c r="A56" s="361" t="s">
        <v>342</v>
      </c>
      <c r="B56" s="348" t="s">
        <v>48</v>
      </c>
      <c r="C56" s="362"/>
      <c r="D56" s="428"/>
      <c r="E56" s="427"/>
      <c r="F56" s="427"/>
      <c r="G56" s="428"/>
      <c r="H56" s="428"/>
      <c r="I56" s="428"/>
      <c r="J56" s="429"/>
      <c r="K56" s="430">
        <f>Table_Household_Alloc[[#This Row],[Unit Entitlement]]/1000</f>
        <v>0</v>
      </c>
      <c r="L56" s="431"/>
      <c r="M56" s="428"/>
      <c r="N56" s="432">
        <f>IF(Table_Household_Alloc[[#This Row],[PV Installed]]="Y",1,0)*Table_Household_Alloc[[#This Row],[Calculated Battery Allocation (kWh)]]</f>
        <v>0</v>
      </c>
      <c r="T56" s="433"/>
      <c r="U56" s="434"/>
      <c r="V56" s="435"/>
      <c r="X56" s="436"/>
      <c r="Y56" s="437"/>
    </row>
    <row r="57" s="426" customFormat="1" ht="17.4" spans="1:25">
      <c r="A57" s="347">
        <v>1</v>
      </c>
      <c r="B57" s="348" t="s">
        <v>52</v>
      </c>
      <c r="C57" s="362">
        <v>50003397</v>
      </c>
      <c r="D57" s="428"/>
      <c r="E57" s="428" t="s">
        <v>387</v>
      </c>
      <c r="F57" s="428" t="s">
        <v>388</v>
      </c>
      <c r="G57" s="428" t="s">
        <v>389</v>
      </c>
      <c r="H57" s="428" t="s">
        <v>390</v>
      </c>
      <c r="I57" s="428">
        <v>6286</v>
      </c>
      <c r="J57" s="457">
        <v>42</v>
      </c>
      <c r="K57" s="458">
        <f>Table_Household_Alloc[[#This Row],[Unit Entitlement]]/1000</f>
        <v>0.042</v>
      </c>
      <c r="L57" s="431">
        <f>(J57/1000)*232</f>
        <v>9.744</v>
      </c>
      <c r="M57" s="452" t="s">
        <v>250</v>
      </c>
      <c r="N57" s="432">
        <f>IF(Table_Household_Alloc[[#This Row],[PV Installed]]="Y",1,0)*Table_Household_Alloc[[#This Row],[Calculated Battery Allocation (kWh)]]</f>
        <v>9.744</v>
      </c>
      <c r="O57" s="426">
        <v>8.2</v>
      </c>
      <c r="P57" s="428" t="s">
        <v>221</v>
      </c>
      <c r="Q57" s="428" t="s">
        <v>221</v>
      </c>
      <c r="R57" s="428" t="s">
        <v>221</v>
      </c>
      <c r="S57" s="428" t="s">
        <v>234</v>
      </c>
      <c r="U57" s="434"/>
      <c r="X57" s="464">
        <v>44381</v>
      </c>
      <c r="Y57" s="437" t="s">
        <v>227</v>
      </c>
    </row>
    <row r="58" s="426" customFormat="1" ht="17.4" spans="1:25">
      <c r="A58" s="347">
        <v>2</v>
      </c>
      <c r="B58" s="348" t="s">
        <v>52</v>
      </c>
      <c r="C58" s="362">
        <v>50003402</v>
      </c>
      <c r="D58" s="428"/>
      <c r="E58" s="428" t="s">
        <v>391</v>
      </c>
      <c r="F58" s="428" t="s">
        <v>392</v>
      </c>
      <c r="G58" s="428" t="s">
        <v>389</v>
      </c>
      <c r="H58" s="428" t="s">
        <v>390</v>
      </c>
      <c r="I58" s="428">
        <v>6286</v>
      </c>
      <c r="J58" s="457">
        <v>43</v>
      </c>
      <c r="K58" s="458">
        <f>Table_Household_Alloc[[#This Row],[Unit Entitlement]]/1000</f>
        <v>0.043</v>
      </c>
      <c r="L58" s="431">
        <f t="shared" ref="L58:L78" si="1">(J58/1000)*232</f>
        <v>9.976</v>
      </c>
      <c r="M58" s="452" t="str">
        <f>CONCATENATE("Symo ",Table_Household_Alloc[[#This Row],[Export Capacity (kW)]])</f>
        <v>Symo 5</v>
      </c>
      <c r="N58" s="432">
        <f>IF(Table_Household_Alloc[[#This Row],[PV Installed]]="Y",1,0)*Table_Household_Alloc[[#This Row],[Calculated Battery Allocation (kWh)]]</f>
        <v>9.976</v>
      </c>
      <c r="O58" s="426">
        <v>5</v>
      </c>
      <c r="P58" s="428" t="s">
        <v>221</v>
      </c>
      <c r="Q58" s="428" t="s">
        <v>221</v>
      </c>
      <c r="R58" s="428" t="s">
        <v>221</v>
      </c>
      <c r="S58" s="428" t="s">
        <v>234</v>
      </c>
      <c r="U58" s="434"/>
      <c r="X58" s="464">
        <v>44774</v>
      </c>
      <c r="Y58" s="437" t="s">
        <v>227</v>
      </c>
    </row>
    <row r="59" s="426" customFormat="1" ht="17.4" spans="1:25">
      <c r="A59" s="347">
        <v>3</v>
      </c>
      <c r="B59" s="348" t="s">
        <v>52</v>
      </c>
      <c r="C59" s="362">
        <v>50003431</v>
      </c>
      <c r="D59" s="428"/>
      <c r="E59" s="428" t="s">
        <v>393</v>
      </c>
      <c r="F59" s="428" t="s">
        <v>394</v>
      </c>
      <c r="G59" s="428" t="s">
        <v>389</v>
      </c>
      <c r="H59" s="428" t="s">
        <v>390</v>
      </c>
      <c r="I59" s="428">
        <v>6286</v>
      </c>
      <c r="J59" s="457">
        <v>44</v>
      </c>
      <c r="K59" s="458">
        <f>Table_Household_Alloc[[#This Row],[Unit Entitlement]]/1000</f>
        <v>0.044</v>
      </c>
      <c r="L59" s="431">
        <f t="shared" si="1"/>
        <v>10.208</v>
      </c>
      <c r="M59" s="452" t="str">
        <f>CONCATENATE("Symo ",Table_Household_Alloc[[#This Row],[Export Capacity (kW)]])</f>
        <v>Symo 8.2</v>
      </c>
      <c r="N59" s="432">
        <f>IF(Table_Household_Alloc[[#This Row],[PV Installed]]="Y",1,0)*Table_Household_Alloc[[#This Row],[Calculated Battery Allocation (kWh)]]</f>
        <v>10.208</v>
      </c>
      <c r="O59" s="426">
        <v>8.2</v>
      </c>
      <c r="P59" s="428" t="s">
        <v>221</v>
      </c>
      <c r="Q59" s="428" t="s">
        <v>221</v>
      </c>
      <c r="R59" s="428" t="s">
        <v>221</v>
      </c>
      <c r="S59" s="428" t="s">
        <v>234</v>
      </c>
      <c r="U59" s="434"/>
      <c r="X59" s="464">
        <v>45023</v>
      </c>
      <c r="Y59" s="437" t="s">
        <v>227</v>
      </c>
    </row>
    <row r="60" s="426" customFormat="1" ht="17.4" spans="1:25">
      <c r="A60" s="347">
        <v>4</v>
      </c>
      <c r="B60" s="348" t="s">
        <v>52</v>
      </c>
      <c r="C60" s="362">
        <v>50003394</v>
      </c>
      <c r="D60" s="428"/>
      <c r="E60" s="428" t="s">
        <v>395</v>
      </c>
      <c r="F60" s="428" t="s">
        <v>396</v>
      </c>
      <c r="G60" s="428" t="s">
        <v>389</v>
      </c>
      <c r="H60" s="428" t="s">
        <v>390</v>
      </c>
      <c r="I60" s="428">
        <v>6286</v>
      </c>
      <c r="J60" s="457">
        <v>45</v>
      </c>
      <c r="K60" s="458">
        <f>Table_Household_Alloc[[#This Row],[Unit Entitlement]]/1000</f>
        <v>0.045</v>
      </c>
      <c r="L60" s="431">
        <f t="shared" si="1"/>
        <v>10.44</v>
      </c>
      <c r="M60" s="452" t="str">
        <f>CONCATENATE("Symo ",Table_Household_Alloc[[#This Row],[Export Capacity (kW)]])</f>
        <v>Symo 5</v>
      </c>
      <c r="N60" s="432">
        <f>IF(Table_Household_Alloc[[#This Row],[PV Installed]]="Y",1,0)*Table_Household_Alloc[[#This Row],[Calculated Battery Allocation (kWh)]]</f>
        <v>10.44</v>
      </c>
      <c r="O60" s="426">
        <v>5</v>
      </c>
      <c r="P60" s="428" t="s">
        <v>221</v>
      </c>
      <c r="Q60" s="428" t="s">
        <v>221</v>
      </c>
      <c r="R60" s="428" t="s">
        <v>221</v>
      </c>
      <c r="S60" s="428" t="s">
        <v>234</v>
      </c>
      <c r="U60" s="434"/>
      <c r="X60" s="464">
        <v>45078</v>
      </c>
      <c r="Y60" s="437" t="s">
        <v>227</v>
      </c>
    </row>
    <row r="61" s="426" customFormat="1" ht="17.4" spans="1:25">
      <c r="A61" s="347">
        <v>5</v>
      </c>
      <c r="B61" s="348" t="s">
        <v>52</v>
      </c>
      <c r="C61" s="362">
        <v>50003433</v>
      </c>
      <c r="D61" s="428"/>
      <c r="E61" s="428" t="s">
        <v>397</v>
      </c>
      <c r="F61" s="428" t="s">
        <v>398</v>
      </c>
      <c r="G61" s="428" t="s">
        <v>389</v>
      </c>
      <c r="H61" s="428" t="s">
        <v>390</v>
      </c>
      <c r="I61" s="428">
        <v>6286</v>
      </c>
      <c r="J61" s="457">
        <v>46</v>
      </c>
      <c r="K61" s="458">
        <f>Table_Household_Alloc[[#This Row],[Unit Entitlement]]/1000</f>
        <v>0.046</v>
      </c>
      <c r="L61" s="431">
        <f t="shared" si="1"/>
        <v>10.672</v>
      </c>
      <c r="M61" s="452" t="str">
        <f>CONCATENATE("Symo ",Table_Household_Alloc[[#This Row],[Export Capacity (kW)]])</f>
        <v>Symo 8.2</v>
      </c>
      <c r="N61" s="432">
        <f>IF(Table_Household_Alloc[[#This Row],[PV Installed]]="Y",1,0)*Table_Household_Alloc[[#This Row],[Calculated Battery Allocation (kWh)]]</f>
        <v>10.672</v>
      </c>
      <c r="O61" s="426">
        <v>8.2</v>
      </c>
      <c r="P61" s="428" t="s">
        <v>221</v>
      </c>
      <c r="Q61" s="428" t="s">
        <v>221</v>
      </c>
      <c r="R61" s="428" t="s">
        <v>221</v>
      </c>
      <c r="S61" s="428" t="s">
        <v>234</v>
      </c>
      <c r="U61" s="434"/>
      <c r="X61" s="464">
        <v>44599</v>
      </c>
      <c r="Y61" s="437" t="s">
        <v>227</v>
      </c>
    </row>
    <row r="62" s="426" customFormat="1" ht="17.4" spans="1:25">
      <c r="A62" s="347">
        <v>6</v>
      </c>
      <c r="B62" s="348" t="s">
        <v>52</v>
      </c>
      <c r="C62" s="362">
        <v>50003421</v>
      </c>
      <c r="D62" s="428"/>
      <c r="E62" s="428" t="s">
        <v>399</v>
      </c>
      <c r="F62" s="428" t="s">
        <v>400</v>
      </c>
      <c r="G62" s="428" t="s">
        <v>389</v>
      </c>
      <c r="H62" s="428" t="s">
        <v>390</v>
      </c>
      <c r="I62" s="428">
        <v>6286</v>
      </c>
      <c r="J62" s="457">
        <v>66</v>
      </c>
      <c r="K62" s="458">
        <f>Table_Household_Alloc[[#This Row],[Unit Entitlement]]/1000</f>
        <v>0.066</v>
      </c>
      <c r="L62" s="431">
        <f t="shared" si="1"/>
        <v>15.312</v>
      </c>
      <c r="M62" s="452" t="str">
        <f>CONCATENATE("Symo ",Table_Household_Alloc[[#This Row],[Export Capacity (kW)]])</f>
        <v>Symo 10</v>
      </c>
      <c r="N62" s="432">
        <f>IF(Table_Household_Alloc[[#This Row],[PV Installed]]="Y",1,0)*Table_Household_Alloc[[#This Row],[Calculated Battery Allocation (kWh)]]</f>
        <v>15.312</v>
      </c>
      <c r="O62" s="426">
        <v>10</v>
      </c>
      <c r="P62" s="428" t="s">
        <v>221</v>
      </c>
      <c r="Q62" s="428" t="s">
        <v>221</v>
      </c>
      <c r="R62" s="428" t="s">
        <v>221</v>
      </c>
      <c r="S62" s="428" t="s">
        <v>234</v>
      </c>
      <c r="U62" s="434"/>
      <c r="X62" s="464">
        <v>45020</v>
      </c>
      <c r="Y62" s="437" t="s">
        <v>227</v>
      </c>
    </row>
    <row r="63" s="426" customFormat="1" ht="17.4" spans="1:25">
      <c r="A63" s="441">
        <v>7</v>
      </c>
      <c r="B63" s="442" t="s">
        <v>52</v>
      </c>
      <c r="C63" s="443">
        <v>50002953</v>
      </c>
      <c r="D63" s="428"/>
      <c r="E63" s="428" t="s">
        <v>401</v>
      </c>
      <c r="F63" s="428" t="s">
        <v>402</v>
      </c>
      <c r="G63" s="428" t="s">
        <v>389</v>
      </c>
      <c r="H63" s="428" t="s">
        <v>390</v>
      </c>
      <c r="I63" s="428">
        <v>6286</v>
      </c>
      <c r="J63" s="457">
        <v>66</v>
      </c>
      <c r="K63" s="458">
        <f>Table_Household_Alloc[[#This Row],[Unit Entitlement]]/1000</f>
        <v>0.066</v>
      </c>
      <c r="L63" s="431">
        <f t="shared" si="1"/>
        <v>15.312</v>
      </c>
      <c r="M63" s="452"/>
      <c r="N63" s="432">
        <f>IF(Table_Household_Alloc[[#This Row],[PV Installed]]="Y",1,0)*Table_Household_Alloc[[#This Row],[Calculated Battery Allocation (kWh)]]</f>
        <v>0</v>
      </c>
      <c r="P63" s="428"/>
      <c r="Q63" s="428"/>
      <c r="R63" s="428"/>
      <c r="S63" s="428" t="s">
        <v>403</v>
      </c>
      <c r="U63" s="434"/>
      <c r="X63" s="464"/>
      <c r="Y63" s="437"/>
    </row>
    <row r="64" s="426" customFormat="1" ht="17.4" spans="1:25">
      <c r="A64" s="347">
        <v>8</v>
      </c>
      <c r="B64" s="348" t="s">
        <v>52</v>
      </c>
      <c r="C64" s="362">
        <v>50003395</v>
      </c>
      <c r="D64" s="428"/>
      <c r="E64" s="428" t="s">
        <v>404</v>
      </c>
      <c r="F64" s="428" t="s">
        <v>405</v>
      </c>
      <c r="G64" s="428" t="s">
        <v>389</v>
      </c>
      <c r="H64" s="428" t="s">
        <v>390</v>
      </c>
      <c r="I64" s="428">
        <v>6286</v>
      </c>
      <c r="J64" s="457">
        <v>66</v>
      </c>
      <c r="K64" s="458">
        <f>Table_Household_Alloc[[#This Row],[Unit Entitlement]]/1000</f>
        <v>0.066</v>
      </c>
      <c r="L64" s="431">
        <f t="shared" si="1"/>
        <v>15.312</v>
      </c>
      <c r="M64" s="452" t="str">
        <f>CONCATENATE("Symo ",Table_Household_Alloc[[#This Row],[Export Capacity (kW)]])</f>
        <v>Symo 10</v>
      </c>
      <c r="N64" s="432">
        <f>IF(Table_Household_Alloc[[#This Row],[PV Installed]]="Y",1,0)*Table_Household_Alloc[[#This Row],[Calculated Battery Allocation (kWh)]]</f>
        <v>15.312</v>
      </c>
      <c r="O64" s="459">
        <v>10</v>
      </c>
      <c r="P64" s="428" t="s">
        <v>221</v>
      </c>
      <c r="Q64" s="428" t="s">
        <v>221</v>
      </c>
      <c r="R64" s="428" t="s">
        <v>221</v>
      </c>
      <c r="S64" s="428" t="s">
        <v>234</v>
      </c>
      <c r="U64" s="434"/>
      <c r="X64" s="464">
        <v>44682</v>
      </c>
      <c r="Y64" s="437" t="s">
        <v>227</v>
      </c>
    </row>
    <row r="65" s="426" customFormat="1" ht="17.4" spans="1:25">
      <c r="A65" s="347">
        <v>9</v>
      </c>
      <c r="B65" s="348" t="s">
        <v>52</v>
      </c>
      <c r="C65" s="466">
        <v>50003435</v>
      </c>
      <c r="D65" s="428"/>
      <c r="E65" s="428" t="s">
        <v>406</v>
      </c>
      <c r="F65" s="428" t="s">
        <v>407</v>
      </c>
      <c r="G65" s="428" t="s">
        <v>389</v>
      </c>
      <c r="H65" s="428" t="s">
        <v>390</v>
      </c>
      <c r="I65" s="428">
        <v>6286</v>
      </c>
      <c r="J65" s="457">
        <v>66</v>
      </c>
      <c r="K65" s="458">
        <f>Table_Household_Alloc[[#This Row],[Unit Entitlement]]/1000</f>
        <v>0.066</v>
      </c>
      <c r="L65" s="431">
        <f t="shared" si="1"/>
        <v>15.312</v>
      </c>
      <c r="M65" s="452"/>
      <c r="N65" s="432">
        <f>IF(Table_Household_Alloc[[#This Row],[PV Installed]]="Y",1,0)*Table_Household_Alloc[[#This Row],[Calculated Battery Allocation (kWh)]]</f>
        <v>0</v>
      </c>
      <c r="P65" s="428"/>
      <c r="Q65" s="428"/>
      <c r="R65" s="428"/>
      <c r="S65" s="428" t="s">
        <v>223</v>
      </c>
      <c r="U65" s="434"/>
      <c r="X65" s="464"/>
      <c r="Y65" s="437"/>
    </row>
    <row r="66" s="426" customFormat="1" ht="17.4" spans="1:25">
      <c r="A66" s="347">
        <v>10</v>
      </c>
      <c r="B66" s="348" t="s">
        <v>52</v>
      </c>
      <c r="C66" s="362">
        <v>50002952</v>
      </c>
      <c r="D66" s="428"/>
      <c r="E66" s="428" t="s">
        <v>408</v>
      </c>
      <c r="F66" s="428" t="s">
        <v>409</v>
      </c>
      <c r="G66" s="428" t="s">
        <v>389</v>
      </c>
      <c r="H66" s="428" t="s">
        <v>390</v>
      </c>
      <c r="I66" s="428">
        <v>6286</v>
      </c>
      <c r="J66" s="457">
        <v>31</v>
      </c>
      <c r="K66" s="458">
        <f>Table_Household_Alloc[[#This Row],[Unit Entitlement]]/1000</f>
        <v>0.031</v>
      </c>
      <c r="L66" s="431">
        <f t="shared" si="1"/>
        <v>7.192</v>
      </c>
      <c r="M66" s="452" t="str">
        <f>CONCATENATE("Symo ",Table_Household_Alloc[[#This Row],[Export Capacity (kW)]])</f>
        <v>Symo 5</v>
      </c>
      <c r="N66" s="432">
        <f>IF(Table_Household_Alloc[[#This Row],[PV Installed]]="Y",1,0)*Table_Household_Alloc[[#This Row],[Calculated Battery Allocation (kWh)]]</f>
        <v>7.192</v>
      </c>
      <c r="O66" s="426">
        <v>5</v>
      </c>
      <c r="P66" s="428" t="s">
        <v>221</v>
      </c>
      <c r="Q66" s="428" t="s">
        <v>221</v>
      </c>
      <c r="R66" s="428" t="s">
        <v>221</v>
      </c>
      <c r="S66" s="428" t="s">
        <v>234</v>
      </c>
      <c r="U66" s="434"/>
      <c r="X66" s="464">
        <v>44593</v>
      </c>
      <c r="Y66" s="437" t="s">
        <v>227</v>
      </c>
    </row>
    <row r="67" s="426" customFormat="1" ht="17.4" spans="1:25">
      <c r="A67" s="347">
        <v>11</v>
      </c>
      <c r="B67" s="348" t="s">
        <v>52</v>
      </c>
      <c r="C67" s="467">
        <v>50002944</v>
      </c>
      <c r="D67" s="428"/>
      <c r="E67" s="428" t="s">
        <v>410</v>
      </c>
      <c r="F67" s="428" t="s">
        <v>411</v>
      </c>
      <c r="G67" s="428" t="s">
        <v>389</v>
      </c>
      <c r="H67" s="428" t="s">
        <v>390</v>
      </c>
      <c r="I67" s="428">
        <v>6286</v>
      </c>
      <c r="J67" s="457">
        <v>31</v>
      </c>
      <c r="K67" s="458">
        <f>Table_Household_Alloc[[#This Row],[Unit Entitlement]]/1000</f>
        <v>0.031</v>
      </c>
      <c r="L67" s="431">
        <f t="shared" si="1"/>
        <v>7.192</v>
      </c>
      <c r="M67" s="452"/>
      <c r="N67" s="432">
        <f>IF(Table_Household_Alloc[[#This Row],[PV Installed]]="Y",1,0)*Table_Household_Alloc[[#This Row],[Calculated Battery Allocation (kWh)]]</f>
        <v>0</v>
      </c>
      <c r="P67" s="428"/>
      <c r="Q67" s="428"/>
      <c r="R67" s="428"/>
      <c r="S67" s="428" t="s">
        <v>403</v>
      </c>
      <c r="U67" s="434"/>
      <c r="X67" s="464"/>
      <c r="Y67" s="437"/>
    </row>
    <row r="68" s="426" customFormat="1" ht="17.4" spans="1:25">
      <c r="A68" s="441">
        <v>12</v>
      </c>
      <c r="B68" s="441" t="s">
        <v>52</v>
      </c>
      <c r="C68" s="468">
        <v>3308026898</v>
      </c>
      <c r="D68" s="469"/>
      <c r="E68" s="469" t="s">
        <v>412</v>
      </c>
      <c r="F68" s="469" t="s">
        <v>413</v>
      </c>
      <c r="G68" s="469" t="s">
        <v>389</v>
      </c>
      <c r="H68" s="469" t="s">
        <v>390</v>
      </c>
      <c r="I68" s="469">
        <v>6286</v>
      </c>
      <c r="J68" s="470">
        <v>31</v>
      </c>
      <c r="K68" s="471">
        <f>Table_Household_Alloc[[#This Row],[Unit Entitlement]]/1000</f>
        <v>0.031</v>
      </c>
      <c r="L68" s="472">
        <f t="shared" si="1"/>
        <v>7.192</v>
      </c>
      <c r="M68" s="452" t="str">
        <f>CONCATENATE("Symo ",Table_Household_Alloc[[#This Row],[Export Capacity (kW)]])</f>
        <v>Symo 5</v>
      </c>
      <c r="N68" s="432">
        <f>IF(Table_Household_Alloc[[#This Row],[PV Installed]]="Y",1,0)*Table_Household_Alloc[[#This Row],[Calculated Battery Allocation (kWh)]]</f>
        <v>7.192</v>
      </c>
      <c r="O68" s="473">
        <v>5</v>
      </c>
      <c r="P68" s="428" t="s">
        <v>222</v>
      </c>
      <c r="Q68" s="428" t="s">
        <v>221</v>
      </c>
      <c r="R68" s="428" t="s">
        <v>221</v>
      </c>
      <c r="S68" s="469" t="s">
        <v>234</v>
      </c>
      <c r="T68" s="473"/>
      <c r="U68" s="479"/>
      <c r="V68" s="473"/>
      <c r="W68" s="473"/>
      <c r="X68" s="480">
        <v>45139</v>
      </c>
      <c r="Y68" s="481" t="s">
        <v>227</v>
      </c>
    </row>
    <row r="69" s="426" customFormat="1" ht="17.4" spans="1:25">
      <c r="A69" s="347">
        <v>13</v>
      </c>
      <c r="B69" s="348" t="s">
        <v>52</v>
      </c>
      <c r="C69" s="362">
        <v>50003424</v>
      </c>
      <c r="D69" s="428"/>
      <c r="E69" s="428" t="s">
        <v>414</v>
      </c>
      <c r="F69" s="428" t="s">
        <v>415</v>
      </c>
      <c r="G69" s="428" t="s">
        <v>389</v>
      </c>
      <c r="H69" s="428" t="s">
        <v>390</v>
      </c>
      <c r="I69" s="428">
        <v>6286</v>
      </c>
      <c r="J69" s="457">
        <v>31</v>
      </c>
      <c r="K69" s="458">
        <f>Table_Household_Alloc[[#This Row],[Unit Entitlement]]/1000</f>
        <v>0.031</v>
      </c>
      <c r="L69" s="431">
        <f t="shared" si="1"/>
        <v>7.192</v>
      </c>
      <c r="M69" s="452" t="str">
        <f>CONCATENATE("Symo ",Table_Household_Alloc[[#This Row],[Export Capacity (kW)]])</f>
        <v>Symo 5</v>
      </c>
      <c r="N69" s="432">
        <f>IF(Table_Household_Alloc[[#This Row],[PV Installed]]="Y",1,0)*Table_Household_Alloc[[#This Row],[Calculated Battery Allocation (kWh)]]</f>
        <v>7.192</v>
      </c>
      <c r="O69" s="426">
        <v>5</v>
      </c>
      <c r="P69" s="428" t="s">
        <v>221</v>
      </c>
      <c r="Q69" s="428" t="s">
        <v>221</v>
      </c>
      <c r="R69" s="428" t="s">
        <v>221</v>
      </c>
      <c r="S69" s="428" t="s">
        <v>234</v>
      </c>
      <c r="U69" s="434"/>
      <c r="X69" s="464">
        <v>44621</v>
      </c>
      <c r="Y69" s="437" t="s">
        <v>227</v>
      </c>
    </row>
    <row r="70" s="426" customFormat="1" ht="17.4" spans="1:25">
      <c r="A70" s="347">
        <v>14</v>
      </c>
      <c r="B70" s="348" t="s">
        <v>52</v>
      </c>
      <c r="C70" s="362">
        <v>50003438</v>
      </c>
      <c r="D70" s="428"/>
      <c r="E70" s="428" t="s">
        <v>416</v>
      </c>
      <c r="F70" s="428" t="s">
        <v>417</v>
      </c>
      <c r="G70" s="428" t="s">
        <v>389</v>
      </c>
      <c r="H70" s="428" t="s">
        <v>390</v>
      </c>
      <c r="I70" s="428">
        <v>6286</v>
      </c>
      <c r="J70" s="457">
        <v>37</v>
      </c>
      <c r="K70" s="458">
        <f>Table_Household_Alloc[[#This Row],[Unit Entitlement]]/1000</f>
        <v>0.037</v>
      </c>
      <c r="L70" s="431">
        <f t="shared" si="1"/>
        <v>8.584</v>
      </c>
      <c r="M70" s="452" t="str">
        <f>CONCATENATE("Symo ",Table_Household_Alloc[[#This Row],[Export Capacity (kW)]])</f>
        <v>Symo 5</v>
      </c>
      <c r="N70" s="432">
        <f>IF(Table_Household_Alloc[[#This Row],[PV Installed]]="Y",1,0)*Table_Household_Alloc[[#This Row],[Calculated Battery Allocation (kWh)]]</f>
        <v>8.584</v>
      </c>
      <c r="O70" s="426">
        <v>5</v>
      </c>
      <c r="P70" s="428" t="s">
        <v>221</v>
      </c>
      <c r="Q70" s="428" t="s">
        <v>221</v>
      </c>
      <c r="R70" s="428" t="s">
        <v>221</v>
      </c>
      <c r="S70" s="428" t="s">
        <v>234</v>
      </c>
      <c r="U70" s="434"/>
      <c r="X70" s="464">
        <v>44643</v>
      </c>
      <c r="Y70" s="437" t="s">
        <v>227</v>
      </c>
    </row>
    <row r="71" s="426" customFormat="1" ht="17.4" spans="1:25">
      <c r="A71" s="347">
        <v>15</v>
      </c>
      <c r="B71" s="348" t="s">
        <v>52</v>
      </c>
      <c r="C71" s="362">
        <v>50003404</v>
      </c>
      <c r="D71" s="428"/>
      <c r="E71" s="428" t="s">
        <v>418</v>
      </c>
      <c r="F71" s="428" t="s">
        <v>419</v>
      </c>
      <c r="G71" s="428" t="s">
        <v>389</v>
      </c>
      <c r="H71" s="428" t="s">
        <v>390</v>
      </c>
      <c r="I71" s="428">
        <v>6286</v>
      </c>
      <c r="J71" s="457">
        <v>69</v>
      </c>
      <c r="K71" s="458">
        <f>Table_Household_Alloc[[#This Row],[Unit Entitlement]]/1000</f>
        <v>0.069</v>
      </c>
      <c r="L71" s="431">
        <f t="shared" si="1"/>
        <v>16.008</v>
      </c>
      <c r="M71" s="452" t="str">
        <f>CONCATENATE("Symo ",Table_Household_Alloc[[#This Row],[Export Capacity (kW)]])</f>
        <v>Symo 8.2</v>
      </c>
      <c r="N71" s="432">
        <f>IF(Table_Household_Alloc[[#This Row],[PV Installed]]="Y",1,0)*Table_Household_Alloc[[#This Row],[Calculated Battery Allocation (kWh)]]</f>
        <v>16.008</v>
      </c>
      <c r="O71" s="426">
        <v>8.2</v>
      </c>
      <c r="P71" s="428" t="s">
        <v>221</v>
      </c>
      <c r="Q71" s="428" t="s">
        <v>221</v>
      </c>
      <c r="R71" s="428" t="s">
        <v>221</v>
      </c>
      <c r="S71" s="428" t="s">
        <v>234</v>
      </c>
      <c r="U71" s="434"/>
      <c r="X71" s="464">
        <v>44835</v>
      </c>
      <c r="Y71" s="437" t="s">
        <v>227</v>
      </c>
    </row>
    <row r="72" s="426" customFormat="1" ht="17.4" spans="1:25">
      <c r="A72" s="347">
        <v>16</v>
      </c>
      <c r="B72" s="348" t="s">
        <v>52</v>
      </c>
      <c r="C72" s="362">
        <v>50003419</v>
      </c>
      <c r="D72" s="428"/>
      <c r="E72" s="428" t="s">
        <v>420</v>
      </c>
      <c r="F72" s="428" t="s">
        <v>421</v>
      </c>
      <c r="G72" s="428" t="s">
        <v>389</v>
      </c>
      <c r="H72" s="428" t="s">
        <v>390</v>
      </c>
      <c r="I72" s="428">
        <v>6286</v>
      </c>
      <c r="J72" s="457">
        <v>69</v>
      </c>
      <c r="K72" s="458">
        <f>Table_Household_Alloc[[#This Row],[Unit Entitlement]]/1000</f>
        <v>0.069</v>
      </c>
      <c r="L72" s="431">
        <f t="shared" si="1"/>
        <v>16.008</v>
      </c>
      <c r="M72" s="452" t="str">
        <f>CONCATENATE("Symo ",Table_Household_Alloc[[#This Row],[Export Capacity (kW)]])</f>
        <v>Symo 10</v>
      </c>
      <c r="N72" s="432">
        <f>IF(Table_Household_Alloc[[#This Row],[PV Installed]]="Y",1,0)*Table_Household_Alloc[[#This Row],[Calculated Battery Allocation (kWh)]]</f>
        <v>16.008</v>
      </c>
      <c r="O72" s="426">
        <v>10</v>
      </c>
      <c r="P72" s="428" t="s">
        <v>221</v>
      </c>
      <c r="Q72" s="428" t="s">
        <v>221</v>
      </c>
      <c r="R72" s="428" t="s">
        <v>221</v>
      </c>
      <c r="S72" s="428" t="s">
        <v>234</v>
      </c>
      <c r="U72" s="434"/>
      <c r="X72" s="464">
        <v>45047</v>
      </c>
      <c r="Y72" s="437" t="s">
        <v>227</v>
      </c>
    </row>
    <row r="73" s="426" customFormat="1" ht="17.4" spans="1:25">
      <c r="A73" s="347">
        <v>17</v>
      </c>
      <c r="B73" s="348" t="s">
        <v>52</v>
      </c>
      <c r="C73" s="467">
        <v>50003428</v>
      </c>
      <c r="D73" s="428"/>
      <c r="E73" s="428" t="s">
        <v>422</v>
      </c>
      <c r="F73" s="428" t="s">
        <v>423</v>
      </c>
      <c r="G73" s="428" t="s">
        <v>389</v>
      </c>
      <c r="H73" s="428" t="s">
        <v>390</v>
      </c>
      <c r="I73" s="428">
        <v>6286</v>
      </c>
      <c r="J73" s="457">
        <v>69</v>
      </c>
      <c r="K73" s="458">
        <f>Table_Household_Alloc[[#This Row],[Unit Entitlement]]/1000</f>
        <v>0.069</v>
      </c>
      <c r="L73" s="431">
        <f t="shared" si="1"/>
        <v>16.008</v>
      </c>
      <c r="M73" s="452"/>
      <c r="N73" s="432">
        <f>IF(Table_Household_Alloc[[#This Row],[PV Installed]]="Y",1,0)*Table_Household_Alloc[[#This Row],[Calculated Battery Allocation (kWh)]]</f>
        <v>0</v>
      </c>
      <c r="P73" s="428"/>
      <c r="Q73" s="428"/>
      <c r="R73" s="428"/>
      <c r="S73" s="428" t="s">
        <v>403</v>
      </c>
      <c r="U73" s="434"/>
      <c r="X73" s="464"/>
      <c r="Y73" s="437"/>
    </row>
    <row r="74" s="426" customFormat="1" ht="17.4" spans="1:25">
      <c r="A74" s="347">
        <v>18</v>
      </c>
      <c r="B74" s="348" t="s">
        <v>52</v>
      </c>
      <c r="C74" s="362">
        <v>50002935</v>
      </c>
      <c r="D74" s="428"/>
      <c r="E74" s="428" t="s">
        <v>424</v>
      </c>
      <c r="F74" s="428" t="s">
        <v>425</v>
      </c>
      <c r="G74" s="428" t="s">
        <v>389</v>
      </c>
      <c r="H74" s="428" t="s">
        <v>390</v>
      </c>
      <c r="I74" s="428">
        <v>6286</v>
      </c>
      <c r="J74" s="457">
        <v>69</v>
      </c>
      <c r="K74" s="458">
        <f>Table_Household_Alloc[[#This Row],[Unit Entitlement]]/1000</f>
        <v>0.069</v>
      </c>
      <c r="L74" s="431">
        <f t="shared" si="1"/>
        <v>16.008</v>
      </c>
      <c r="M74" s="452" t="str">
        <f>CONCATENATE("Symo ",Table_Household_Alloc[[#This Row],[Export Capacity (kW)]])</f>
        <v>Symo 10</v>
      </c>
      <c r="N74" s="432">
        <f>IF(Table_Household_Alloc[[#This Row],[PV Installed]]="Y",1,0)*Table_Household_Alloc[[#This Row],[Calculated Battery Allocation (kWh)]]</f>
        <v>16.008</v>
      </c>
      <c r="O74" s="426">
        <v>10</v>
      </c>
      <c r="P74" s="428" t="s">
        <v>221</v>
      </c>
      <c r="Q74" s="428" t="s">
        <v>221</v>
      </c>
      <c r="R74" s="428" t="s">
        <v>221</v>
      </c>
      <c r="S74" s="428" t="s">
        <v>234</v>
      </c>
      <c r="U74" s="434"/>
      <c r="X74" s="464">
        <v>45481</v>
      </c>
      <c r="Y74" s="437" t="s">
        <v>227</v>
      </c>
    </row>
    <row r="75" s="426" customFormat="1" ht="18.15" spans="1:25">
      <c r="A75" s="347">
        <v>19</v>
      </c>
      <c r="B75" s="348" t="s">
        <v>52</v>
      </c>
      <c r="C75" s="362">
        <v>50003417</v>
      </c>
      <c r="D75" s="428"/>
      <c r="E75" s="428" t="s">
        <v>426</v>
      </c>
      <c r="F75" s="428" t="s">
        <v>427</v>
      </c>
      <c r="G75" s="428" t="s">
        <v>389</v>
      </c>
      <c r="H75" s="428" t="s">
        <v>390</v>
      </c>
      <c r="I75" s="428">
        <v>6286</v>
      </c>
      <c r="J75" s="474">
        <v>79</v>
      </c>
      <c r="K75" s="458">
        <f>Table_Household_Alloc[[#This Row],[Unit Entitlement]]/1000</f>
        <v>0.079</v>
      </c>
      <c r="L75" s="431">
        <f t="shared" si="1"/>
        <v>18.328</v>
      </c>
      <c r="M75" s="452" t="str">
        <f>CONCATENATE("Symo ",Table_Household_Alloc[[#This Row],[Export Capacity (kW)]])</f>
        <v>Symo 10</v>
      </c>
      <c r="N75" s="432">
        <f>IF(Table_Household_Alloc[[#This Row],[PV Installed]]="Y",1,0)*Table_Household_Alloc[[#This Row],[Calculated Battery Allocation (kWh)]]</f>
        <v>18.328</v>
      </c>
      <c r="O75" s="426">
        <v>10</v>
      </c>
      <c r="P75" s="428" t="s">
        <v>221</v>
      </c>
      <c r="Q75" s="428" t="s">
        <v>221</v>
      </c>
      <c r="R75" s="428" t="s">
        <v>221</v>
      </c>
      <c r="S75" s="426" t="s">
        <v>234</v>
      </c>
      <c r="U75" s="434"/>
      <c r="X75" s="464">
        <v>44913</v>
      </c>
      <c r="Y75" s="437" t="s">
        <v>227</v>
      </c>
    </row>
    <row r="76" s="426" customFormat="1" ht="18" spans="1:25">
      <c r="A76" s="355" t="s">
        <v>334</v>
      </c>
      <c r="B76" s="348" t="s">
        <v>52</v>
      </c>
      <c r="C76" s="362">
        <v>40002722</v>
      </c>
      <c r="D76" s="428"/>
      <c r="E76" s="440" t="s">
        <v>335</v>
      </c>
      <c r="F76" s="427"/>
      <c r="G76" s="428"/>
      <c r="H76" s="428"/>
      <c r="I76" s="428"/>
      <c r="J76" s="475"/>
      <c r="K76" s="476">
        <f>Table_Household_Alloc[[#This Row],[Unit Entitlement]]/1000</f>
        <v>0</v>
      </c>
      <c r="L76" s="431"/>
      <c r="M76" s="428"/>
      <c r="N76" s="432">
        <f>IF(Table_Household_Alloc[[#This Row],[PV Installed]]="Y",1,0)*Table_Household_Alloc[[#This Row],[Calculated Battery Allocation (kWh)]]</f>
        <v>0</v>
      </c>
      <c r="T76" s="433"/>
      <c r="U76" s="434"/>
      <c r="V76" s="435"/>
      <c r="X76" s="436"/>
      <c r="Y76" s="437"/>
    </row>
    <row r="77" s="426" customFormat="1" ht="17.4" spans="1:25">
      <c r="A77" s="441" t="s">
        <v>336</v>
      </c>
      <c r="B77" s="442" t="s">
        <v>52</v>
      </c>
      <c r="C77" s="468">
        <v>40002728</v>
      </c>
      <c r="D77" s="428"/>
      <c r="E77" s="440" t="s">
        <v>338</v>
      </c>
      <c r="F77" s="428" t="s">
        <v>428</v>
      </c>
      <c r="G77" s="428" t="s">
        <v>219</v>
      </c>
      <c r="H77" s="428" t="s">
        <v>220</v>
      </c>
      <c r="I77" s="428">
        <v>6286</v>
      </c>
      <c r="J77" s="477"/>
      <c r="K77" s="478">
        <f>Table_Household_Alloc[[#This Row],[Unit Entitlement]]/1000</f>
        <v>0</v>
      </c>
      <c r="L77" s="431"/>
      <c r="M77" s="452"/>
      <c r="N77" s="432">
        <f>IF(Table_Household_Alloc[[#This Row],[PV Installed]]="Y",1,0)*Table_Household_Alloc[[#This Row],[Calculated Battery Allocation (kWh)]]</f>
        <v>0</v>
      </c>
      <c r="U77" s="434"/>
      <c r="X77" s="464"/>
      <c r="Y77" s="437"/>
    </row>
    <row r="78" s="426" customFormat="1" ht="17.4" spans="1:25">
      <c r="A78" s="347" t="s">
        <v>339</v>
      </c>
      <c r="B78" s="348" t="s">
        <v>52</v>
      </c>
      <c r="C78" s="362">
        <v>50003429</v>
      </c>
      <c r="D78" s="428"/>
      <c r="E78" s="440" t="s">
        <v>340</v>
      </c>
      <c r="F78" s="428" t="s">
        <v>428</v>
      </c>
      <c r="G78" s="428" t="s">
        <v>219</v>
      </c>
      <c r="H78" s="428" t="s">
        <v>220</v>
      </c>
      <c r="I78" s="428">
        <v>6286</v>
      </c>
      <c r="J78" s="450"/>
      <c r="K78" s="451">
        <f>Table_Household_Alloc[[#This Row],[Unit Entitlement]]/1000</f>
        <v>0</v>
      </c>
      <c r="L78" s="431">
        <f t="shared" si="1"/>
        <v>0</v>
      </c>
      <c r="M78" s="452"/>
      <c r="N78" s="432">
        <f>IF(Table_Household_Alloc[[#This Row],[PV Installed]]="Y",1,0)*Table_Household_Alloc[[#This Row],[Calculated Battery Allocation (kWh)]]</f>
        <v>0</v>
      </c>
      <c r="P78" s="428"/>
      <c r="Q78" s="428"/>
      <c r="R78" s="428"/>
      <c r="S78" s="428"/>
      <c r="U78" s="434"/>
      <c r="X78" s="464"/>
      <c r="Y78" s="437"/>
    </row>
    <row r="79" s="426" customFormat="1" ht="18" spans="1:25">
      <c r="A79" s="360" t="s">
        <v>341</v>
      </c>
      <c r="B79" s="348" t="s">
        <v>52</v>
      </c>
      <c r="C79" s="362"/>
      <c r="D79" s="428"/>
      <c r="E79" s="427"/>
      <c r="F79" s="427"/>
      <c r="G79" s="428"/>
      <c r="H79" s="428"/>
      <c r="I79" s="428"/>
      <c r="J79" s="429"/>
      <c r="K79" s="430">
        <f>Table_Household_Alloc[[#This Row],[Unit Entitlement]]/1000</f>
        <v>0</v>
      </c>
      <c r="L79" s="431"/>
      <c r="M79" s="428"/>
      <c r="N79" s="432">
        <f>IF(Table_Household_Alloc[[#This Row],[PV Installed]]="Y",1,0)*Table_Household_Alloc[[#This Row],[Calculated Battery Allocation (kWh)]]</f>
        <v>0</v>
      </c>
      <c r="T79" s="433"/>
      <c r="U79" s="434"/>
      <c r="V79" s="435"/>
      <c r="X79" s="436"/>
      <c r="Y79" s="437"/>
    </row>
    <row r="80" s="426" customFormat="1" ht="18" spans="1:25">
      <c r="A80" s="361" t="s">
        <v>342</v>
      </c>
      <c r="B80" s="348" t="s">
        <v>52</v>
      </c>
      <c r="C80" s="362"/>
      <c r="D80" s="428"/>
      <c r="E80" s="427"/>
      <c r="F80" s="427"/>
      <c r="G80" s="428"/>
      <c r="H80" s="428"/>
      <c r="I80" s="428"/>
      <c r="J80" s="429"/>
      <c r="K80" s="430">
        <f>Table_Household_Alloc[[#This Row],[Unit Entitlement]]/1000</f>
        <v>0</v>
      </c>
      <c r="L80" s="431"/>
      <c r="M80" s="428"/>
      <c r="N80" s="432">
        <f>IF(Table_Household_Alloc[[#This Row],[PV Installed]]="Y",1,0)*Table_Household_Alloc[[#This Row],[Calculated Battery Allocation (kWh)]]</f>
        <v>0</v>
      </c>
      <c r="T80" s="433"/>
      <c r="U80" s="434"/>
      <c r="V80" s="435"/>
      <c r="X80" s="436"/>
      <c r="Y80" s="437"/>
    </row>
    <row r="81" s="426" customFormat="1" ht="17.4" spans="1:25">
      <c r="A81" s="347">
        <v>1</v>
      </c>
      <c r="B81" s="348" t="s">
        <v>54</v>
      </c>
      <c r="C81" s="352">
        <v>50002920</v>
      </c>
      <c r="D81" s="428"/>
      <c r="E81" s="428" t="s">
        <v>429</v>
      </c>
      <c r="F81" s="428" t="s">
        <v>430</v>
      </c>
      <c r="G81" s="428" t="s">
        <v>389</v>
      </c>
      <c r="H81" s="428" t="s">
        <v>390</v>
      </c>
      <c r="I81" s="428">
        <v>6286</v>
      </c>
      <c r="J81" s="450">
        <v>40</v>
      </c>
      <c r="K81" s="451">
        <f>Table_Household_Alloc[[#This Row],[Unit Entitlement]]/1000</f>
        <v>0.04</v>
      </c>
      <c r="L81" s="431">
        <f>J81/1000*232</f>
        <v>9.28</v>
      </c>
      <c r="M81" s="452"/>
      <c r="N81" s="432">
        <f>IF(Table_Household_Alloc[[#This Row],[PV Installed]]="Y",1,0)*Table_Household_Alloc[[#This Row],[Calculated Battery Allocation (kWh)]]</f>
        <v>0</v>
      </c>
      <c r="P81" s="428"/>
      <c r="Q81" s="428"/>
      <c r="R81" s="428"/>
      <c r="S81" s="428" t="s">
        <v>223</v>
      </c>
      <c r="T81" s="426" t="s">
        <v>431</v>
      </c>
      <c r="U81" s="434" t="s">
        <v>432</v>
      </c>
      <c r="V81" s="426" t="s">
        <v>433</v>
      </c>
      <c r="X81" s="464"/>
      <c r="Y81" s="437"/>
    </row>
    <row r="82" s="426" customFormat="1" ht="17.4" spans="1:25">
      <c r="A82" s="347">
        <v>2</v>
      </c>
      <c r="B82" s="348" t="s">
        <v>54</v>
      </c>
      <c r="C82" s="362">
        <v>50002903</v>
      </c>
      <c r="D82" s="428"/>
      <c r="E82" s="428" t="s">
        <v>434</v>
      </c>
      <c r="F82" s="428" t="s">
        <v>435</v>
      </c>
      <c r="G82" s="428" t="s">
        <v>389</v>
      </c>
      <c r="H82" s="428" t="s">
        <v>390</v>
      </c>
      <c r="I82" s="428">
        <v>6286</v>
      </c>
      <c r="J82" s="450">
        <v>40</v>
      </c>
      <c r="K82" s="451">
        <f>Table_Household_Alloc[[#This Row],[Unit Entitlement]]/1000</f>
        <v>0.04</v>
      </c>
      <c r="L82" s="431">
        <f t="shared" ref="L82:L154" si="2">J82/1000*232</f>
        <v>9.28</v>
      </c>
      <c r="M82" s="452" t="str">
        <f>CONCATENATE("Symo ",Table_Household_Alloc[[#This Row],[Export Capacity (kW)]])</f>
        <v>Symo 8.2</v>
      </c>
      <c r="N82" s="432">
        <f>IF(Table_Household_Alloc[[#This Row],[PV Installed]]="Y",1,0)*Table_Household_Alloc[[#This Row],[Calculated Battery Allocation (kWh)]]</f>
        <v>9.28</v>
      </c>
      <c r="O82" s="426">
        <v>8.2</v>
      </c>
      <c r="P82" s="428" t="s">
        <v>221</v>
      </c>
      <c r="Q82" s="428" t="s">
        <v>221</v>
      </c>
      <c r="R82" s="428" t="s">
        <v>221</v>
      </c>
      <c r="S82" s="428" t="s">
        <v>234</v>
      </c>
      <c r="T82" s="426" t="s">
        <v>436</v>
      </c>
      <c r="U82" s="434" t="s">
        <v>437</v>
      </c>
      <c r="V82" s="426" t="s">
        <v>438</v>
      </c>
      <c r="X82" s="464">
        <v>44986</v>
      </c>
      <c r="Y82" s="437" t="s">
        <v>227</v>
      </c>
    </row>
    <row r="83" s="426" customFormat="1" ht="17.4" spans="1:25">
      <c r="A83" s="347">
        <v>3</v>
      </c>
      <c r="B83" s="348" t="s">
        <v>54</v>
      </c>
      <c r="C83" s="352"/>
      <c r="D83" s="428"/>
      <c r="E83" s="428" t="s">
        <v>439</v>
      </c>
      <c r="F83" s="428" t="s">
        <v>440</v>
      </c>
      <c r="G83" s="428" t="s">
        <v>389</v>
      </c>
      <c r="H83" s="428" t="s">
        <v>390</v>
      </c>
      <c r="I83" s="428">
        <v>6286</v>
      </c>
      <c r="J83" s="450">
        <v>40</v>
      </c>
      <c r="K83" s="451">
        <f>Table_Household_Alloc[[#This Row],[Unit Entitlement]]/1000</f>
        <v>0.04</v>
      </c>
      <c r="L83" s="431">
        <f t="shared" si="2"/>
        <v>9.28</v>
      </c>
      <c r="M83" s="452"/>
      <c r="N83" s="432">
        <f>IF(Table_Household_Alloc[[#This Row],[PV Installed]]="Y",1,0)*Table_Household_Alloc[[#This Row],[Calculated Battery Allocation (kWh)]]</f>
        <v>0</v>
      </c>
      <c r="P83" s="428"/>
      <c r="Q83" s="428"/>
      <c r="R83" s="428"/>
      <c r="S83" s="428" t="s">
        <v>307</v>
      </c>
      <c r="T83" s="426" t="s">
        <v>441</v>
      </c>
      <c r="U83" s="434"/>
      <c r="V83" s="426" t="s">
        <v>442</v>
      </c>
      <c r="X83" s="464"/>
      <c r="Y83" s="437"/>
    </row>
    <row r="84" s="426" customFormat="1" ht="17.4" spans="1:25">
      <c r="A84" s="347">
        <v>4</v>
      </c>
      <c r="B84" s="348" t="s">
        <v>54</v>
      </c>
      <c r="C84" s="352"/>
      <c r="D84" s="428"/>
      <c r="E84" s="428" t="s">
        <v>443</v>
      </c>
      <c r="F84" s="428" t="s">
        <v>444</v>
      </c>
      <c r="G84" s="428" t="s">
        <v>389</v>
      </c>
      <c r="H84" s="428" t="s">
        <v>390</v>
      </c>
      <c r="I84" s="428">
        <v>6286</v>
      </c>
      <c r="J84" s="450">
        <v>40</v>
      </c>
      <c r="K84" s="451">
        <f>Table_Household_Alloc[[#This Row],[Unit Entitlement]]/1000</f>
        <v>0.04</v>
      </c>
      <c r="L84" s="431">
        <f t="shared" si="2"/>
        <v>9.28</v>
      </c>
      <c r="M84" s="452"/>
      <c r="N84" s="432">
        <f>IF(Table_Household_Alloc[[#This Row],[PV Installed]]="Y",1,0)*Table_Household_Alloc[[#This Row],[Calculated Battery Allocation (kWh)]]</f>
        <v>0</v>
      </c>
      <c r="P84" s="428"/>
      <c r="Q84" s="428"/>
      <c r="R84" s="428"/>
      <c r="S84" s="428" t="s">
        <v>307</v>
      </c>
      <c r="T84" s="426" t="s">
        <v>445</v>
      </c>
      <c r="U84" s="434"/>
      <c r="V84" s="426" t="s">
        <v>446</v>
      </c>
      <c r="X84" s="464"/>
      <c r="Y84" s="437"/>
    </row>
    <row r="85" s="426" customFormat="1" ht="17.4" spans="1:25">
      <c r="A85" s="347">
        <v>5</v>
      </c>
      <c r="B85" s="348" t="s">
        <v>54</v>
      </c>
      <c r="C85" s="362">
        <v>50002911</v>
      </c>
      <c r="D85" s="428"/>
      <c r="E85" s="428" t="s">
        <v>447</v>
      </c>
      <c r="F85" s="428" t="s">
        <v>448</v>
      </c>
      <c r="G85" s="428" t="s">
        <v>389</v>
      </c>
      <c r="H85" s="428" t="s">
        <v>390</v>
      </c>
      <c r="I85" s="428">
        <v>6286</v>
      </c>
      <c r="J85" s="450">
        <v>42</v>
      </c>
      <c r="K85" s="451">
        <f>Table_Household_Alloc[[#This Row],[Unit Entitlement]]/1000</f>
        <v>0.042</v>
      </c>
      <c r="L85" s="431">
        <f t="shared" si="2"/>
        <v>9.744</v>
      </c>
      <c r="M85" s="452" t="str">
        <f>CONCATENATE("Symo ",Table_Household_Alloc[[#This Row],[Export Capacity (kW)]])</f>
        <v>Symo 8.2</v>
      </c>
      <c r="N85" s="432">
        <f>IF(Table_Household_Alloc[[#This Row],[PV Installed]]="Y",1,0)*Table_Household_Alloc[[#This Row],[Calculated Battery Allocation (kWh)]]</f>
        <v>9.744</v>
      </c>
      <c r="O85" s="426">
        <v>8.2</v>
      </c>
      <c r="P85" s="428" t="s">
        <v>221</v>
      </c>
      <c r="Q85" s="428" t="s">
        <v>221</v>
      </c>
      <c r="R85" s="428" t="s">
        <v>221</v>
      </c>
      <c r="S85" s="428" t="s">
        <v>234</v>
      </c>
      <c r="T85" s="426" t="s">
        <v>449</v>
      </c>
      <c r="U85" s="434" t="s">
        <v>450</v>
      </c>
      <c r="V85" s="426" t="s">
        <v>451</v>
      </c>
      <c r="X85" s="464">
        <v>45108</v>
      </c>
      <c r="Y85" s="437" t="s">
        <v>227</v>
      </c>
    </row>
    <row r="86" s="426" customFormat="1" ht="17.4" spans="1:25">
      <c r="A86" s="347">
        <v>6</v>
      </c>
      <c r="B86" s="348" t="s">
        <v>54</v>
      </c>
      <c r="C86" s="352"/>
      <c r="D86" s="428"/>
      <c r="E86" s="428" t="s">
        <v>452</v>
      </c>
      <c r="F86" s="428" t="s">
        <v>453</v>
      </c>
      <c r="G86" s="428" t="s">
        <v>389</v>
      </c>
      <c r="H86" s="428" t="s">
        <v>390</v>
      </c>
      <c r="I86" s="428">
        <v>6286</v>
      </c>
      <c r="J86" s="450">
        <v>41</v>
      </c>
      <c r="K86" s="451">
        <f>Table_Household_Alloc[[#This Row],[Unit Entitlement]]/1000</f>
        <v>0.041</v>
      </c>
      <c r="L86" s="431">
        <f t="shared" si="2"/>
        <v>9.512</v>
      </c>
      <c r="M86" s="452"/>
      <c r="N86" s="432">
        <f>IF(Table_Household_Alloc[[#This Row],[PV Installed]]="Y",1,0)*Table_Household_Alloc[[#This Row],[Calculated Battery Allocation (kWh)]]</f>
        <v>0</v>
      </c>
      <c r="P86" s="428"/>
      <c r="Q86" s="428"/>
      <c r="R86" s="428"/>
      <c r="S86" s="428" t="s">
        <v>307</v>
      </c>
      <c r="T86" s="426" t="s">
        <v>454</v>
      </c>
      <c r="U86" s="434"/>
      <c r="V86" s="426" t="s">
        <v>455</v>
      </c>
      <c r="X86" s="464"/>
      <c r="Y86" s="437"/>
    </row>
    <row r="87" s="426" customFormat="1" ht="17.4" spans="1:25">
      <c r="A87" s="347">
        <v>7</v>
      </c>
      <c r="B87" s="348" t="s">
        <v>54</v>
      </c>
      <c r="C87" s="352"/>
      <c r="D87" s="428"/>
      <c r="E87" s="428" t="s">
        <v>456</v>
      </c>
      <c r="F87" s="428" t="s">
        <v>457</v>
      </c>
      <c r="G87" s="428" t="s">
        <v>389</v>
      </c>
      <c r="H87" s="428" t="s">
        <v>390</v>
      </c>
      <c r="I87" s="428">
        <v>6286</v>
      </c>
      <c r="J87" s="450">
        <v>40</v>
      </c>
      <c r="K87" s="451">
        <f>Table_Household_Alloc[[#This Row],[Unit Entitlement]]/1000</f>
        <v>0.04</v>
      </c>
      <c r="L87" s="431">
        <f t="shared" si="2"/>
        <v>9.28</v>
      </c>
      <c r="M87" s="452"/>
      <c r="N87" s="432">
        <f>IF(Table_Household_Alloc[[#This Row],[PV Installed]]="Y",1,0)*Table_Household_Alloc[[#This Row],[Calculated Battery Allocation (kWh)]]</f>
        <v>0</v>
      </c>
      <c r="P87" s="428"/>
      <c r="Q87" s="428"/>
      <c r="R87" s="428"/>
      <c r="S87" s="428" t="s">
        <v>307</v>
      </c>
      <c r="T87" s="426" t="s">
        <v>458</v>
      </c>
      <c r="U87" s="434" t="s">
        <v>459</v>
      </c>
      <c r="V87" s="426" t="s">
        <v>460</v>
      </c>
      <c r="X87" s="464"/>
      <c r="Y87" s="437"/>
    </row>
    <row r="88" s="426" customFormat="1" ht="17.4" spans="1:25">
      <c r="A88" s="347">
        <v>8</v>
      </c>
      <c r="B88" s="348" t="s">
        <v>54</v>
      </c>
      <c r="C88" s="352"/>
      <c r="D88" s="428"/>
      <c r="E88" s="428" t="s">
        <v>461</v>
      </c>
      <c r="F88" s="428" t="s">
        <v>462</v>
      </c>
      <c r="G88" s="428" t="s">
        <v>389</v>
      </c>
      <c r="H88" s="428" t="s">
        <v>390</v>
      </c>
      <c r="I88" s="428">
        <v>6286</v>
      </c>
      <c r="J88" s="450">
        <v>39</v>
      </c>
      <c r="K88" s="451">
        <f>Table_Household_Alloc[[#This Row],[Unit Entitlement]]/1000</f>
        <v>0.039</v>
      </c>
      <c r="L88" s="431">
        <f t="shared" si="2"/>
        <v>9.048</v>
      </c>
      <c r="M88" s="452"/>
      <c r="N88" s="432">
        <f>IF(Table_Household_Alloc[[#This Row],[PV Installed]]="Y",1,0)*Table_Household_Alloc[[#This Row],[Calculated Battery Allocation (kWh)]]</f>
        <v>0</v>
      </c>
      <c r="P88" s="428"/>
      <c r="Q88" s="428"/>
      <c r="R88" s="428"/>
      <c r="S88" s="428" t="s">
        <v>307</v>
      </c>
      <c r="T88" s="426" t="s">
        <v>463</v>
      </c>
      <c r="U88" s="434"/>
      <c r="V88" s="426" t="s">
        <v>464</v>
      </c>
      <c r="X88" s="464"/>
      <c r="Y88" s="437"/>
    </row>
    <row r="89" s="426" customFormat="1" ht="17.4" spans="1:25">
      <c r="A89" s="347">
        <v>9</v>
      </c>
      <c r="B89" s="348" t="s">
        <v>54</v>
      </c>
      <c r="C89" s="352">
        <v>50002909</v>
      </c>
      <c r="D89" s="428"/>
      <c r="E89" s="428" t="s">
        <v>465</v>
      </c>
      <c r="F89" s="428" t="s">
        <v>466</v>
      </c>
      <c r="G89" s="428" t="s">
        <v>389</v>
      </c>
      <c r="H89" s="428" t="s">
        <v>390</v>
      </c>
      <c r="I89" s="428">
        <v>6286</v>
      </c>
      <c r="J89" s="450">
        <v>54</v>
      </c>
      <c r="K89" s="451">
        <f>Table_Household_Alloc[[#This Row],[Unit Entitlement]]/1000</f>
        <v>0.054</v>
      </c>
      <c r="L89" s="431">
        <f t="shared" si="2"/>
        <v>12.528</v>
      </c>
      <c r="M89" s="452"/>
      <c r="N89" s="432">
        <f>IF(Table_Household_Alloc[[#This Row],[PV Installed]]="Y",1,0)*Table_Household_Alloc[[#This Row],[Calculated Battery Allocation (kWh)]]</f>
        <v>0</v>
      </c>
      <c r="P89" s="428"/>
      <c r="Q89" s="428"/>
      <c r="R89" s="428"/>
      <c r="S89" s="428" t="s">
        <v>234</v>
      </c>
      <c r="T89" s="426" t="s">
        <v>467</v>
      </c>
      <c r="U89" s="434" t="s">
        <v>468</v>
      </c>
      <c r="V89" s="426" t="s">
        <v>469</v>
      </c>
      <c r="X89" s="464">
        <v>45139</v>
      </c>
      <c r="Y89" s="437" t="s">
        <v>227</v>
      </c>
    </row>
    <row r="90" s="426" customFormat="1" ht="17.4" spans="1:25">
      <c r="A90" s="347">
        <v>10</v>
      </c>
      <c r="B90" s="348" t="s">
        <v>54</v>
      </c>
      <c r="C90" s="352"/>
      <c r="D90" s="428"/>
      <c r="E90" s="428" t="s">
        <v>470</v>
      </c>
      <c r="F90" s="428" t="s">
        <v>471</v>
      </c>
      <c r="G90" s="428" t="s">
        <v>389</v>
      </c>
      <c r="H90" s="428" t="s">
        <v>390</v>
      </c>
      <c r="I90" s="428">
        <v>6286</v>
      </c>
      <c r="J90" s="450">
        <v>54</v>
      </c>
      <c r="K90" s="451">
        <f>Table_Household_Alloc[[#This Row],[Unit Entitlement]]/1000</f>
        <v>0.054</v>
      </c>
      <c r="L90" s="431">
        <f t="shared" si="2"/>
        <v>12.528</v>
      </c>
      <c r="M90" s="452"/>
      <c r="N90" s="432">
        <f>IF(Table_Household_Alloc[[#This Row],[PV Installed]]="Y",1,0)*Table_Household_Alloc[[#This Row],[Calculated Battery Allocation (kWh)]]</f>
        <v>0</v>
      </c>
      <c r="P90" s="428"/>
      <c r="Q90" s="428"/>
      <c r="R90" s="428"/>
      <c r="S90" s="428" t="s">
        <v>307</v>
      </c>
      <c r="T90" s="426" t="s">
        <v>472</v>
      </c>
      <c r="U90" s="434" t="s">
        <v>473</v>
      </c>
      <c r="V90" s="426" t="s">
        <v>474</v>
      </c>
      <c r="X90" s="464"/>
      <c r="Y90" s="437"/>
    </row>
    <row r="91" s="426" customFormat="1" ht="17.4" spans="1:25">
      <c r="A91" s="347">
        <v>11</v>
      </c>
      <c r="B91" s="348" t="s">
        <v>54</v>
      </c>
      <c r="C91" s="352"/>
      <c r="D91" s="428"/>
      <c r="E91" s="428" t="s">
        <v>475</v>
      </c>
      <c r="F91" s="428" t="s">
        <v>476</v>
      </c>
      <c r="G91" s="428" t="s">
        <v>389</v>
      </c>
      <c r="H91" s="428" t="s">
        <v>390</v>
      </c>
      <c r="I91" s="428">
        <v>6286</v>
      </c>
      <c r="J91" s="450">
        <v>54</v>
      </c>
      <c r="K91" s="451">
        <f>Table_Household_Alloc[[#This Row],[Unit Entitlement]]/1000</f>
        <v>0.054</v>
      </c>
      <c r="L91" s="431">
        <f t="shared" si="2"/>
        <v>12.528</v>
      </c>
      <c r="M91" s="452"/>
      <c r="N91" s="432">
        <f>IF(Table_Household_Alloc[[#This Row],[PV Installed]]="Y",1,0)*Table_Household_Alloc[[#This Row],[Calculated Battery Allocation (kWh)]]</f>
        <v>0</v>
      </c>
      <c r="P91" s="428"/>
      <c r="Q91" s="428"/>
      <c r="R91" s="428"/>
      <c r="S91" s="428" t="s">
        <v>307</v>
      </c>
      <c r="T91" s="426" t="s">
        <v>477</v>
      </c>
      <c r="U91" s="434"/>
      <c r="V91" s="426" t="s">
        <v>478</v>
      </c>
      <c r="X91" s="464"/>
      <c r="Y91" s="437"/>
    </row>
    <row r="92" s="426" customFormat="1" ht="17.4" spans="1:25">
      <c r="A92" s="347">
        <v>12</v>
      </c>
      <c r="B92" s="348" t="s">
        <v>54</v>
      </c>
      <c r="C92" s="362">
        <v>50002897</v>
      </c>
      <c r="D92" s="428"/>
      <c r="E92" s="428" t="s">
        <v>479</v>
      </c>
      <c r="F92" s="428" t="s">
        <v>480</v>
      </c>
      <c r="G92" s="428" t="s">
        <v>389</v>
      </c>
      <c r="H92" s="428" t="s">
        <v>390</v>
      </c>
      <c r="I92" s="428">
        <v>6286</v>
      </c>
      <c r="J92" s="450">
        <v>54</v>
      </c>
      <c r="K92" s="451">
        <f>Table_Household_Alloc[[#This Row],[Unit Entitlement]]/1000</f>
        <v>0.054</v>
      </c>
      <c r="L92" s="431">
        <f t="shared" si="2"/>
        <v>12.528</v>
      </c>
      <c r="M92" s="452" t="str">
        <f>CONCATENATE("Symo ",Table_Household_Alloc[[#This Row],[Export Capacity (kW)]])</f>
        <v>Symo 10</v>
      </c>
      <c r="N92" s="432">
        <f>IF(Table_Household_Alloc[[#This Row],[PV Installed]]="Y",1,0)*Table_Household_Alloc[[#This Row],[Calculated Battery Allocation (kWh)]]</f>
        <v>12.528</v>
      </c>
      <c r="O92" s="426">
        <v>10</v>
      </c>
      <c r="P92" s="428" t="s">
        <v>221</v>
      </c>
      <c r="Q92" s="428" t="s">
        <v>221</v>
      </c>
      <c r="R92" s="428" t="s">
        <v>221</v>
      </c>
      <c r="S92" s="428" t="s">
        <v>234</v>
      </c>
      <c r="T92" s="426" t="s">
        <v>481</v>
      </c>
      <c r="U92" s="434" t="s">
        <v>482</v>
      </c>
      <c r="V92" s="426" t="s">
        <v>483</v>
      </c>
      <c r="X92" s="464">
        <v>45078</v>
      </c>
      <c r="Y92" s="437" t="s">
        <v>227</v>
      </c>
    </row>
    <row r="93" s="426" customFormat="1" ht="17.4" spans="1:25">
      <c r="A93" s="347">
        <v>13</v>
      </c>
      <c r="B93" s="348" t="s">
        <v>54</v>
      </c>
      <c r="C93" s="362">
        <v>50002839</v>
      </c>
      <c r="D93" s="428"/>
      <c r="E93" s="428" t="s">
        <v>484</v>
      </c>
      <c r="F93" s="428" t="s">
        <v>485</v>
      </c>
      <c r="G93" s="428" t="s">
        <v>389</v>
      </c>
      <c r="H93" s="428" t="s">
        <v>390</v>
      </c>
      <c r="I93" s="428">
        <v>6286</v>
      </c>
      <c r="J93" s="450">
        <v>56</v>
      </c>
      <c r="K93" s="451">
        <f>Table_Household_Alloc[[#This Row],[Unit Entitlement]]/1000</f>
        <v>0.056</v>
      </c>
      <c r="L93" s="431">
        <f t="shared" si="2"/>
        <v>12.992</v>
      </c>
      <c r="M93" s="452"/>
      <c r="N93" s="432">
        <f>IF(Table_Household_Alloc[[#This Row],[PV Installed]]="Y",1,0)*Table_Household_Alloc[[#This Row],[Calculated Battery Allocation (kWh)]]</f>
        <v>0</v>
      </c>
      <c r="P93" s="428" t="s">
        <v>221</v>
      </c>
      <c r="Q93" s="428"/>
      <c r="R93" s="428" t="s">
        <v>221</v>
      </c>
      <c r="S93" s="428" t="s">
        <v>234</v>
      </c>
      <c r="T93" s="426" t="s">
        <v>486</v>
      </c>
      <c r="U93" s="434" t="s">
        <v>487</v>
      </c>
      <c r="V93" s="426" t="s">
        <v>488</v>
      </c>
      <c r="X93" s="464">
        <v>45261</v>
      </c>
      <c r="Y93" s="437" t="s">
        <v>227</v>
      </c>
    </row>
    <row r="94" s="426" customFormat="1" ht="17.4" spans="1:25">
      <c r="A94" s="347">
        <v>14</v>
      </c>
      <c r="B94" s="348" t="s">
        <v>54</v>
      </c>
      <c r="C94" s="370">
        <v>50002863</v>
      </c>
      <c r="D94" s="428"/>
      <c r="E94" s="428" t="s">
        <v>489</v>
      </c>
      <c r="F94" s="428" t="s">
        <v>490</v>
      </c>
      <c r="G94" s="428" t="s">
        <v>389</v>
      </c>
      <c r="H94" s="428" t="s">
        <v>390</v>
      </c>
      <c r="I94" s="428">
        <v>6286</v>
      </c>
      <c r="J94" s="450">
        <v>28</v>
      </c>
      <c r="K94" s="451">
        <f>Table_Household_Alloc[[#This Row],[Unit Entitlement]]/1000</f>
        <v>0.028</v>
      </c>
      <c r="L94" s="431">
        <f t="shared" si="2"/>
        <v>6.496</v>
      </c>
      <c r="M94" s="452" t="str">
        <f>CONCATENATE("Symo ",Table_Household_Alloc[[#This Row],[Export Capacity (kW)]])</f>
        <v>Symo 5</v>
      </c>
      <c r="N94" s="432">
        <f>IF(Table_Household_Alloc[[#This Row],[PV Installed]]="Y",1,0)*Table_Household_Alloc[[#This Row],[Calculated Battery Allocation (kWh)]]</f>
        <v>6.496</v>
      </c>
      <c r="O94" s="426">
        <v>5</v>
      </c>
      <c r="P94" s="428" t="s">
        <v>221</v>
      </c>
      <c r="Q94" s="428" t="s">
        <v>221</v>
      </c>
      <c r="R94" s="428" t="s">
        <v>221</v>
      </c>
      <c r="S94" s="428" t="s">
        <v>234</v>
      </c>
      <c r="T94" s="426" t="s">
        <v>491</v>
      </c>
      <c r="U94" s="434" t="s">
        <v>492</v>
      </c>
      <c r="V94" s="426" t="s">
        <v>493</v>
      </c>
      <c r="X94" s="464">
        <v>45536</v>
      </c>
      <c r="Y94" s="437" t="s">
        <v>227</v>
      </c>
    </row>
    <row r="95" s="426" customFormat="1" ht="17.4" spans="1:25">
      <c r="A95" s="347">
        <v>15</v>
      </c>
      <c r="B95" s="348" t="s">
        <v>54</v>
      </c>
      <c r="C95" s="362">
        <v>50002947</v>
      </c>
      <c r="D95" s="428"/>
      <c r="E95" s="428" t="s">
        <v>494</v>
      </c>
      <c r="F95" s="428" t="s">
        <v>495</v>
      </c>
      <c r="G95" s="428" t="s">
        <v>389</v>
      </c>
      <c r="H95" s="428" t="s">
        <v>390</v>
      </c>
      <c r="I95" s="428">
        <v>6286</v>
      </c>
      <c r="J95" s="450">
        <v>28</v>
      </c>
      <c r="K95" s="451">
        <f>Table_Household_Alloc[[#This Row],[Unit Entitlement]]/1000</f>
        <v>0.028</v>
      </c>
      <c r="L95" s="431">
        <f t="shared" si="2"/>
        <v>6.496</v>
      </c>
      <c r="M95" s="452" t="str">
        <f>CONCATENATE("Symo ",Table_Household_Alloc[[#This Row],[Export Capacity (kW)]])</f>
        <v>Symo 5</v>
      </c>
      <c r="N95" s="432">
        <f>IF(Table_Household_Alloc[[#This Row],[PV Installed]]="Y",1,0)*Table_Household_Alloc[[#This Row],[Calculated Battery Allocation (kWh)]]</f>
        <v>6.496</v>
      </c>
      <c r="O95" s="426">
        <v>5</v>
      </c>
      <c r="P95" s="428" t="s">
        <v>221</v>
      </c>
      <c r="Q95" s="428" t="s">
        <v>221</v>
      </c>
      <c r="R95" s="428" t="s">
        <v>221</v>
      </c>
      <c r="S95" s="428" t="s">
        <v>234</v>
      </c>
      <c r="T95" s="426" t="s">
        <v>496</v>
      </c>
      <c r="U95" s="434"/>
      <c r="V95" s="426" t="s">
        <v>497</v>
      </c>
      <c r="X95" s="464">
        <v>45413</v>
      </c>
      <c r="Y95" s="437" t="s">
        <v>227</v>
      </c>
    </row>
    <row r="96" s="426" customFormat="1" ht="17.4" spans="1:25">
      <c r="A96" s="347">
        <v>16</v>
      </c>
      <c r="B96" s="348" t="s">
        <v>54</v>
      </c>
      <c r="C96" s="352"/>
      <c r="D96" s="428"/>
      <c r="E96" s="428" t="s">
        <v>498</v>
      </c>
      <c r="F96" s="428" t="s">
        <v>499</v>
      </c>
      <c r="G96" s="428" t="s">
        <v>389</v>
      </c>
      <c r="H96" s="428" t="s">
        <v>390</v>
      </c>
      <c r="I96" s="428">
        <v>6286</v>
      </c>
      <c r="J96" s="450">
        <v>28</v>
      </c>
      <c r="K96" s="451">
        <f>Table_Household_Alloc[[#This Row],[Unit Entitlement]]/1000</f>
        <v>0.028</v>
      </c>
      <c r="L96" s="431">
        <f t="shared" si="2"/>
        <v>6.496</v>
      </c>
      <c r="M96" s="452"/>
      <c r="N96" s="432">
        <f>IF(Table_Household_Alloc[[#This Row],[PV Installed]]="Y",1,0)*Table_Household_Alloc[[#This Row],[Calculated Battery Allocation (kWh)]]</f>
        <v>0</v>
      </c>
      <c r="P96" s="428"/>
      <c r="Q96" s="428"/>
      <c r="R96" s="428"/>
      <c r="S96" s="428" t="s">
        <v>307</v>
      </c>
      <c r="T96" s="426" t="s">
        <v>500</v>
      </c>
      <c r="U96" s="434"/>
      <c r="V96" s="426" t="s">
        <v>501</v>
      </c>
      <c r="X96" s="464"/>
      <c r="Y96" s="437"/>
    </row>
    <row r="97" s="426" customFormat="1" ht="17.4" spans="1:25">
      <c r="A97" s="347">
        <v>17</v>
      </c>
      <c r="B97" s="348" t="s">
        <v>54</v>
      </c>
      <c r="C97" s="362">
        <v>50002902</v>
      </c>
      <c r="D97" s="428"/>
      <c r="E97" s="428" t="s">
        <v>502</v>
      </c>
      <c r="F97" s="428" t="s">
        <v>503</v>
      </c>
      <c r="G97" s="428" t="s">
        <v>389</v>
      </c>
      <c r="H97" s="428" t="s">
        <v>390</v>
      </c>
      <c r="I97" s="428">
        <v>6286</v>
      </c>
      <c r="J97" s="450">
        <v>28</v>
      </c>
      <c r="K97" s="451">
        <f>Table_Household_Alloc[[#This Row],[Unit Entitlement]]/1000</f>
        <v>0.028</v>
      </c>
      <c r="L97" s="431">
        <f t="shared" si="2"/>
        <v>6.496</v>
      </c>
      <c r="M97" s="452" t="str">
        <f>CONCATENATE("Symo ",Table_Household_Alloc[[#This Row],[Export Capacity (kW)]])</f>
        <v>Symo 5</v>
      </c>
      <c r="N97" s="432">
        <f>IF(Table_Household_Alloc[[#This Row],[PV Installed]]="Y",1,0)*Table_Household_Alloc[[#This Row],[Calculated Battery Allocation (kWh)]]</f>
        <v>6.496</v>
      </c>
      <c r="O97" s="426">
        <v>5</v>
      </c>
      <c r="P97" s="428" t="s">
        <v>221</v>
      </c>
      <c r="Q97" s="428" t="s">
        <v>221</v>
      </c>
      <c r="R97" s="428" t="s">
        <v>221</v>
      </c>
      <c r="S97" s="428" t="s">
        <v>234</v>
      </c>
      <c r="T97" s="426" t="s">
        <v>504</v>
      </c>
      <c r="U97" s="434"/>
      <c r="V97" s="426" t="s">
        <v>505</v>
      </c>
      <c r="X97" s="464">
        <v>45536</v>
      </c>
      <c r="Y97" s="437" t="s">
        <v>227</v>
      </c>
    </row>
    <row r="98" s="426" customFormat="1" ht="17.4" spans="1:25">
      <c r="A98" s="347">
        <v>18</v>
      </c>
      <c r="B98" s="348" t="s">
        <v>54</v>
      </c>
      <c r="C98" s="362">
        <v>50002950</v>
      </c>
      <c r="D98" s="428"/>
      <c r="E98" s="428" t="s">
        <v>506</v>
      </c>
      <c r="F98" s="428" t="s">
        <v>507</v>
      </c>
      <c r="G98" s="428" t="s">
        <v>389</v>
      </c>
      <c r="H98" s="428" t="s">
        <v>390</v>
      </c>
      <c r="I98" s="428">
        <v>6286</v>
      </c>
      <c r="J98" s="450">
        <v>28</v>
      </c>
      <c r="K98" s="451">
        <f>Table_Household_Alloc[[#This Row],[Unit Entitlement]]/1000</f>
        <v>0.028</v>
      </c>
      <c r="L98" s="431">
        <f t="shared" si="2"/>
        <v>6.496</v>
      </c>
      <c r="M98" s="452" t="str">
        <f>CONCATENATE("Symo ",Table_Household_Alloc[[#This Row],[Export Capacity (kW)]])</f>
        <v>Symo 5</v>
      </c>
      <c r="N98" s="432">
        <f>IF(Table_Household_Alloc[[#This Row],[PV Installed]]="Y",1,0)*Table_Household_Alloc[[#This Row],[Calculated Battery Allocation (kWh)]]</f>
        <v>6.496</v>
      </c>
      <c r="O98" s="426">
        <v>5</v>
      </c>
      <c r="P98" s="428" t="s">
        <v>221</v>
      </c>
      <c r="Q98" s="428" t="s">
        <v>221</v>
      </c>
      <c r="R98" s="428" t="s">
        <v>221</v>
      </c>
      <c r="S98" s="428" t="s">
        <v>234</v>
      </c>
      <c r="T98" s="426" t="s">
        <v>508</v>
      </c>
      <c r="U98" s="434" t="s">
        <v>509</v>
      </c>
      <c r="V98" s="426" t="s">
        <v>510</v>
      </c>
      <c r="X98" s="464">
        <v>45536</v>
      </c>
      <c r="Y98" s="437" t="s">
        <v>227</v>
      </c>
    </row>
    <row r="99" s="426" customFormat="1" ht="17.4" spans="1:25">
      <c r="A99" s="347">
        <v>19</v>
      </c>
      <c r="B99" s="348" t="s">
        <v>54</v>
      </c>
      <c r="C99" s="362">
        <v>50002936</v>
      </c>
      <c r="D99" s="428"/>
      <c r="E99" s="428" t="s">
        <v>511</v>
      </c>
      <c r="F99" s="428" t="s">
        <v>512</v>
      </c>
      <c r="G99" s="428" t="s">
        <v>389</v>
      </c>
      <c r="H99" s="428" t="s">
        <v>390</v>
      </c>
      <c r="I99" s="428">
        <v>6286</v>
      </c>
      <c r="J99" s="450">
        <v>30</v>
      </c>
      <c r="K99" s="451">
        <f>Table_Household_Alloc[[#This Row],[Unit Entitlement]]/1000</f>
        <v>0.03</v>
      </c>
      <c r="L99" s="431">
        <f t="shared" si="2"/>
        <v>6.96</v>
      </c>
      <c r="M99" s="452" t="str">
        <f>CONCATENATE("Symo ",Table_Household_Alloc[[#This Row],[Export Capacity (kW)]])</f>
        <v>Symo 5</v>
      </c>
      <c r="N99" s="432">
        <f>IF(Table_Household_Alloc[[#This Row],[PV Installed]]="Y",1,0)*Table_Household_Alloc[[#This Row],[Calculated Battery Allocation (kWh)]]</f>
        <v>6.96</v>
      </c>
      <c r="O99" s="426">
        <v>5</v>
      </c>
      <c r="P99" s="428" t="s">
        <v>221</v>
      </c>
      <c r="Q99" s="428" t="s">
        <v>221</v>
      </c>
      <c r="R99" s="428" t="s">
        <v>221</v>
      </c>
      <c r="S99" s="428" t="s">
        <v>234</v>
      </c>
      <c r="T99" s="426" t="s">
        <v>513</v>
      </c>
      <c r="U99" s="434"/>
      <c r="V99" s="426" t="s">
        <v>514</v>
      </c>
      <c r="X99" s="464">
        <v>45505</v>
      </c>
      <c r="Y99" s="437" t="s">
        <v>227</v>
      </c>
    </row>
    <row r="100" s="426" customFormat="1" ht="17.4" spans="1:25">
      <c r="A100" s="347">
        <v>20</v>
      </c>
      <c r="B100" s="348" t="s">
        <v>54</v>
      </c>
      <c r="C100" s="352"/>
      <c r="D100" s="428"/>
      <c r="E100" s="428" t="s">
        <v>515</v>
      </c>
      <c r="F100" s="428" t="s">
        <v>516</v>
      </c>
      <c r="G100" s="428" t="s">
        <v>389</v>
      </c>
      <c r="H100" s="428" t="s">
        <v>390</v>
      </c>
      <c r="I100" s="428">
        <v>6286</v>
      </c>
      <c r="J100" s="450">
        <v>59</v>
      </c>
      <c r="K100" s="451">
        <f>Table_Household_Alloc[[#This Row],[Unit Entitlement]]/1000</f>
        <v>0.059</v>
      </c>
      <c r="L100" s="431">
        <f t="shared" si="2"/>
        <v>13.688</v>
      </c>
      <c r="M100" s="452"/>
      <c r="N100" s="432">
        <f>IF(Table_Household_Alloc[[#This Row],[PV Installed]]="Y",1,0)*Table_Household_Alloc[[#This Row],[Calculated Battery Allocation (kWh)]]</f>
        <v>0</v>
      </c>
      <c r="P100" s="428"/>
      <c r="Q100" s="428"/>
      <c r="R100" s="428"/>
      <c r="S100" s="428" t="s">
        <v>307</v>
      </c>
      <c r="T100" s="426" t="s">
        <v>517</v>
      </c>
      <c r="U100" s="434"/>
      <c r="V100" s="426" t="s">
        <v>518</v>
      </c>
      <c r="X100" s="464"/>
      <c r="Y100" s="437"/>
    </row>
    <row r="101" s="426" customFormat="1" ht="17.4" spans="1:25">
      <c r="A101" s="347">
        <v>21</v>
      </c>
      <c r="B101" s="348" t="s">
        <v>54</v>
      </c>
      <c r="C101" s="362">
        <v>50002922</v>
      </c>
      <c r="D101" s="428"/>
      <c r="E101" s="428" t="s">
        <v>519</v>
      </c>
      <c r="F101" s="428" t="s">
        <v>520</v>
      </c>
      <c r="G101" s="428" t="s">
        <v>389</v>
      </c>
      <c r="H101" s="428" t="s">
        <v>390</v>
      </c>
      <c r="I101" s="428">
        <v>6286</v>
      </c>
      <c r="J101" s="450">
        <v>59</v>
      </c>
      <c r="K101" s="451">
        <f>Table_Household_Alloc[[#This Row],[Unit Entitlement]]/1000</f>
        <v>0.059</v>
      </c>
      <c r="L101" s="431">
        <f t="shared" si="2"/>
        <v>13.688</v>
      </c>
      <c r="M101" s="452" t="str">
        <f>CONCATENATE("Symo ",Table_Household_Alloc[[#This Row],[Export Capacity (kW)]])</f>
        <v>Symo 10</v>
      </c>
      <c r="N101" s="432">
        <f>IF(Table_Household_Alloc[[#This Row],[PV Installed]]="Y",1,0)*Table_Household_Alloc[[#This Row],[Calculated Battery Allocation (kWh)]]</f>
        <v>13.688</v>
      </c>
      <c r="O101" s="426">
        <v>10</v>
      </c>
      <c r="P101" s="428" t="s">
        <v>221</v>
      </c>
      <c r="Q101" s="428" t="s">
        <v>221</v>
      </c>
      <c r="R101" s="428" t="s">
        <v>221</v>
      </c>
      <c r="S101" s="428" t="s">
        <v>234</v>
      </c>
      <c r="T101" s="426" t="s">
        <v>521</v>
      </c>
      <c r="U101" s="434" t="s">
        <v>522</v>
      </c>
      <c r="V101" s="426" t="s">
        <v>523</v>
      </c>
      <c r="X101" s="464">
        <v>44896</v>
      </c>
      <c r="Y101" s="437" t="s">
        <v>227</v>
      </c>
    </row>
    <row r="102" s="426" customFormat="1" ht="17.4" spans="1:25">
      <c r="A102" s="347">
        <v>22</v>
      </c>
      <c r="B102" s="348" t="s">
        <v>54</v>
      </c>
      <c r="C102" s="352"/>
      <c r="D102" s="428"/>
      <c r="E102" s="428" t="s">
        <v>524</v>
      </c>
      <c r="F102" s="428" t="s">
        <v>525</v>
      </c>
      <c r="G102" s="428" t="s">
        <v>389</v>
      </c>
      <c r="H102" s="428" t="s">
        <v>390</v>
      </c>
      <c r="I102" s="428">
        <v>6286</v>
      </c>
      <c r="J102" s="450">
        <v>59</v>
      </c>
      <c r="K102" s="451">
        <f>Table_Household_Alloc[[#This Row],[Unit Entitlement]]/1000</f>
        <v>0.059</v>
      </c>
      <c r="L102" s="431">
        <f t="shared" si="2"/>
        <v>13.688</v>
      </c>
      <c r="M102" s="452"/>
      <c r="N102" s="432">
        <f>IF(Table_Household_Alloc[[#This Row],[PV Installed]]="Y",1,0)*Table_Household_Alloc[[#This Row],[Calculated Battery Allocation (kWh)]]</f>
        <v>0</v>
      </c>
      <c r="P102" s="428"/>
      <c r="Q102" s="428"/>
      <c r="R102" s="428"/>
      <c r="S102" s="428" t="s">
        <v>307</v>
      </c>
      <c r="T102" s="426" t="s">
        <v>526</v>
      </c>
      <c r="U102" s="434"/>
      <c r="V102" s="426" t="s">
        <v>527</v>
      </c>
      <c r="X102" s="464"/>
      <c r="Y102" s="437"/>
    </row>
    <row r="103" s="426" customFormat="1" ht="17.4" spans="1:25">
      <c r="A103" s="347">
        <v>23</v>
      </c>
      <c r="B103" s="348" t="s">
        <v>54</v>
      </c>
      <c r="C103" s="352">
        <v>50002928</v>
      </c>
      <c r="D103" s="428"/>
      <c r="E103" s="428" t="s">
        <v>528</v>
      </c>
      <c r="F103" s="428" t="s">
        <v>529</v>
      </c>
      <c r="G103" s="428" t="s">
        <v>389</v>
      </c>
      <c r="H103" s="428" t="s">
        <v>390</v>
      </c>
      <c r="I103" s="428">
        <v>6286</v>
      </c>
      <c r="J103" s="450">
        <v>59</v>
      </c>
      <c r="K103" s="451">
        <f>Table_Household_Alloc[[#This Row],[Unit Entitlement]]/1000</f>
        <v>0.059</v>
      </c>
      <c r="L103" s="431">
        <f t="shared" si="2"/>
        <v>13.688</v>
      </c>
      <c r="M103" s="452"/>
      <c r="N103" s="432">
        <f>IF(Table_Household_Alloc[[#This Row],[PV Installed]]="Y",1,0)*Table_Household_Alloc[[#This Row],[Calculated Battery Allocation (kWh)]]</f>
        <v>0</v>
      </c>
      <c r="P103" s="428"/>
      <c r="Q103" s="428"/>
      <c r="R103" s="428"/>
      <c r="S103" s="428" t="s">
        <v>530</v>
      </c>
      <c r="T103" s="426" t="s">
        <v>531</v>
      </c>
      <c r="U103" s="434" t="s">
        <v>532</v>
      </c>
      <c r="V103" s="426" t="s">
        <v>533</v>
      </c>
      <c r="X103" s="464">
        <v>45383</v>
      </c>
      <c r="Y103" s="437" t="s">
        <v>227</v>
      </c>
    </row>
    <row r="104" s="426" customFormat="1" ht="18" spans="1:25">
      <c r="A104" s="355" t="s">
        <v>334</v>
      </c>
      <c r="B104" s="348" t="s">
        <v>54</v>
      </c>
      <c r="C104" s="362">
        <v>2902000692</v>
      </c>
      <c r="D104" s="428"/>
      <c r="E104" s="440" t="s">
        <v>335</v>
      </c>
      <c r="F104" s="427"/>
      <c r="G104" s="428"/>
      <c r="H104" s="428"/>
      <c r="I104" s="428"/>
      <c r="J104" s="429"/>
      <c r="K104" s="430">
        <f>Table_Household_Alloc[[#This Row],[Unit Entitlement]]/1000</f>
        <v>0</v>
      </c>
      <c r="L104" s="431"/>
      <c r="M104" s="428"/>
      <c r="N104" s="432">
        <f>IF(Table_Household_Alloc[[#This Row],[PV Installed]]="Y",1,0)*Table_Household_Alloc[[#This Row],[Calculated Battery Allocation (kWh)]]</f>
        <v>0</v>
      </c>
      <c r="T104" s="433"/>
      <c r="U104" s="434"/>
      <c r="V104" s="435"/>
      <c r="X104" s="436"/>
      <c r="Y104" s="437"/>
    </row>
    <row r="105" s="426" customFormat="1" ht="17.4" spans="1:25">
      <c r="A105" s="347" t="s">
        <v>336</v>
      </c>
      <c r="B105" s="348" t="s">
        <v>54</v>
      </c>
      <c r="C105" s="362">
        <v>2902000696</v>
      </c>
      <c r="D105" s="428" t="s">
        <v>337</v>
      </c>
      <c r="E105" s="440" t="s">
        <v>338</v>
      </c>
      <c r="F105" s="428"/>
      <c r="G105" s="428" t="s">
        <v>219</v>
      </c>
      <c r="H105" s="428" t="s">
        <v>220</v>
      </c>
      <c r="I105" s="428">
        <v>6286</v>
      </c>
      <c r="J105" s="446"/>
      <c r="K105" s="447">
        <f>Table_Household_Alloc[[#This Row],[Unit Entitlement]]/1000</f>
        <v>0</v>
      </c>
      <c r="L105" s="431">
        <f t="shared" ref="L105:L106" si="3">(J105/1000)*232</f>
        <v>0</v>
      </c>
      <c r="M105" s="452"/>
      <c r="N105" s="432">
        <f>IF(Table_Household_Alloc[[#This Row],[PV Installed]]="Y",1,0)*Table_Household_Alloc[[#This Row],[Calculated Battery Allocation (kWh)]]</f>
        <v>0</v>
      </c>
      <c r="P105" s="438"/>
      <c r="Q105" s="438"/>
      <c r="R105" s="428"/>
      <c r="S105" s="428"/>
      <c r="U105" s="434"/>
      <c r="X105" s="464"/>
      <c r="Y105" s="437"/>
    </row>
    <row r="106" s="426" customFormat="1" ht="17.4" spans="1:25">
      <c r="A106" s="347" t="s">
        <v>339</v>
      </c>
      <c r="B106" s="348" t="s">
        <v>54</v>
      </c>
      <c r="C106" s="362">
        <v>2912025475</v>
      </c>
      <c r="D106" s="428" t="s">
        <v>337</v>
      </c>
      <c r="E106" s="440" t="s">
        <v>340</v>
      </c>
      <c r="F106" s="428"/>
      <c r="G106" s="428" t="s">
        <v>219</v>
      </c>
      <c r="H106" s="428" t="s">
        <v>220</v>
      </c>
      <c r="I106" s="428">
        <v>6286</v>
      </c>
      <c r="J106" s="450"/>
      <c r="K106" s="451">
        <f>Table_Household_Alloc[[#This Row],[Unit Entitlement]]/1000</f>
        <v>0</v>
      </c>
      <c r="L106" s="431">
        <f t="shared" si="3"/>
        <v>0</v>
      </c>
      <c r="M106" s="452"/>
      <c r="N106" s="432">
        <f>IF(Table_Household_Alloc[[#This Row],[PV Installed]]="Y",1,0)*Table_Household_Alloc[[#This Row],[Calculated Battery Allocation (kWh)]]</f>
        <v>0</v>
      </c>
      <c r="P106" s="438"/>
      <c r="Q106" s="438"/>
      <c r="R106" s="428"/>
      <c r="S106" s="428"/>
      <c r="U106" s="434"/>
      <c r="X106" s="464"/>
      <c r="Y106" s="437"/>
    </row>
    <row r="107" s="426" customFormat="1" ht="18" spans="1:25">
      <c r="A107" s="360" t="s">
        <v>341</v>
      </c>
      <c r="B107" s="348" t="s">
        <v>54</v>
      </c>
      <c r="C107" s="362"/>
      <c r="D107" s="428"/>
      <c r="E107" s="427"/>
      <c r="F107" s="427"/>
      <c r="G107" s="428"/>
      <c r="H107" s="428"/>
      <c r="I107" s="428"/>
      <c r="J107" s="429"/>
      <c r="K107" s="430">
        <f>Table_Household_Alloc[[#This Row],[Unit Entitlement]]/1000</f>
        <v>0</v>
      </c>
      <c r="L107" s="431"/>
      <c r="M107" s="428"/>
      <c r="N107" s="432">
        <f>IF(Table_Household_Alloc[[#This Row],[PV Installed]]="Y",1,0)*Table_Household_Alloc[[#This Row],[Calculated Battery Allocation (kWh)]]</f>
        <v>0</v>
      </c>
      <c r="T107" s="433"/>
      <c r="U107" s="434"/>
      <c r="V107" s="435"/>
      <c r="X107" s="436"/>
      <c r="Y107" s="437"/>
    </row>
    <row r="108" s="426" customFormat="1" ht="18" spans="1:25">
      <c r="A108" s="361" t="s">
        <v>342</v>
      </c>
      <c r="B108" s="348" t="s">
        <v>54</v>
      </c>
      <c r="C108" s="362"/>
      <c r="D108" s="428"/>
      <c r="E108" s="427"/>
      <c r="F108" s="427"/>
      <c r="G108" s="428"/>
      <c r="H108" s="428"/>
      <c r="I108" s="428"/>
      <c r="J108" s="429"/>
      <c r="K108" s="430">
        <f>Table_Household_Alloc[[#This Row],[Unit Entitlement]]/1000</f>
        <v>0</v>
      </c>
      <c r="L108" s="431"/>
      <c r="M108" s="428"/>
      <c r="N108" s="432">
        <f>IF(Table_Household_Alloc[[#This Row],[PV Installed]]="Y",1,0)*Table_Household_Alloc[[#This Row],[Calculated Battery Allocation (kWh)]]</f>
        <v>0</v>
      </c>
      <c r="T108" s="433"/>
      <c r="U108" s="434"/>
      <c r="V108" s="435"/>
      <c r="X108" s="436"/>
      <c r="Y108" s="437"/>
    </row>
    <row r="109" s="426" customFormat="1" ht="17.4" spans="1:25">
      <c r="A109" s="347">
        <v>1</v>
      </c>
      <c r="B109" s="348" t="s">
        <v>58</v>
      </c>
      <c r="C109" s="349">
        <v>50003379</v>
      </c>
      <c r="D109" s="428"/>
      <c r="E109" s="428" t="s">
        <v>534</v>
      </c>
      <c r="F109" s="428" t="s">
        <v>535</v>
      </c>
      <c r="G109" s="428" t="s">
        <v>389</v>
      </c>
      <c r="H109" s="428" t="s">
        <v>390</v>
      </c>
      <c r="I109" s="428">
        <v>6286</v>
      </c>
      <c r="J109" s="450">
        <v>39</v>
      </c>
      <c r="K109" s="451">
        <f>Table_Household_Alloc[[#This Row],[Unit Entitlement]]/1000</f>
        <v>0.039</v>
      </c>
      <c r="L109" s="431">
        <f t="shared" si="2"/>
        <v>9.048</v>
      </c>
      <c r="M109" s="452" t="str">
        <f>CONCATENATE("Symo ",Table_Household_Alloc[[#This Row],[Export Capacity (kW)]])</f>
        <v>Symo 8.2</v>
      </c>
      <c r="N109" s="432">
        <f>IF(Table_Household_Alloc[[#This Row],[PV Installed]]="Y",1,0)*Table_Household_Alloc[[#This Row],[Calculated Battery Allocation (kWh)]]</f>
        <v>9.048</v>
      </c>
      <c r="O109" s="426">
        <v>8.2</v>
      </c>
      <c r="P109" s="428" t="s">
        <v>221</v>
      </c>
      <c r="Q109" s="428" t="s">
        <v>221</v>
      </c>
      <c r="R109" s="428" t="s">
        <v>221</v>
      </c>
      <c r="S109" s="428" t="s">
        <v>234</v>
      </c>
      <c r="T109" s="426" t="s">
        <v>536</v>
      </c>
      <c r="U109" s="434" t="s">
        <v>537</v>
      </c>
      <c r="V109" s="426" t="s">
        <v>538</v>
      </c>
      <c r="X109" s="464">
        <v>45424</v>
      </c>
      <c r="Y109" s="437" t="s">
        <v>227</v>
      </c>
    </row>
    <row r="110" s="426" customFormat="1" ht="17.4" spans="1:25">
      <c r="A110" s="347">
        <v>2</v>
      </c>
      <c r="B110" s="348" t="s">
        <v>58</v>
      </c>
      <c r="C110" s="349">
        <v>50002906</v>
      </c>
      <c r="D110" s="428"/>
      <c r="E110" s="428" t="s">
        <v>539</v>
      </c>
      <c r="F110" s="428" t="s">
        <v>540</v>
      </c>
      <c r="G110" s="428" t="s">
        <v>389</v>
      </c>
      <c r="H110" s="428" t="s">
        <v>390</v>
      </c>
      <c r="I110" s="428">
        <v>6286</v>
      </c>
      <c r="J110" s="450">
        <v>38</v>
      </c>
      <c r="K110" s="451">
        <f>Table_Household_Alloc[[#This Row],[Unit Entitlement]]/1000</f>
        <v>0.038</v>
      </c>
      <c r="L110" s="431">
        <f t="shared" si="2"/>
        <v>8.816</v>
      </c>
      <c r="M110" s="452" t="str">
        <f>CONCATENATE("Symo ",Table_Household_Alloc[[#This Row],[Export Capacity (kW)]])</f>
        <v>Symo 8.2</v>
      </c>
      <c r="N110" s="432">
        <f>IF(Table_Household_Alloc[[#This Row],[PV Installed]]="Y",1,0)*Table_Household_Alloc[[#This Row],[Calculated Battery Allocation (kWh)]]</f>
        <v>8.816</v>
      </c>
      <c r="O110" s="426">
        <v>8.2</v>
      </c>
      <c r="P110" s="428" t="s">
        <v>221</v>
      </c>
      <c r="Q110" s="428" t="s">
        <v>221</v>
      </c>
      <c r="R110" s="428" t="s">
        <v>221</v>
      </c>
      <c r="S110" s="428" t="s">
        <v>234</v>
      </c>
      <c r="T110" s="426" t="s">
        <v>541</v>
      </c>
      <c r="U110" s="434" t="s">
        <v>542</v>
      </c>
      <c r="V110" s="426" t="s">
        <v>543</v>
      </c>
      <c r="X110" s="464">
        <v>45251</v>
      </c>
      <c r="Y110" s="437" t="s">
        <v>227</v>
      </c>
    </row>
    <row r="111" s="426" customFormat="1" ht="17.4" spans="1:25">
      <c r="A111" s="347">
        <v>3</v>
      </c>
      <c r="B111" s="348" t="s">
        <v>58</v>
      </c>
      <c r="C111" s="349">
        <v>50002924</v>
      </c>
      <c r="D111" s="428"/>
      <c r="E111" s="428" t="s">
        <v>544</v>
      </c>
      <c r="F111" s="428" t="s">
        <v>545</v>
      </c>
      <c r="G111" s="428" t="s">
        <v>389</v>
      </c>
      <c r="H111" s="428" t="s">
        <v>390</v>
      </c>
      <c r="I111" s="428">
        <v>6286</v>
      </c>
      <c r="J111" s="450">
        <v>39</v>
      </c>
      <c r="K111" s="451">
        <f>Table_Household_Alloc[[#This Row],[Unit Entitlement]]/1000</f>
        <v>0.039</v>
      </c>
      <c r="L111" s="431">
        <f t="shared" si="2"/>
        <v>9.048</v>
      </c>
      <c r="M111" s="452" t="str">
        <f>CONCATENATE("Symo ",Table_Household_Alloc[[#This Row],[Export Capacity (kW)]])</f>
        <v>Symo 5</v>
      </c>
      <c r="N111" s="432">
        <f>IF(Table_Household_Alloc[[#This Row],[PV Installed]]="Y",1,0)*Table_Household_Alloc[[#This Row],[Calculated Battery Allocation (kWh)]]</f>
        <v>9.048</v>
      </c>
      <c r="O111" s="426">
        <v>5</v>
      </c>
      <c r="P111" s="428" t="s">
        <v>221</v>
      </c>
      <c r="Q111" s="428" t="s">
        <v>221</v>
      </c>
      <c r="R111" s="428" t="s">
        <v>221</v>
      </c>
      <c r="S111" s="428" t="s">
        <v>234</v>
      </c>
      <c r="T111" s="426" t="s">
        <v>546</v>
      </c>
      <c r="U111" s="434"/>
      <c r="V111" s="426" t="s">
        <v>547</v>
      </c>
      <c r="X111" s="464">
        <v>44895</v>
      </c>
      <c r="Y111" s="437" t="s">
        <v>227</v>
      </c>
    </row>
    <row r="112" s="426" customFormat="1" ht="17.4" spans="1:25">
      <c r="A112" s="347">
        <v>4</v>
      </c>
      <c r="B112" s="348" t="s">
        <v>58</v>
      </c>
      <c r="C112" s="372"/>
      <c r="D112" s="428"/>
      <c r="E112" s="428" t="s">
        <v>548</v>
      </c>
      <c r="F112" s="428" t="s">
        <v>549</v>
      </c>
      <c r="G112" s="428" t="s">
        <v>389</v>
      </c>
      <c r="H112" s="428" t="s">
        <v>390</v>
      </c>
      <c r="I112" s="428">
        <v>6286</v>
      </c>
      <c r="J112" s="450">
        <v>41</v>
      </c>
      <c r="K112" s="451">
        <f>Table_Household_Alloc[[#This Row],[Unit Entitlement]]/1000</f>
        <v>0.041</v>
      </c>
      <c r="L112" s="431">
        <f t="shared" si="2"/>
        <v>9.512</v>
      </c>
      <c r="M112" s="452"/>
      <c r="N112" s="432">
        <f>IF(Table_Household_Alloc[[#This Row],[PV Installed]]="Y",1,0)*Table_Household_Alloc[[#This Row],[Calculated Battery Allocation (kWh)]]</f>
        <v>0</v>
      </c>
      <c r="P112" s="428"/>
      <c r="Q112" s="428"/>
      <c r="R112" s="428"/>
      <c r="S112" s="428" t="s">
        <v>223</v>
      </c>
      <c r="T112" s="426" t="s">
        <v>550</v>
      </c>
      <c r="U112" s="434"/>
      <c r="V112" s="426" t="s">
        <v>551</v>
      </c>
      <c r="X112" s="464"/>
      <c r="Y112" s="437"/>
    </row>
    <row r="113" s="426" customFormat="1" ht="17.4" spans="1:25">
      <c r="A113" s="347">
        <v>5</v>
      </c>
      <c r="B113" s="348" t="s">
        <v>58</v>
      </c>
      <c r="C113" s="349">
        <v>50002894</v>
      </c>
      <c r="D113" s="428"/>
      <c r="E113" s="428" t="s">
        <v>552</v>
      </c>
      <c r="F113" s="428" t="s">
        <v>553</v>
      </c>
      <c r="G113" s="428" t="s">
        <v>389</v>
      </c>
      <c r="H113" s="428" t="s">
        <v>390</v>
      </c>
      <c r="I113" s="428">
        <v>6286</v>
      </c>
      <c r="J113" s="450">
        <v>41</v>
      </c>
      <c r="K113" s="451">
        <f>Table_Household_Alloc[[#This Row],[Unit Entitlement]]/1000</f>
        <v>0.041</v>
      </c>
      <c r="L113" s="431">
        <f t="shared" si="2"/>
        <v>9.512</v>
      </c>
      <c r="M113" s="452" t="str">
        <f>CONCATENATE("Symo ",Table_Household_Alloc[[#This Row],[Export Capacity (kW)]])</f>
        <v>Symo 8.2</v>
      </c>
      <c r="N113" s="432">
        <f>IF(Table_Household_Alloc[[#This Row],[PV Installed]]="Y",1,0)*Table_Household_Alloc[[#This Row],[Calculated Battery Allocation (kWh)]]</f>
        <v>9.512</v>
      </c>
      <c r="O113" s="426">
        <v>8.2</v>
      </c>
      <c r="P113" s="428" t="s">
        <v>221</v>
      </c>
      <c r="Q113" s="428" t="s">
        <v>221</v>
      </c>
      <c r="R113" s="428" t="s">
        <v>221</v>
      </c>
      <c r="S113" s="428" t="s">
        <v>234</v>
      </c>
      <c r="T113" s="426" t="s">
        <v>554</v>
      </c>
      <c r="U113" s="434"/>
      <c r="V113" s="426" t="s">
        <v>555</v>
      </c>
      <c r="X113" s="464">
        <v>44898</v>
      </c>
      <c r="Y113" s="437" t="s">
        <v>227</v>
      </c>
    </row>
    <row r="114" s="426" customFormat="1" ht="17.4" spans="1:25">
      <c r="A114" s="347">
        <v>6</v>
      </c>
      <c r="B114" s="348" t="s">
        <v>58</v>
      </c>
      <c r="C114" s="349">
        <v>50002835</v>
      </c>
      <c r="D114" s="428"/>
      <c r="E114" s="428" t="s">
        <v>556</v>
      </c>
      <c r="F114" s="428" t="s">
        <v>557</v>
      </c>
      <c r="G114" s="428" t="s">
        <v>389</v>
      </c>
      <c r="H114" s="428" t="s">
        <v>390</v>
      </c>
      <c r="I114" s="428">
        <v>6286</v>
      </c>
      <c r="J114" s="450">
        <v>39</v>
      </c>
      <c r="K114" s="451">
        <f>Table_Household_Alloc[[#This Row],[Unit Entitlement]]/1000</f>
        <v>0.039</v>
      </c>
      <c r="L114" s="431">
        <f t="shared" si="2"/>
        <v>9.048</v>
      </c>
      <c r="M114" s="452" t="str">
        <f>CONCATENATE("Symo ",Table_Household_Alloc[[#This Row],[Export Capacity (kW)]])</f>
        <v>Symo 5</v>
      </c>
      <c r="N114" s="432">
        <f>IF(Table_Household_Alloc[[#This Row],[PV Installed]]="Y",1,0)*Table_Household_Alloc[[#This Row],[Calculated Battery Allocation (kWh)]]</f>
        <v>9.048</v>
      </c>
      <c r="O114" s="426">
        <v>5</v>
      </c>
      <c r="P114" s="428" t="s">
        <v>221</v>
      </c>
      <c r="Q114" s="428" t="s">
        <v>221</v>
      </c>
      <c r="R114" s="428" t="s">
        <v>221</v>
      </c>
      <c r="S114" s="428" t="s">
        <v>234</v>
      </c>
      <c r="T114" s="426" t="s">
        <v>558</v>
      </c>
      <c r="U114" s="434"/>
      <c r="V114" s="426" t="s">
        <v>559</v>
      </c>
      <c r="X114" s="464">
        <v>45221</v>
      </c>
      <c r="Y114" s="437" t="s">
        <v>227</v>
      </c>
    </row>
    <row r="115" s="426" customFormat="1" ht="17.4" spans="1:25">
      <c r="A115" s="347">
        <v>7</v>
      </c>
      <c r="B115" s="348" t="s">
        <v>58</v>
      </c>
      <c r="C115" s="349">
        <v>50002899</v>
      </c>
      <c r="D115" s="428"/>
      <c r="E115" s="428" t="s">
        <v>560</v>
      </c>
      <c r="F115" s="428" t="s">
        <v>561</v>
      </c>
      <c r="G115" s="428" t="s">
        <v>389</v>
      </c>
      <c r="H115" s="428" t="s">
        <v>390</v>
      </c>
      <c r="I115" s="428">
        <v>6286</v>
      </c>
      <c r="J115" s="450">
        <v>38</v>
      </c>
      <c r="K115" s="451">
        <f>Table_Household_Alloc[[#This Row],[Unit Entitlement]]/1000</f>
        <v>0.038</v>
      </c>
      <c r="L115" s="431">
        <f t="shared" si="2"/>
        <v>8.816</v>
      </c>
      <c r="M115" s="452" t="str">
        <f>CONCATENATE("Symo ",Table_Household_Alloc[[#This Row],[Export Capacity (kW)]])</f>
        <v>Symo 5</v>
      </c>
      <c r="N115" s="432">
        <f>IF(Table_Household_Alloc[[#This Row],[PV Installed]]="Y",1,0)*Table_Household_Alloc[[#This Row],[Calculated Battery Allocation (kWh)]]</f>
        <v>8.816</v>
      </c>
      <c r="O115" s="426">
        <v>5</v>
      </c>
      <c r="P115" s="428" t="s">
        <v>221</v>
      </c>
      <c r="Q115" s="428" t="s">
        <v>221</v>
      </c>
      <c r="R115" s="428" t="s">
        <v>221</v>
      </c>
      <c r="S115" s="428" t="s">
        <v>234</v>
      </c>
      <c r="T115" s="426" t="s">
        <v>562</v>
      </c>
      <c r="U115" s="434"/>
      <c r="V115" s="426" t="s">
        <v>563</v>
      </c>
      <c r="X115" s="464">
        <v>44641</v>
      </c>
      <c r="Y115" s="437" t="s">
        <v>227</v>
      </c>
    </row>
    <row r="116" s="426" customFormat="1" ht="17.4" spans="1:25">
      <c r="A116" s="347">
        <v>8</v>
      </c>
      <c r="B116" s="348" t="s">
        <v>58</v>
      </c>
      <c r="C116" s="349">
        <v>50002910</v>
      </c>
      <c r="D116" s="428"/>
      <c r="E116" s="428" t="s">
        <v>564</v>
      </c>
      <c r="F116" s="428" t="s">
        <v>565</v>
      </c>
      <c r="G116" s="428" t="s">
        <v>389</v>
      </c>
      <c r="H116" s="428" t="s">
        <v>390</v>
      </c>
      <c r="I116" s="428">
        <v>6286</v>
      </c>
      <c r="J116" s="450">
        <v>37</v>
      </c>
      <c r="K116" s="451">
        <f>Table_Household_Alloc[[#This Row],[Unit Entitlement]]/1000</f>
        <v>0.037</v>
      </c>
      <c r="L116" s="431">
        <f t="shared" si="2"/>
        <v>8.584</v>
      </c>
      <c r="M116" s="452" t="str">
        <f>CONCATENATE("Symo ",Table_Household_Alloc[[#This Row],[Export Capacity (kW)]])</f>
        <v>Symo 5</v>
      </c>
      <c r="N116" s="432">
        <f>IF(Table_Household_Alloc[[#This Row],[PV Installed]]="Y",1,0)*Table_Household_Alloc[[#This Row],[Calculated Battery Allocation (kWh)]]</f>
        <v>8.584</v>
      </c>
      <c r="O116" s="426">
        <v>5</v>
      </c>
      <c r="P116" s="428" t="s">
        <v>221</v>
      </c>
      <c r="Q116" s="428" t="s">
        <v>221</v>
      </c>
      <c r="R116" s="428" t="s">
        <v>221</v>
      </c>
      <c r="S116" s="428" t="s">
        <v>234</v>
      </c>
      <c r="T116" s="426" t="s">
        <v>566</v>
      </c>
      <c r="U116" s="434" t="s">
        <v>567</v>
      </c>
      <c r="V116" s="426" t="s">
        <v>568</v>
      </c>
      <c r="X116" s="464">
        <v>44948</v>
      </c>
      <c r="Y116" s="437" t="s">
        <v>227</v>
      </c>
    </row>
    <row r="117" s="426" customFormat="1" ht="17.4" spans="1:25">
      <c r="A117" s="347">
        <v>9</v>
      </c>
      <c r="B117" s="348" t="s">
        <v>58</v>
      </c>
      <c r="C117" s="349">
        <v>50002960</v>
      </c>
      <c r="D117" s="428"/>
      <c r="E117" s="428" t="s">
        <v>569</v>
      </c>
      <c r="F117" s="428" t="s">
        <v>570</v>
      </c>
      <c r="G117" s="428" t="s">
        <v>389</v>
      </c>
      <c r="H117" s="428" t="s">
        <v>390</v>
      </c>
      <c r="I117" s="428">
        <v>6286</v>
      </c>
      <c r="J117" s="450">
        <v>36</v>
      </c>
      <c r="K117" s="451">
        <f>Table_Household_Alloc[[#This Row],[Unit Entitlement]]/1000</f>
        <v>0.036</v>
      </c>
      <c r="L117" s="431">
        <f t="shared" si="2"/>
        <v>8.352</v>
      </c>
      <c r="M117" s="452" t="str">
        <f>CONCATENATE("Symo ",Table_Household_Alloc[[#This Row],[Export Capacity (kW)]])</f>
        <v>Symo 8.2</v>
      </c>
      <c r="N117" s="432">
        <f>IF(Table_Household_Alloc[[#This Row],[PV Installed]]="Y",1,0)*Table_Household_Alloc[[#This Row],[Calculated Battery Allocation (kWh)]]</f>
        <v>8.352</v>
      </c>
      <c r="O117" s="426">
        <v>8.2</v>
      </c>
      <c r="P117" s="428" t="s">
        <v>221</v>
      </c>
      <c r="Q117" s="428" t="s">
        <v>221</v>
      </c>
      <c r="R117" s="428" t="s">
        <v>221</v>
      </c>
      <c r="S117" s="428" t="s">
        <v>234</v>
      </c>
      <c r="T117" s="426" t="s">
        <v>571</v>
      </c>
      <c r="U117" s="434" t="s">
        <v>572</v>
      </c>
      <c r="V117" s="426" t="s">
        <v>573</v>
      </c>
      <c r="X117" s="464">
        <v>45100</v>
      </c>
      <c r="Y117" s="437" t="s">
        <v>227</v>
      </c>
    </row>
    <row r="118" s="426" customFormat="1" ht="17.4" spans="1:25">
      <c r="A118" s="347">
        <v>10</v>
      </c>
      <c r="B118" s="348" t="s">
        <v>58</v>
      </c>
      <c r="C118" s="349">
        <v>50002926</v>
      </c>
      <c r="D118" s="428"/>
      <c r="E118" s="428" t="s">
        <v>574</v>
      </c>
      <c r="F118" s="428" t="s">
        <v>575</v>
      </c>
      <c r="G118" s="428" t="s">
        <v>389</v>
      </c>
      <c r="H118" s="428" t="s">
        <v>390</v>
      </c>
      <c r="I118" s="428">
        <v>6286</v>
      </c>
      <c r="J118" s="450">
        <v>61</v>
      </c>
      <c r="K118" s="451">
        <f>Table_Household_Alloc[[#This Row],[Unit Entitlement]]/1000</f>
        <v>0.061</v>
      </c>
      <c r="L118" s="431">
        <f t="shared" si="2"/>
        <v>14.152</v>
      </c>
      <c r="M118" s="452" t="str">
        <f>CONCATENATE("Symo ",Table_Household_Alloc[[#This Row],[Export Capacity (kW)]])</f>
        <v>Symo 8.2</v>
      </c>
      <c r="N118" s="432">
        <f>IF(Table_Household_Alloc[[#This Row],[PV Installed]]="Y",1,0)*Table_Household_Alloc[[#This Row],[Calculated Battery Allocation (kWh)]]</f>
        <v>14.152</v>
      </c>
      <c r="O118" s="426">
        <v>8.2</v>
      </c>
      <c r="P118" s="428" t="s">
        <v>221</v>
      </c>
      <c r="Q118" s="428" t="s">
        <v>221</v>
      </c>
      <c r="R118" s="428" t="s">
        <v>221</v>
      </c>
      <c r="S118" s="428" t="s">
        <v>234</v>
      </c>
      <c r="T118" s="426" t="s">
        <v>576</v>
      </c>
      <c r="U118" s="434"/>
      <c r="V118" s="426" t="s">
        <v>577</v>
      </c>
      <c r="X118" s="464">
        <v>45257</v>
      </c>
      <c r="Y118" s="437" t="s">
        <v>227</v>
      </c>
    </row>
    <row r="119" s="426" customFormat="1" ht="17.4" spans="1:25">
      <c r="A119" s="347">
        <v>11</v>
      </c>
      <c r="B119" s="348" t="s">
        <v>58</v>
      </c>
      <c r="C119" s="372"/>
      <c r="D119" s="428"/>
      <c r="E119" s="428" t="s">
        <v>578</v>
      </c>
      <c r="F119" s="428" t="s">
        <v>579</v>
      </c>
      <c r="G119" s="428" t="s">
        <v>389</v>
      </c>
      <c r="H119" s="428" t="s">
        <v>390</v>
      </c>
      <c r="I119" s="428">
        <v>6286</v>
      </c>
      <c r="J119" s="450">
        <v>62</v>
      </c>
      <c r="K119" s="451">
        <f>Table_Household_Alloc[[#This Row],[Unit Entitlement]]/1000</f>
        <v>0.062</v>
      </c>
      <c r="L119" s="431">
        <f t="shared" si="2"/>
        <v>14.384</v>
      </c>
      <c r="M119" s="452"/>
      <c r="N119" s="432">
        <f>IF(Table_Household_Alloc[[#This Row],[PV Installed]]="Y",1,0)*Table_Household_Alloc[[#This Row],[Calculated Battery Allocation (kWh)]]</f>
        <v>0</v>
      </c>
      <c r="P119" s="428"/>
      <c r="Q119" s="428"/>
      <c r="R119" s="428"/>
      <c r="S119" s="428" t="s">
        <v>307</v>
      </c>
      <c r="T119" s="426" t="s">
        <v>580</v>
      </c>
      <c r="U119" s="434"/>
      <c r="V119" s="426" t="s">
        <v>581</v>
      </c>
      <c r="X119" s="464"/>
      <c r="Y119" s="437"/>
    </row>
    <row r="120" s="426" customFormat="1" ht="17.4" spans="1:25">
      <c r="A120" s="347">
        <v>12</v>
      </c>
      <c r="B120" s="348" t="s">
        <v>58</v>
      </c>
      <c r="C120" s="373"/>
      <c r="D120" s="428"/>
      <c r="E120" s="428" t="s">
        <v>582</v>
      </c>
      <c r="F120" s="428" t="s">
        <v>583</v>
      </c>
      <c r="G120" s="428" t="s">
        <v>389</v>
      </c>
      <c r="H120" s="428" t="s">
        <v>390</v>
      </c>
      <c r="I120" s="428">
        <v>6286</v>
      </c>
      <c r="J120" s="450">
        <v>64</v>
      </c>
      <c r="K120" s="451">
        <f>Table_Household_Alloc[[#This Row],[Unit Entitlement]]/1000</f>
        <v>0.064</v>
      </c>
      <c r="L120" s="431">
        <f t="shared" si="2"/>
        <v>14.848</v>
      </c>
      <c r="M120" s="452"/>
      <c r="N120" s="432">
        <f>IF(Table_Household_Alloc[[#This Row],[PV Installed]]="Y",1,0)*Table_Household_Alloc[[#This Row],[Calculated Battery Allocation (kWh)]]</f>
        <v>0</v>
      </c>
      <c r="P120" s="428"/>
      <c r="Q120" s="428"/>
      <c r="R120" s="428"/>
      <c r="S120" s="428" t="s">
        <v>223</v>
      </c>
      <c r="T120" s="426" t="s">
        <v>584</v>
      </c>
      <c r="U120" s="434"/>
      <c r="V120" s="426" t="s">
        <v>585</v>
      </c>
      <c r="X120" s="464"/>
      <c r="Y120" s="437"/>
    </row>
    <row r="121" s="426" customFormat="1" ht="17.4" spans="1:25">
      <c r="A121" s="347">
        <v>13</v>
      </c>
      <c r="B121" s="348" t="s">
        <v>58</v>
      </c>
      <c r="C121" s="373"/>
      <c r="D121" s="428"/>
      <c r="E121" s="428" t="s">
        <v>586</v>
      </c>
      <c r="F121" s="428" t="s">
        <v>587</v>
      </c>
      <c r="G121" s="428" t="s">
        <v>389</v>
      </c>
      <c r="H121" s="428" t="s">
        <v>390</v>
      </c>
      <c r="I121" s="428">
        <v>6286</v>
      </c>
      <c r="J121" s="450">
        <v>64</v>
      </c>
      <c r="K121" s="451">
        <f>Table_Household_Alloc[[#This Row],[Unit Entitlement]]/1000</f>
        <v>0.064</v>
      </c>
      <c r="L121" s="431">
        <f t="shared" si="2"/>
        <v>14.848</v>
      </c>
      <c r="M121" s="452"/>
      <c r="N121" s="432">
        <f>IF(Table_Household_Alloc[[#This Row],[PV Installed]]="Y",1,0)*Table_Household_Alloc[[#This Row],[Calculated Battery Allocation (kWh)]]</f>
        <v>0</v>
      </c>
      <c r="P121" s="428"/>
      <c r="Q121" s="428"/>
      <c r="R121" s="428"/>
      <c r="S121" s="428" t="s">
        <v>223</v>
      </c>
      <c r="T121" s="426" t="s">
        <v>588</v>
      </c>
      <c r="U121" s="434"/>
      <c r="V121" s="426" t="s">
        <v>589</v>
      </c>
      <c r="X121" s="464"/>
      <c r="Y121" s="437"/>
    </row>
    <row r="122" s="426" customFormat="1" ht="17.4" spans="1:25">
      <c r="A122" s="347">
        <v>14</v>
      </c>
      <c r="B122" s="348" t="s">
        <v>58</v>
      </c>
      <c r="C122" s="372"/>
      <c r="D122" s="428"/>
      <c r="E122" s="428" t="s">
        <v>351</v>
      </c>
      <c r="F122" s="428" t="s">
        <v>590</v>
      </c>
      <c r="G122" s="428" t="s">
        <v>389</v>
      </c>
      <c r="H122" s="428" t="s">
        <v>390</v>
      </c>
      <c r="I122" s="428">
        <v>6286</v>
      </c>
      <c r="J122" s="450">
        <v>27</v>
      </c>
      <c r="K122" s="451">
        <f>Table_Household_Alloc[[#This Row],[Unit Entitlement]]/1000</f>
        <v>0.027</v>
      </c>
      <c r="L122" s="431">
        <f t="shared" si="2"/>
        <v>6.264</v>
      </c>
      <c r="M122" s="452"/>
      <c r="N122" s="432">
        <f>IF(Table_Household_Alloc[[#This Row],[PV Installed]]="Y",1,0)*Table_Household_Alloc[[#This Row],[Calculated Battery Allocation (kWh)]]</f>
        <v>0</v>
      </c>
      <c r="P122" s="428"/>
      <c r="Q122" s="428"/>
      <c r="R122" s="428"/>
      <c r="S122" s="428" t="s">
        <v>307</v>
      </c>
      <c r="T122" s="426" t="s">
        <v>591</v>
      </c>
      <c r="U122" s="434" t="s">
        <v>592</v>
      </c>
      <c r="V122" s="426" t="s">
        <v>593</v>
      </c>
      <c r="X122" s="464"/>
      <c r="Y122" s="437"/>
    </row>
    <row r="123" s="426" customFormat="1" ht="17.4" spans="1:25">
      <c r="A123" s="347">
        <v>15</v>
      </c>
      <c r="B123" s="348" t="s">
        <v>58</v>
      </c>
      <c r="C123" s="349">
        <v>50002930</v>
      </c>
      <c r="D123" s="428"/>
      <c r="E123" s="428" t="s">
        <v>594</v>
      </c>
      <c r="F123" s="428" t="s">
        <v>595</v>
      </c>
      <c r="G123" s="428" t="s">
        <v>389</v>
      </c>
      <c r="H123" s="428" t="s">
        <v>390</v>
      </c>
      <c r="I123" s="428">
        <v>6286</v>
      </c>
      <c r="J123" s="450">
        <v>27</v>
      </c>
      <c r="K123" s="451">
        <f>Table_Household_Alloc[[#This Row],[Unit Entitlement]]/1000</f>
        <v>0.027</v>
      </c>
      <c r="L123" s="431">
        <f t="shared" si="2"/>
        <v>6.264</v>
      </c>
      <c r="M123" s="452" t="str">
        <f>CONCATENATE("Symo ",Table_Household_Alloc[[#This Row],[Export Capacity (kW)]])</f>
        <v>Symo 5</v>
      </c>
      <c r="N123" s="432">
        <f>IF(Table_Household_Alloc[[#This Row],[PV Installed]]="Y",1,0)*Table_Household_Alloc[[#This Row],[Calculated Battery Allocation (kWh)]]</f>
        <v>6.264</v>
      </c>
      <c r="O123" s="426">
        <v>5</v>
      </c>
      <c r="P123" s="428" t="s">
        <v>221</v>
      </c>
      <c r="Q123" s="428" t="s">
        <v>221</v>
      </c>
      <c r="R123" s="428" t="s">
        <v>221</v>
      </c>
      <c r="S123" s="428" t="s">
        <v>234</v>
      </c>
      <c r="T123" s="426" t="s">
        <v>596</v>
      </c>
      <c r="U123" s="434"/>
      <c r="V123" s="426" t="s">
        <v>597</v>
      </c>
      <c r="X123" s="464">
        <v>45501</v>
      </c>
      <c r="Y123" s="437" t="s">
        <v>227</v>
      </c>
    </row>
    <row r="124" s="426" customFormat="1" ht="17.4" spans="1:25">
      <c r="A124" s="347">
        <v>16</v>
      </c>
      <c r="B124" s="348" t="s">
        <v>58</v>
      </c>
      <c r="C124" s="349">
        <v>50002843</v>
      </c>
      <c r="D124" s="428"/>
      <c r="E124" s="428" t="s">
        <v>598</v>
      </c>
      <c r="F124" s="428" t="s">
        <v>599</v>
      </c>
      <c r="G124" s="428" t="s">
        <v>389</v>
      </c>
      <c r="H124" s="428" t="s">
        <v>390</v>
      </c>
      <c r="I124" s="428">
        <v>6286</v>
      </c>
      <c r="J124" s="450">
        <v>27</v>
      </c>
      <c r="K124" s="451">
        <f>Table_Household_Alloc[[#This Row],[Unit Entitlement]]/1000</f>
        <v>0.027</v>
      </c>
      <c r="L124" s="431">
        <f t="shared" si="2"/>
        <v>6.264</v>
      </c>
      <c r="M124" s="452" t="str">
        <f>CONCATENATE("Symo ",Table_Household_Alloc[[#This Row],[Export Capacity (kW)]])</f>
        <v>Symo 5</v>
      </c>
      <c r="N124" s="432">
        <f>IF(Table_Household_Alloc[[#This Row],[PV Installed]]="Y",1,0)*Table_Household_Alloc[[#This Row],[Calculated Battery Allocation (kWh)]]</f>
        <v>6.264</v>
      </c>
      <c r="O124" s="426">
        <v>5</v>
      </c>
      <c r="P124" s="428" t="s">
        <v>221</v>
      </c>
      <c r="Q124" s="428" t="s">
        <v>221</v>
      </c>
      <c r="R124" s="428" t="s">
        <v>221</v>
      </c>
      <c r="S124" s="428" t="s">
        <v>234</v>
      </c>
      <c r="T124" s="426" t="s">
        <v>600</v>
      </c>
      <c r="U124" s="434"/>
      <c r="V124" s="426" t="s">
        <v>601</v>
      </c>
      <c r="X124" s="464">
        <v>44607</v>
      </c>
      <c r="Y124" s="437" t="s">
        <v>227</v>
      </c>
    </row>
    <row r="125" s="426" customFormat="1" ht="17.4" spans="1:25">
      <c r="A125" s="347">
        <v>17</v>
      </c>
      <c r="B125" s="348" t="s">
        <v>58</v>
      </c>
      <c r="C125" s="349">
        <v>50002929</v>
      </c>
      <c r="D125" s="428"/>
      <c r="E125" s="428" t="s">
        <v>602</v>
      </c>
      <c r="F125" s="428" t="s">
        <v>603</v>
      </c>
      <c r="G125" s="428" t="s">
        <v>389</v>
      </c>
      <c r="H125" s="428" t="s">
        <v>390</v>
      </c>
      <c r="I125" s="428">
        <v>6286</v>
      </c>
      <c r="J125" s="450">
        <v>27</v>
      </c>
      <c r="K125" s="451">
        <f>Table_Household_Alloc[[#This Row],[Unit Entitlement]]/1000</f>
        <v>0.027</v>
      </c>
      <c r="L125" s="431">
        <f t="shared" si="2"/>
        <v>6.264</v>
      </c>
      <c r="M125" s="452" t="str">
        <f>CONCATENATE("Symo ",Table_Household_Alloc[[#This Row],[Export Capacity (kW)]])</f>
        <v>Symo 5</v>
      </c>
      <c r="N125" s="432">
        <f>IF(Table_Household_Alloc[[#This Row],[PV Installed]]="Y",1,0)*Table_Household_Alloc[[#This Row],[Calculated Battery Allocation (kWh)]]</f>
        <v>6.264</v>
      </c>
      <c r="O125" s="426">
        <v>5</v>
      </c>
      <c r="P125" s="428" t="s">
        <v>221</v>
      </c>
      <c r="Q125" s="428" t="s">
        <v>221</v>
      </c>
      <c r="R125" s="428" t="s">
        <v>221</v>
      </c>
      <c r="S125" s="428" t="s">
        <v>234</v>
      </c>
      <c r="T125" s="426" t="s">
        <v>604</v>
      </c>
      <c r="U125" s="434"/>
      <c r="V125" s="426" t="s">
        <v>605</v>
      </c>
      <c r="X125" s="464">
        <v>45320</v>
      </c>
      <c r="Y125" s="437" t="s">
        <v>227</v>
      </c>
    </row>
    <row r="126" s="426" customFormat="1" ht="17.4" spans="1:25">
      <c r="A126" s="347">
        <v>18</v>
      </c>
      <c r="B126" s="348" t="s">
        <v>58</v>
      </c>
      <c r="C126" s="373"/>
      <c r="D126" s="428"/>
      <c r="E126" s="428" t="s">
        <v>606</v>
      </c>
      <c r="F126" s="428" t="s">
        <v>607</v>
      </c>
      <c r="G126" s="428" t="s">
        <v>389</v>
      </c>
      <c r="H126" s="428" t="s">
        <v>390</v>
      </c>
      <c r="I126" s="428">
        <v>6286</v>
      </c>
      <c r="J126" s="450">
        <v>31</v>
      </c>
      <c r="K126" s="451">
        <f>Table_Household_Alloc[[#This Row],[Unit Entitlement]]/1000</f>
        <v>0.031</v>
      </c>
      <c r="L126" s="431">
        <f t="shared" si="2"/>
        <v>7.192</v>
      </c>
      <c r="M126" s="452"/>
      <c r="N126" s="432">
        <f>IF(Table_Household_Alloc[[#This Row],[PV Installed]]="Y",1,0)*Table_Household_Alloc[[#This Row],[Calculated Battery Allocation (kWh)]]</f>
        <v>0</v>
      </c>
      <c r="P126" s="428"/>
      <c r="Q126" s="428"/>
      <c r="R126" s="428"/>
      <c r="S126" s="428" t="s">
        <v>307</v>
      </c>
      <c r="T126" s="426" t="s">
        <v>608</v>
      </c>
      <c r="U126" s="434"/>
      <c r="V126" s="426" t="s">
        <v>609</v>
      </c>
      <c r="X126" s="464"/>
      <c r="Y126" s="437"/>
    </row>
    <row r="127" s="426" customFormat="1" ht="17.4" spans="1:25">
      <c r="A127" s="347">
        <v>19</v>
      </c>
      <c r="B127" s="348" t="s">
        <v>58</v>
      </c>
      <c r="C127" s="373"/>
      <c r="D127" s="428"/>
      <c r="E127" s="428" t="s">
        <v>610</v>
      </c>
      <c r="F127" s="428" t="s">
        <v>611</v>
      </c>
      <c r="G127" s="428" t="s">
        <v>389</v>
      </c>
      <c r="H127" s="428" t="s">
        <v>390</v>
      </c>
      <c r="I127" s="428">
        <v>6286</v>
      </c>
      <c r="J127" s="450">
        <v>78</v>
      </c>
      <c r="K127" s="451">
        <f>Table_Household_Alloc[[#This Row],[Unit Entitlement]]/1000</f>
        <v>0.078</v>
      </c>
      <c r="L127" s="431">
        <f t="shared" si="2"/>
        <v>18.096</v>
      </c>
      <c r="M127" s="452"/>
      <c r="N127" s="432">
        <f>IF(Table_Household_Alloc[[#This Row],[PV Installed]]="Y",1,0)*Table_Household_Alloc[[#This Row],[Calculated Battery Allocation (kWh)]]</f>
        <v>18.096</v>
      </c>
      <c r="P127" s="428"/>
      <c r="Q127" s="428" t="s">
        <v>221</v>
      </c>
      <c r="R127" s="428"/>
      <c r="S127" s="428" t="s">
        <v>307</v>
      </c>
      <c r="T127" s="426" t="s">
        <v>612</v>
      </c>
      <c r="U127" s="434"/>
      <c r="V127" s="426" t="s">
        <v>613</v>
      </c>
      <c r="X127" s="464"/>
      <c r="Y127" s="437"/>
    </row>
    <row r="128" s="426" customFormat="1" ht="17.4" spans="1:25">
      <c r="A128" s="347">
        <v>20</v>
      </c>
      <c r="B128" s="348" t="s">
        <v>58</v>
      </c>
      <c r="C128" s="372"/>
      <c r="D128" s="428"/>
      <c r="E128" s="428" t="s">
        <v>614</v>
      </c>
      <c r="F128" s="428" t="s">
        <v>615</v>
      </c>
      <c r="G128" s="428" t="s">
        <v>389</v>
      </c>
      <c r="H128" s="428" t="s">
        <v>390</v>
      </c>
      <c r="I128" s="428">
        <v>6286</v>
      </c>
      <c r="J128" s="450">
        <v>62</v>
      </c>
      <c r="K128" s="451">
        <f>Table_Household_Alloc[[#This Row],[Unit Entitlement]]/1000</f>
        <v>0.062</v>
      </c>
      <c r="L128" s="431">
        <f t="shared" si="2"/>
        <v>14.384</v>
      </c>
      <c r="M128" s="452"/>
      <c r="N128" s="432">
        <f>IF(Table_Household_Alloc[[#This Row],[PV Installed]]="Y",1,0)*Table_Household_Alloc[[#This Row],[Calculated Battery Allocation (kWh)]]</f>
        <v>0</v>
      </c>
      <c r="P128" s="428"/>
      <c r="Q128" s="428"/>
      <c r="R128" s="428"/>
      <c r="S128" s="428" t="s">
        <v>223</v>
      </c>
      <c r="T128" s="426" t="s">
        <v>616</v>
      </c>
      <c r="U128" s="434" t="s">
        <v>617</v>
      </c>
      <c r="V128" s="426" t="s">
        <v>618</v>
      </c>
      <c r="X128" s="464"/>
      <c r="Y128" s="437"/>
    </row>
    <row r="129" s="426" customFormat="1" ht="17.4" spans="1:25">
      <c r="A129" s="347">
        <v>21</v>
      </c>
      <c r="B129" s="348" t="s">
        <v>58</v>
      </c>
      <c r="C129" s="373"/>
      <c r="D129" s="428"/>
      <c r="E129" s="428" t="s">
        <v>619</v>
      </c>
      <c r="F129" s="428" t="s">
        <v>620</v>
      </c>
      <c r="G129" s="428" t="s">
        <v>389</v>
      </c>
      <c r="H129" s="428" t="s">
        <v>390</v>
      </c>
      <c r="I129" s="428">
        <v>6286</v>
      </c>
      <c r="J129" s="450">
        <v>61</v>
      </c>
      <c r="K129" s="451">
        <f>Table_Household_Alloc[[#This Row],[Unit Entitlement]]/1000</f>
        <v>0.061</v>
      </c>
      <c r="L129" s="431">
        <f t="shared" si="2"/>
        <v>14.152</v>
      </c>
      <c r="M129" s="452" t="str">
        <f>CONCATENATE("Symo ",Table_Household_Alloc[[#This Row],[Export Capacity (kW)]])</f>
        <v>Symo 10</v>
      </c>
      <c r="N129" s="432">
        <f>IF(Table_Household_Alloc[[#This Row],[PV Installed]]="Y",1,0)*Table_Household_Alloc[[#This Row],[Calculated Battery Allocation (kWh)]]</f>
        <v>14.152</v>
      </c>
      <c r="O129" s="426">
        <v>10</v>
      </c>
      <c r="P129" s="428" t="s">
        <v>221</v>
      </c>
      <c r="Q129" s="428" t="s">
        <v>221</v>
      </c>
      <c r="R129" s="428" t="s">
        <v>221</v>
      </c>
      <c r="S129" s="428" t="s">
        <v>234</v>
      </c>
      <c r="T129" s="426" t="s">
        <v>621</v>
      </c>
      <c r="U129" s="434" t="s">
        <v>622</v>
      </c>
      <c r="V129" s="426" t="s">
        <v>623</v>
      </c>
      <c r="X129" s="464">
        <v>44884</v>
      </c>
      <c r="Y129" s="437" t="s">
        <v>227</v>
      </c>
    </row>
    <row r="130" s="426" customFormat="1" ht="17.4" spans="1:25">
      <c r="A130" s="347">
        <v>22</v>
      </c>
      <c r="B130" s="348" t="s">
        <v>58</v>
      </c>
      <c r="C130" s="372"/>
      <c r="D130" s="428"/>
      <c r="E130" s="428" t="s">
        <v>624</v>
      </c>
      <c r="F130" s="428" t="s">
        <v>625</v>
      </c>
      <c r="G130" s="428" t="s">
        <v>389</v>
      </c>
      <c r="H130" s="428" t="s">
        <v>390</v>
      </c>
      <c r="I130" s="428">
        <v>6286</v>
      </c>
      <c r="J130" s="450">
        <v>61</v>
      </c>
      <c r="K130" s="451">
        <f>Table_Household_Alloc[[#This Row],[Unit Entitlement]]/1000</f>
        <v>0.061</v>
      </c>
      <c r="L130" s="431">
        <f t="shared" si="2"/>
        <v>14.152</v>
      </c>
      <c r="M130" s="452"/>
      <c r="N130" s="432">
        <f>IF(Table_Household_Alloc[[#This Row],[PV Installed]]="Y",1,0)*Table_Household_Alloc[[#This Row],[Calculated Battery Allocation (kWh)]]</f>
        <v>0</v>
      </c>
      <c r="P130" s="428"/>
      <c r="Q130" s="428"/>
      <c r="R130" s="428"/>
      <c r="S130" s="428" t="s">
        <v>307</v>
      </c>
      <c r="T130" s="426" t="s">
        <v>626</v>
      </c>
      <c r="U130" s="434" t="s">
        <v>627</v>
      </c>
      <c r="V130" s="426" t="s">
        <v>628</v>
      </c>
      <c r="X130" s="464"/>
      <c r="Y130" s="437"/>
    </row>
    <row r="131" s="426" customFormat="1" ht="18" spans="1:25">
      <c r="A131" s="355" t="s">
        <v>334</v>
      </c>
      <c r="B131" s="348" t="s">
        <v>58</v>
      </c>
      <c r="C131" s="349">
        <v>2902000956</v>
      </c>
      <c r="D131" s="428"/>
      <c r="E131" s="440" t="s">
        <v>335</v>
      </c>
      <c r="F131" s="427"/>
      <c r="G131" s="428"/>
      <c r="H131" s="428"/>
      <c r="I131" s="428"/>
      <c r="J131" s="429"/>
      <c r="K131" s="430">
        <f>Table_Household_Alloc[[#This Row],[Unit Entitlement]]/1000</f>
        <v>0</v>
      </c>
      <c r="L131" s="431"/>
      <c r="M131" s="428"/>
      <c r="N131" s="432">
        <f>IF(Table_Household_Alloc[[#This Row],[PV Installed]]="Y",1,0)*Table_Household_Alloc[[#This Row],[Calculated Battery Allocation (kWh)]]</f>
        <v>0</v>
      </c>
      <c r="T131" s="433"/>
      <c r="U131" s="434"/>
      <c r="V131" s="435"/>
      <c r="X131" s="436"/>
      <c r="Y131" s="437"/>
    </row>
    <row r="132" s="426" customFormat="1" ht="17.4" spans="1:25">
      <c r="A132" s="347" t="s">
        <v>336</v>
      </c>
      <c r="B132" s="348" t="s">
        <v>58</v>
      </c>
      <c r="C132" s="349">
        <v>2902000944</v>
      </c>
      <c r="D132" s="428" t="s">
        <v>337</v>
      </c>
      <c r="E132" s="440" t="s">
        <v>338</v>
      </c>
      <c r="F132" s="428"/>
      <c r="G132" s="428" t="s">
        <v>219</v>
      </c>
      <c r="H132" s="428" t="s">
        <v>220</v>
      </c>
      <c r="I132" s="428">
        <v>6286</v>
      </c>
      <c r="J132" s="446"/>
      <c r="K132" s="447">
        <f>Table_Household_Alloc[[#This Row],[Unit Entitlement]]/1000</f>
        <v>0</v>
      </c>
      <c r="L132" s="431">
        <f t="shared" ref="L132:L133" si="4">(J132/1000)*232</f>
        <v>0</v>
      </c>
      <c r="M132" s="452"/>
      <c r="N132" s="432">
        <f>IF(Table_Household_Alloc[[#This Row],[PV Installed]]="Y",1,0)*Table_Household_Alloc[[#This Row],[Calculated Battery Allocation (kWh)]]</f>
        <v>0</v>
      </c>
      <c r="P132" s="438"/>
      <c r="Q132" s="438"/>
      <c r="R132" s="428"/>
      <c r="S132" s="428"/>
      <c r="U132" s="434"/>
      <c r="X132" s="464"/>
      <c r="Y132" s="437"/>
    </row>
    <row r="133" s="426" customFormat="1" ht="17.4" spans="1:25">
      <c r="A133" s="347" t="s">
        <v>339</v>
      </c>
      <c r="B133" s="348" t="s">
        <v>58</v>
      </c>
      <c r="C133" s="349">
        <v>2912025226</v>
      </c>
      <c r="D133" s="428" t="s">
        <v>337</v>
      </c>
      <c r="E133" s="440" t="s">
        <v>340</v>
      </c>
      <c r="F133" s="428"/>
      <c r="G133" s="428" t="s">
        <v>219</v>
      </c>
      <c r="H133" s="428" t="s">
        <v>220</v>
      </c>
      <c r="I133" s="428">
        <v>6286</v>
      </c>
      <c r="J133" s="450"/>
      <c r="K133" s="451">
        <f>Table_Household_Alloc[[#This Row],[Unit Entitlement]]/1000</f>
        <v>0</v>
      </c>
      <c r="L133" s="431">
        <f t="shared" si="4"/>
        <v>0</v>
      </c>
      <c r="M133" s="452"/>
      <c r="N133" s="432">
        <f>IF(Table_Household_Alloc[[#This Row],[PV Installed]]="Y",1,0)*Table_Household_Alloc[[#This Row],[Calculated Battery Allocation (kWh)]]</f>
        <v>0</v>
      </c>
      <c r="P133" s="438"/>
      <c r="Q133" s="438"/>
      <c r="R133" s="428"/>
      <c r="S133" s="428"/>
      <c r="U133" s="434"/>
      <c r="X133" s="464"/>
      <c r="Y133" s="437"/>
    </row>
    <row r="134" s="426" customFormat="1" ht="18" spans="1:25">
      <c r="A134" s="360" t="s">
        <v>341</v>
      </c>
      <c r="B134" s="348" t="s">
        <v>58</v>
      </c>
      <c r="C134" s="349"/>
      <c r="D134" s="428"/>
      <c r="E134" s="427"/>
      <c r="F134" s="427"/>
      <c r="G134" s="428"/>
      <c r="H134" s="428"/>
      <c r="I134" s="428"/>
      <c r="J134" s="429"/>
      <c r="K134" s="430">
        <f>Table_Household_Alloc[[#This Row],[Unit Entitlement]]/1000</f>
        <v>0</v>
      </c>
      <c r="L134" s="431"/>
      <c r="M134" s="428"/>
      <c r="N134" s="432">
        <f>IF(Table_Household_Alloc[[#This Row],[PV Installed]]="Y",1,0)*Table_Household_Alloc[[#This Row],[Calculated Battery Allocation (kWh)]]</f>
        <v>0</v>
      </c>
      <c r="T134" s="433"/>
      <c r="U134" s="434"/>
      <c r="V134" s="435"/>
      <c r="X134" s="436"/>
      <c r="Y134" s="437"/>
    </row>
    <row r="135" s="426" customFormat="1" ht="18" spans="1:25">
      <c r="A135" s="361" t="s">
        <v>342</v>
      </c>
      <c r="B135" s="348" t="s">
        <v>58</v>
      </c>
      <c r="C135" s="349"/>
      <c r="D135" s="428"/>
      <c r="E135" s="427"/>
      <c r="F135" s="427"/>
      <c r="G135" s="428"/>
      <c r="H135" s="428"/>
      <c r="I135" s="428"/>
      <c r="J135" s="429"/>
      <c r="K135" s="430">
        <f>Table_Household_Alloc[[#This Row],[Unit Entitlement]]/1000</f>
        <v>0</v>
      </c>
      <c r="L135" s="431"/>
      <c r="M135" s="428"/>
      <c r="N135" s="432">
        <f>IF(Table_Household_Alloc[[#This Row],[PV Installed]]="Y",1,0)*Table_Household_Alloc[[#This Row],[Calculated Battery Allocation (kWh)]]</f>
        <v>0</v>
      </c>
      <c r="T135" s="433"/>
      <c r="U135" s="434"/>
      <c r="V135" s="435"/>
      <c r="X135" s="436"/>
      <c r="Y135" s="437"/>
    </row>
    <row r="136" s="426" customFormat="1" ht="17.4" spans="1:25">
      <c r="A136" s="347">
        <v>1</v>
      </c>
      <c r="B136" s="348" t="s">
        <v>59</v>
      </c>
      <c r="C136" s="352"/>
      <c r="D136" s="428"/>
      <c r="E136" s="428" t="s">
        <v>629</v>
      </c>
      <c r="F136" s="428" t="s">
        <v>630</v>
      </c>
      <c r="G136" s="428" t="s">
        <v>389</v>
      </c>
      <c r="H136" s="428" t="s">
        <v>390</v>
      </c>
      <c r="I136" s="428">
        <v>6286</v>
      </c>
      <c r="J136" s="450">
        <v>32</v>
      </c>
      <c r="K136" s="451">
        <f>Table_Household_Alloc[[#This Row],[Unit Entitlement]]/1000</f>
        <v>0.032</v>
      </c>
      <c r="L136" s="431">
        <f t="shared" si="2"/>
        <v>7.424</v>
      </c>
      <c r="M136" s="452"/>
      <c r="N136" s="432">
        <f>IF(Table_Household_Alloc[[#This Row],[PV Installed]]="Y",1,0)*Table_Household_Alloc[[#This Row],[Calculated Battery Allocation (kWh)]]</f>
        <v>0</v>
      </c>
      <c r="P136" s="428"/>
      <c r="Q136" s="484"/>
      <c r="R136" s="428"/>
      <c r="S136" s="428" t="s">
        <v>234</v>
      </c>
      <c r="T136" s="485" t="s">
        <v>631</v>
      </c>
      <c r="U136" s="434"/>
      <c r="V136" s="486" t="s">
        <v>632</v>
      </c>
      <c r="X136" s="487">
        <v>45588</v>
      </c>
      <c r="Y136" s="437" t="s">
        <v>227</v>
      </c>
    </row>
    <row r="137" s="426" customFormat="1" ht="17.4" spans="1:25">
      <c r="A137" s="347">
        <v>2</v>
      </c>
      <c r="B137" s="348" t="s">
        <v>59</v>
      </c>
      <c r="C137" s="352"/>
      <c r="D137" s="428"/>
      <c r="E137" s="428" t="s">
        <v>633</v>
      </c>
      <c r="F137" s="428" t="s">
        <v>634</v>
      </c>
      <c r="G137" s="428" t="s">
        <v>389</v>
      </c>
      <c r="H137" s="428" t="s">
        <v>390</v>
      </c>
      <c r="I137" s="428">
        <v>6286</v>
      </c>
      <c r="J137" s="450">
        <v>32</v>
      </c>
      <c r="K137" s="451">
        <f>Table_Household_Alloc[[#This Row],[Unit Entitlement]]/1000</f>
        <v>0.032</v>
      </c>
      <c r="L137" s="431">
        <f t="shared" si="2"/>
        <v>7.424</v>
      </c>
      <c r="M137" s="452"/>
      <c r="N137" s="432">
        <f>IF(Table_Household_Alloc[[#This Row],[PV Installed]]="Y",1,0)*Table_Household_Alloc[[#This Row],[Calculated Battery Allocation (kWh)]]</f>
        <v>0</v>
      </c>
      <c r="P137" s="428"/>
      <c r="Q137" s="428"/>
      <c r="R137" s="428"/>
      <c r="S137" s="428" t="s">
        <v>307</v>
      </c>
      <c r="T137" s="485" t="s">
        <v>635</v>
      </c>
      <c r="U137" s="434"/>
      <c r="V137" s="488" t="s">
        <v>636</v>
      </c>
      <c r="X137" s="487"/>
      <c r="Y137" s="437"/>
    </row>
    <row r="138" s="426" customFormat="1" ht="17.4" spans="1:25">
      <c r="A138" s="347">
        <v>3</v>
      </c>
      <c r="B138" s="348" t="s">
        <v>59</v>
      </c>
      <c r="C138" s="374"/>
      <c r="D138" s="428"/>
      <c r="E138" s="428" t="s">
        <v>637</v>
      </c>
      <c r="F138" s="428" t="s">
        <v>638</v>
      </c>
      <c r="G138" s="428" t="s">
        <v>389</v>
      </c>
      <c r="H138" s="428" t="s">
        <v>390</v>
      </c>
      <c r="I138" s="428">
        <v>6286</v>
      </c>
      <c r="J138" s="450">
        <v>34</v>
      </c>
      <c r="K138" s="451">
        <f>Table_Household_Alloc[[#This Row],[Unit Entitlement]]/1000</f>
        <v>0.034</v>
      </c>
      <c r="L138" s="431">
        <f t="shared" si="2"/>
        <v>7.888</v>
      </c>
      <c r="M138" s="452"/>
      <c r="N138" s="432">
        <f>IF(Table_Household_Alloc[[#This Row],[PV Installed]]="Y",1,0)*Table_Household_Alloc[[#This Row],[Calculated Battery Allocation (kWh)]]</f>
        <v>0</v>
      </c>
      <c r="P138" s="428"/>
      <c r="Q138" s="428"/>
      <c r="R138" s="428"/>
      <c r="S138" s="428" t="s">
        <v>307</v>
      </c>
      <c r="T138" s="485" t="s">
        <v>639</v>
      </c>
      <c r="U138" s="434"/>
      <c r="V138" s="488" t="s">
        <v>640</v>
      </c>
      <c r="X138" s="487"/>
      <c r="Y138" s="437"/>
    </row>
    <row r="139" s="426" customFormat="1" ht="17.4" spans="1:25">
      <c r="A139" s="347">
        <v>4</v>
      </c>
      <c r="B139" s="348" t="s">
        <v>59</v>
      </c>
      <c r="C139" s="349">
        <v>50002962</v>
      </c>
      <c r="D139" s="428"/>
      <c r="E139" s="428" t="s">
        <v>641</v>
      </c>
      <c r="F139" s="428" t="s">
        <v>642</v>
      </c>
      <c r="G139" s="428" t="s">
        <v>389</v>
      </c>
      <c r="H139" s="428" t="s">
        <v>390</v>
      </c>
      <c r="I139" s="428">
        <v>6286</v>
      </c>
      <c r="J139" s="450">
        <v>35</v>
      </c>
      <c r="K139" s="451">
        <f>Table_Household_Alloc[[#This Row],[Unit Entitlement]]/1000</f>
        <v>0.035</v>
      </c>
      <c r="L139" s="431">
        <f t="shared" si="2"/>
        <v>8.12</v>
      </c>
      <c r="M139" s="452" t="str">
        <f>CONCATENATE("Symo ",Table_Household_Alloc[[#This Row],[Export Capacity (kW)]])</f>
        <v>Symo 5</v>
      </c>
      <c r="N139" s="432">
        <f>IF(Table_Household_Alloc[[#This Row],[PV Installed]]="Y",1,0)*Table_Household_Alloc[[#This Row],[Calculated Battery Allocation (kWh)]]</f>
        <v>8.12</v>
      </c>
      <c r="O139" s="426">
        <v>5</v>
      </c>
      <c r="P139" s="428" t="s">
        <v>221</v>
      </c>
      <c r="Q139" s="428" t="s">
        <v>221</v>
      </c>
      <c r="R139" s="428" t="s">
        <v>221</v>
      </c>
      <c r="S139" s="428" t="s">
        <v>234</v>
      </c>
      <c r="T139" s="485" t="s">
        <v>643</v>
      </c>
      <c r="U139" s="434"/>
      <c r="V139" s="488" t="s">
        <v>585</v>
      </c>
      <c r="X139" s="489">
        <v>45040</v>
      </c>
      <c r="Y139" s="437" t="s">
        <v>227</v>
      </c>
    </row>
    <row r="140" s="426" customFormat="1" ht="17.4" spans="1:25">
      <c r="A140" s="347">
        <v>5</v>
      </c>
      <c r="B140" s="348" t="s">
        <v>59</v>
      </c>
      <c r="C140" s="374"/>
      <c r="D140" s="428"/>
      <c r="E140" s="428" t="s">
        <v>644</v>
      </c>
      <c r="F140" s="428" t="s">
        <v>645</v>
      </c>
      <c r="G140" s="428" t="s">
        <v>389</v>
      </c>
      <c r="H140" s="428" t="s">
        <v>390</v>
      </c>
      <c r="I140" s="428">
        <v>6286</v>
      </c>
      <c r="J140" s="450">
        <v>35</v>
      </c>
      <c r="K140" s="451">
        <f>Table_Household_Alloc[[#This Row],[Unit Entitlement]]/1000</f>
        <v>0.035</v>
      </c>
      <c r="L140" s="431">
        <f t="shared" si="2"/>
        <v>8.12</v>
      </c>
      <c r="M140" s="452"/>
      <c r="N140" s="432">
        <f>IF(Table_Household_Alloc[[#This Row],[PV Installed]]="Y",1,0)*Table_Household_Alloc[[#This Row],[Calculated Battery Allocation (kWh)]]</f>
        <v>0</v>
      </c>
      <c r="P140" s="428"/>
      <c r="Q140" s="428"/>
      <c r="R140" s="428"/>
      <c r="S140" s="428" t="s">
        <v>307</v>
      </c>
      <c r="T140" s="485" t="s">
        <v>646</v>
      </c>
      <c r="U140" s="434"/>
      <c r="V140" s="488" t="s">
        <v>647</v>
      </c>
      <c r="X140" s="487"/>
      <c r="Y140" s="437"/>
    </row>
    <row r="141" s="426" customFormat="1" ht="17.4" spans="1:25">
      <c r="A141" s="347">
        <v>6</v>
      </c>
      <c r="B141" s="348" t="s">
        <v>59</v>
      </c>
      <c r="C141" s="374"/>
      <c r="D141" s="428"/>
      <c r="E141" s="428" t="s">
        <v>648</v>
      </c>
      <c r="F141" s="428" t="s">
        <v>649</v>
      </c>
      <c r="G141" s="428" t="s">
        <v>389</v>
      </c>
      <c r="H141" s="428" t="s">
        <v>390</v>
      </c>
      <c r="I141" s="428">
        <v>6286</v>
      </c>
      <c r="J141" s="450">
        <v>29</v>
      </c>
      <c r="K141" s="451">
        <f>Table_Household_Alloc[[#This Row],[Unit Entitlement]]/1000</f>
        <v>0.029</v>
      </c>
      <c r="L141" s="431">
        <f t="shared" si="2"/>
        <v>6.728</v>
      </c>
      <c r="M141" s="452"/>
      <c r="N141" s="432">
        <f>IF(Table_Household_Alloc[[#This Row],[PV Installed]]="Y",1,0)*Table_Household_Alloc[[#This Row],[Calculated Battery Allocation (kWh)]]</f>
        <v>0</v>
      </c>
      <c r="P141" s="428"/>
      <c r="Q141" s="428"/>
      <c r="R141" s="428"/>
      <c r="S141" s="428" t="s">
        <v>307</v>
      </c>
      <c r="T141" s="485" t="s">
        <v>650</v>
      </c>
      <c r="U141" s="434"/>
      <c r="V141" s="488" t="s">
        <v>651</v>
      </c>
      <c r="X141" s="487"/>
      <c r="Y141" s="437"/>
    </row>
    <row r="142" s="426" customFormat="1" ht="17.4" spans="1:25">
      <c r="A142" s="347">
        <v>7</v>
      </c>
      <c r="B142" s="348" t="s">
        <v>59</v>
      </c>
      <c r="C142" s="349">
        <v>50003423</v>
      </c>
      <c r="D142" s="428"/>
      <c r="E142" s="428" t="s">
        <v>652</v>
      </c>
      <c r="F142" s="428" t="s">
        <v>653</v>
      </c>
      <c r="G142" s="428" t="s">
        <v>389</v>
      </c>
      <c r="H142" s="428" t="s">
        <v>390</v>
      </c>
      <c r="I142" s="428">
        <v>6286</v>
      </c>
      <c r="J142" s="450">
        <v>31</v>
      </c>
      <c r="K142" s="451">
        <f>Table_Household_Alloc[[#This Row],[Unit Entitlement]]/1000</f>
        <v>0.031</v>
      </c>
      <c r="L142" s="431">
        <f t="shared" si="2"/>
        <v>7.192</v>
      </c>
      <c r="M142" s="452" t="str">
        <f>CONCATENATE("Symo ",Table_Household_Alloc[[#This Row],[Export Capacity (kW)]])</f>
        <v>Symo 5</v>
      </c>
      <c r="N142" s="432">
        <f>IF(Table_Household_Alloc[[#This Row],[PV Installed]]="Y",1,0)*Table_Household_Alloc[[#This Row],[Calculated Battery Allocation (kWh)]]</f>
        <v>7.192</v>
      </c>
      <c r="O142" s="426">
        <v>5</v>
      </c>
      <c r="P142" s="428" t="s">
        <v>221</v>
      </c>
      <c r="Q142" s="428" t="s">
        <v>221</v>
      </c>
      <c r="R142" s="428" t="s">
        <v>221</v>
      </c>
      <c r="S142" s="428" t="s">
        <v>234</v>
      </c>
      <c r="T142" s="485" t="s">
        <v>654</v>
      </c>
      <c r="U142" s="434"/>
      <c r="V142" s="488" t="s">
        <v>655</v>
      </c>
      <c r="X142" s="490">
        <v>45295</v>
      </c>
      <c r="Y142" s="437" t="s">
        <v>227</v>
      </c>
    </row>
    <row r="143" s="426" customFormat="1" ht="17.4" spans="1:25">
      <c r="A143" s="347">
        <v>8</v>
      </c>
      <c r="B143" s="348" t="s">
        <v>59</v>
      </c>
      <c r="C143" s="374"/>
      <c r="D143" s="428"/>
      <c r="E143" s="428" t="s">
        <v>656</v>
      </c>
      <c r="F143" s="428" t="s">
        <v>657</v>
      </c>
      <c r="G143" s="428" t="s">
        <v>389</v>
      </c>
      <c r="H143" s="428" t="s">
        <v>390</v>
      </c>
      <c r="I143" s="428">
        <v>6286</v>
      </c>
      <c r="J143" s="450">
        <v>31</v>
      </c>
      <c r="K143" s="451">
        <f>Table_Household_Alloc[[#This Row],[Unit Entitlement]]/1000</f>
        <v>0.031</v>
      </c>
      <c r="L143" s="431">
        <f t="shared" si="2"/>
        <v>7.192</v>
      </c>
      <c r="M143" s="452"/>
      <c r="N143" s="432">
        <f>IF(Table_Household_Alloc[[#This Row],[PV Installed]]="Y",1,0)*Table_Household_Alloc[[#This Row],[Calculated Battery Allocation (kWh)]]</f>
        <v>0</v>
      </c>
      <c r="P143" s="428"/>
      <c r="Q143" s="428"/>
      <c r="R143" s="428"/>
      <c r="S143" s="428" t="s">
        <v>307</v>
      </c>
      <c r="T143" s="491" t="s">
        <v>658</v>
      </c>
      <c r="U143" s="434"/>
      <c r="V143" s="488" t="s">
        <v>659</v>
      </c>
      <c r="X143" s="487"/>
      <c r="Y143" s="437"/>
    </row>
    <row r="144" s="426" customFormat="1" ht="17.4" spans="1:25">
      <c r="A144" s="347">
        <v>9</v>
      </c>
      <c r="B144" s="348" t="s">
        <v>59</v>
      </c>
      <c r="C144" s="352"/>
      <c r="D144" s="428"/>
      <c r="E144" s="428" t="s">
        <v>660</v>
      </c>
      <c r="F144" s="428" t="s">
        <v>661</v>
      </c>
      <c r="G144" s="428" t="s">
        <v>389</v>
      </c>
      <c r="H144" s="428" t="s">
        <v>390</v>
      </c>
      <c r="I144" s="428">
        <v>6286</v>
      </c>
      <c r="J144" s="450">
        <v>45</v>
      </c>
      <c r="K144" s="451">
        <f>Table_Household_Alloc[[#This Row],[Unit Entitlement]]/1000</f>
        <v>0.045</v>
      </c>
      <c r="L144" s="431">
        <f t="shared" si="2"/>
        <v>10.44</v>
      </c>
      <c r="M144" s="452"/>
      <c r="N144" s="432">
        <f>IF(Table_Household_Alloc[[#This Row],[PV Installed]]="Y",1,0)*Table_Household_Alloc[[#This Row],[Calculated Battery Allocation (kWh)]]</f>
        <v>0</v>
      </c>
      <c r="P144" s="428"/>
      <c r="Q144" s="428"/>
      <c r="R144" s="428"/>
      <c r="S144" s="428" t="s">
        <v>223</v>
      </c>
      <c r="T144" s="485" t="s">
        <v>662</v>
      </c>
      <c r="U144" s="434"/>
      <c r="V144" s="488" t="s">
        <v>663</v>
      </c>
      <c r="X144" s="487"/>
      <c r="Y144" s="437"/>
    </row>
    <row r="145" s="426" customFormat="1" ht="17.4" spans="1:25">
      <c r="A145" s="347">
        <v>10</v>
      </c>
      <c r="B145" s="348" t="s">
        <v>59</v>
      </c>
      <c r="C145" s="352"/>
      <c r="D145" s="428"/>
      <c r="E145" s="428" t="s">
        <v>664</v>
      </c>
      <c r="F145" s="428" t="s">
        <v>665</v>
      </c>
      <c r="G145" s="428" t="s">
        <v>389</v>
      </c>
      <c r="H145" s="428" t="s">
        <v>390</v>
      </c>
      <c r="I145" s="428">
        <v>6286</v>
      </c>
      <c r="J145" s="450">
        <v>45</v>
      </c>
      <c r="K145" s="451">
        <f>Table_Household_Alloc[[#This Row],[Unit Entitlement]]/1000</f>
        <v>0.045</v>
      </c>
      <c r="L145" s="431">
        <f t="shared" si="2"/>
        <v>10.44</v>
      </c>
      <c r="M145" s="452"/>
      <c r="N145" s="432">
        <f>IF(Table_Household_Alloc[[#This Row],[PV Installed]]="Y",1,0)*Table_Household_Alloc[[#This Row],[Calculated Battery Allocation (kWh)]]</f>
        <v>0</v>
      </c>
      <c r="P145" s="428"/>
      <c r="Q145" s="428"/>
      <c r="R145" s="428"/>
      <c r="S145" s="428" t="s">
        <v>307</v>
      </c>
      <c r="T145" s="485" t="s">
        <v>666</v>
      </c>
      <c r="U145" s="434"/>
      <c r="V145" s="488" t="s">
        <v>667</v>
      </c>
      <c r="X145" s="487"/>
      <c r="Y145" s="437"/>
    </row>
    <row r="146" s="426" customFormat="1" ht="17.4" spans="1:25">
      <c r="A146" s="347">
        <v>11</v>
      </c>
      <c r="B146" s="348" t="s">
        <v>59</v>
      </c>
      <c r="C146" s="374"/>
      <c r="D146" s="428"/>
      <c r="E146" s="428" t="s">
        <v>668</v>
      </c>
      <c r="F146" s="428" t="s">
        <v>669</v>
      </c>
      <c r="G146" s="428" t="s">
        <v>389</v>
      </c>
      <c r="H146" s="428" t="s">
        <v>390</v>
      </c>
      <c r="I146" s="428">
        <v>6286</v>
      </c>
      <c r="J146" s="450">
        <v>45</v>
      </c>
      <c r="K146" s="451">
        <f>Table_Household_Alloc[[#This Row],[Unit Entitlement]]/1000</f>
        <v>0.045</v>
      </c>
      <c r="L146" s="431">
        <f t="shared" si="2"/>
        <v>10.44</v>
      </c>
      <c r="M146" s="452"/>
      <c r="N146" s="432">
        <f>IF(Table_Household_Alloc[[#This Row],[PV Installed]]="Y",1,0)*Table_Household_Alloc[[#This Row],[Calculated Battery Allocation (kWh)]]</f>
        <v>0</v>
      </c>
      <c r="P146" s="428"/>
      <c r="Q146" s="428"/>
      <c r="R146" s="428"/>
      <c r="S146" s="428" t="s">
        <v>223</v>
      </c>
      <c r="T146" s="485" t="s">
        <v>670</v>
      </c>
      <c r="U146" s="434"/>
      <c r="V146" s="488" t="s">
        <v>671</v>
      </c>
      <c r="X146" s="487"/>
      <c r="Y146" s="437"/>
    </row>
    <row r="147" s="426" customFormat="1" ht="17.4" spans="1:25">
      <c r="A147" s="347">
        <v>12</v>
      </c>
      <c r="B147" s="348" t="s">
        <v>59</v>
      </c>
      <c r="C147" s="352"/>
      <c r="D147" s="428"/>
      <c r="E147" s="428" t="s">
        <v>672</v>
      </c>
      <c r="F147" s="428" t="s">
        <v>673</v>
      </c>
      <c r="G147" s="428" t="s">
        <v>389</v>
      </c>
      <c r="H147" s="428" t="s">
        <v>390</v>
      </c>
      <c r="I147" s="428">
        <v>6286</v>
      </c>
      <c r="J147" s="450">
        <v>45</v>
      </c>
      <c r="K147" s="451">
        <f>Table_Household_Alloc[[#This Row],[Unit Entitlement]]/1000</f>
        <v>0.045</v>
      </c>
      <c r="L147" s="431">
        <f t="shared" si="2"/>
        <v>10.44</v>
      </c>
      <c r="M147" s="452"/>
      <c r="N147" s="432">
        <f>IF(Table_Household_Alloc[[#This Row],[PV Installed]]="Y",1,0)*Table_Household_Alloc[[#This Row],[Calculated Battery Allocation (kWh)]]</f>
        <v>0</v>
      </c>
      <c r="P147" s="428"/>
      <c r="Q147" s="428"/>
      <c r="R147" s="428"/>
      <c r="S147" s="428" t="s">
        <v>223</v>
      </c>
      <c r="T147" s="485" t="s">
        <v>674</v>
      </c>
      <c r="U147" s="434"/>
      <c r="V147" s="488" t="s">
        <v>675</v>
      </c>
      <c r="X147" s="487"/>
      <c r="Y147" s="437"/>
    </row>
    <row r="148" s="426" customFormat="1" ht="17.4" spans="1:25">
      <c r="A148" s="347">
        <v>13</v>
      </c>
      <c r="B148" s="348" t="s">
        <v>59</v>
      </c>
      <c r="C148" s="374"/>
      <c r="D148" s="428"/>
      <c r="E148" s="428" t="s">
        <v>676</v>
      </c>
      <c r="F148" s="428" t="s">
        <v>677</v>
      </c>
      <c r="G148" s="428" t="s">
        <v>389</v>
      </c>
      <c r="H148" s="428" t="s">
        <v>390</v>
      </c>
      <c r="I148" s="428">
        <v>6286</v>
      </c>
      <c r="J148" s="450">
        <v>45</v>
      </c>
      <c r="K148" s="451">
        <f>Table_Household_Alloc[[#This Row],[Unit Entitlement]]/1000</f>
        <v>0.045</v>
      </c>
      <c r="L148" s="431">
        <f t="shared" si="2"/>
        <v>10.44</v>
      </c>
      <c r="M148" s="452"/>
      <c r="N148" s="432">
        <f>IF(Table_Household_Alloc[[#This Row],[PV Installed]]="Y",1,0)*Table_Household_Alloc[[#This Row],[Calculated Battery Allocation (kWh)]]</f>
        <v>0</v>
      </c>
      <c r="P148" s="428"/>
      <c r="Q148" s="428"/>
      <c r="R148" s="428"/>
      <c r="S148" s="428" t="s">
        <v>307</v>
      </c>
      <c r="T148" s="485"/>
      <c r="U148" s="434"/>
      <c r="V148" s="488" t="s">
        <v>678</v>
      </c>
      <c r="X148" s="487"/>
      <c r="Y148" s="437"/>
    </row>
    <row r="149" s="426" customFormat="1" ht="30" spans="1:25">
      <c r="A149" s="347">
        <v>14</v>
      </c>
      <c r="B149" s="348" t="s">
        <v>59</v>
      </c>
      <c r="C149" s="352"/>
      <c r="D149" s="428"/>
      <c r="E149" s="428" t="s">
        <v>679</v>
      </c>
      <c r="F149" s="428" t="s">
        <v>680</v>
      </c>
      <c r="G149" s="428" t="s">
        <v>389</v>
      </c>
      <c r="H149" s="428" t="s">
        <v>390</v>
      </c>
      <c r="I149" s="428">
        <v>6286</v>
      </c>
      <c r="J149" s="450">
        <v>45</v>
      </c>
      <c r="K149" s="451">
        <f>Table_Household_Alloc[[#This Row],[Unit Entitlement]]/1000</f>
        <v>0.045</v>
      </c>
      <c r="L149" s="431">
        <f t="shared" si="2"/>
        <v>10.44</v>
      </c>
      <c r="M149" s="452"/>
      <c r="N149" s="432">
        <f>IF(Table_Household_Alloc[[#This Row],[PV Installed]]="Y",1,0)*Table_Household_Alloc[[#This Row],[Calculated Battery Allocation (kWh)]]</f>
        <v>0</v>
      </c>
      <c r="P149" s="428"/>
      <c r="Q149" s="428"/>
      <c r="R149" s="428"/>
      <c r="S149" s="428" t="s">
        <v>307</v>
      </c>
      <c r="T149" s="485" t="s">
        <v>681</v>
      </c>
      <c r="U149" s="434"/>
      <c r="V149" s="488" t="s">
        <v>682</v>
      </c>
      <c r="X149" s="487"/>
      <c r="Y149" s="437"/>
    </row>
    <row r="150" s="426" customFormat="1" ht="17.4" spans="1:25">
      <c r="A150" s="347">
        <v>15</v>
      </c>
      <c r="B150" s="348" t="s">
        <v>59</v>
      </c>
      <c r="C150" s="374"/>
      <c r="D150" s="428"/>
      <c r="E150" s="428" t="s">
        <v>683</v>
      </c>
      <c r="F150" s="428" t="s">
        <v>684</v>
      </c>
      <c r="G150" s="428" t="s">
        <v>389</v>
      </c>
      <c r="H150" s="428" t="s">
        <v>390</v>
      </c>
      <c r="I150" s="428">
        <v>6286</v>
      </c>
      <c r="J150" s="450">
        <v>21</v>
      </c>
      <c r="K150" s="451">
        <f>Table_Household_Alloc[[#This Row],[Unit Entitlement]]/1000</f>
        <v>0.021</v>
      </c>
      <c r="L150" s="431">
        <f t="shared" si="2"/>
        <v>4.872</v>
      </c>
      <c r="M150" s="452"/>
      <c r="N150" s="432">
        <f>IF(Table_Household_Alloc[[#This Row],[PV Installed]]="Y",1,0)*Table_Household_Alloc[[#This Row],[Calculated Battery Allocation (kWh)]]</f>
        <v>0</v>
      </c>
      <c r="P150" s="428"/>
      <c r="Q150" s="428"/>
      <c r="R150" s="428"/>
      <c r="S150" s="428" t="s">
        <v>234</v>
      </c>
      <c r="T150" s="485" t="s">
        <v>685</v>
      </c>
      <c r="U150" s="434"/>
      <c r="V150" s="488" t="s">
        <v>153</v>
      </c>
      <c r="X150" s="490">
        <v>45008</v>
      </c>
      <c r="Y150" s="437" t="s">
        <v>227</v>
      </c>
    </row>
    <row r="151" s="426" customFormat="1" ht="17.4" spans="1:25">
      <c r="A151" s="347">
        <v>16</v>
      </c>
      <c r="B151" s="348" t="s">
        <v>59</v>
      </c>
      <c r="C151" s="374"/>
      <c r="D151" s="428"/>
      <c r="E151" s="428" t="s">
        <v>686</v>
      </c>
      <c r="F151" s="428" t="s">
        <v>687</v>
      </c>
      <c r="G151" s="428" t="s">
        <v>389</v>
      </c>
      <c r="H151" s="428" t="s">
        <v>390</v>
      </c>
      <c r="I151" s="428">
        <v>6286</v>
      </c>
      <c r="J151" s="450">
        <v>22</v>
      </c>
      <c r="K151" s="451">
        <f>Table_Household_Alloc[[#This Row],[Unit Entitlement]]/1000</f>
        <v>0.022</v>
      </c>
      <c r="L151" s="431">
        <f t="shared" si="2"/>
        <v>5.104</v>
      </c>
      <c r="M151" s="452"/>
      <c r="N151" s="432">
        <f>IF(Table_Household_Alloc[[#This Row],[PV Installed]]="Y",1,0)*Table_Household_Alloc[[#This Row],[Calculated Battery Allocation (kWh)]]</f>
        <v>0</v>
      </c>
      <c r="P151" s="428"/>
      <c r="Q151" s="428"/>
      <c r="R151" s="428"/>
      <c r="S151" s="428" t="s">
        <v>234</v>
      </c>
      <c r="T151" s="491" t="s">
        <v>688</v>
      </c>
      <c r="U151" s="434"/>
      <c r="V151" s="488" t="s">
        <v>689</v>
      </c>
      <c r="X151" s="492">
        <v>45323</v>
      </c>
      <c r="Y151" s="437" t="s">
        <v>227</v>
      </c>
    </row>
    <row r="152" s="426" customFormat="1" ht="17.4" spans="1:25">
      <c r="A152" s="347">
        <v>17</v>
      </c>
      <c r="B152" s="348" t="s">
        <v>59</v>
      </c>
      <c r="C152" s="374"/>
      <c r="D152" s="428"/>
      <c r="E152" s="428" t="s">
        <v>690</v>
      </c>
      <c r="F152" s="428" t="s">
        <v>691</v>
      </c>
      <c r="G152" s="428" t="s">
        <v>389</v>
      </c>
      <c r="H152" s="428" t="s">
        <v>390</v>
      </c>
      <c r="I152" s="428">
        <v>6286</v>
      </c>
      <c r="J152" s="450">
        <v>22</v>
      </c>
      <c r="K152" s="451">
        <f>Table_Household_Alloc[[#This Row],[Unit Entitlement]]/1000</f>
        <v>0.022</v>
      </c>
      <c r="L152" s="431">
        <f t="shared" si="2"/>
        <v>5.104</v>
      </c>
      <c r="M152" s="452"/>
      <c r="N152" s="432">
        <f>IF(Table_Household_Alloc[[#This Row],[PV Installed]]="Y",1,0)*Table_Household_Alloc[[#This Row],[Calculated Battery Allocation (kWh)]]</f>
        <v>0</v>
      </c>
      <c r="P152" s="428"/>
      <c r="Q152" s="428"/>
      <c r="R152" s="428"/>
      <c r="S152" s="428" t="s">
        <v>307</v>
      </c>
      <c r="T152" s="485" t="s">
        <v>692</v>
      </c>
      <c r="U152" s="434"/>
      <c r="V152" s="488" t="s">
        <v>693</v>
      </c>
      <c r="X152" s="487"/>
      <c r="Y152" s="437"/>
    </row>
    <row r="153" s="426" customFormat="1" ht="17.4" spans="1:25">
      <c r="A153" s="347">
        <v>18</v>
      </c>
      <c r="B153" s="348" t="s">
        <v>59</v>
      </c>
      <c r="C153" s="352"/>
      <c r="D153" s="428"/>
      <c r="E153" s="428" t="s">
        <v>694</v>
      </c>
      <c r="F153" s="428" t="s">
        <v>695</v>
      </c>
      <c r="G153" s="428" t="s">
        <v>389</v>
      </c>
      <c r="H153" s="428" t="s">
        <v>390</v>
      </c>
      <c r="I153" s="428">
        <v>6286</v>
      </c>
      <c r="J153" s="450">
        <v>22</v>
      </c>
      <c r="K153" s="451">
        <f>Table_Household_Alloc[[#This Row],[Unit Entitlement]]/1000</f>
        <v>0.022</v>
      </c>
      <c r="L153" s="431">
        <f t="shared" si="2"/>
        <v>5.104</v>
      </c>
      <c r="M153" s="452"/>
      <c r="N153" s="432">
        <f>IF(Table_Household_Alloc[[#This Row],[PV Installed]]="Y",1,0)*Table_Household_Alloc[[#This Row],[Calculated Battery Allocation (kWh)]]</f>
        <v>0</v>
      </c>
      <c r="P153" s="428"/>
      <c r="Q153" s="428"/>
      <c r="R153" s="428"/>
      <c r="S153" s="428" t="s">
        <v>234</v>
      </c>
      <c r="T153" s="485" t="s">
        <v>696</v>
      </c>
      <c r="U153" s="434"/>
      <c r="V153" s="488" t="s">
        <v>697</v>
      </c>
      <c r="X153" s="487">
        <v>45504</v>
      </c>
      <c r="Y153" s="437" t="s">
        <v>227</v>
      </c>
    </row>
    <row r="154" s="426" customFormat="1" ht="17.4" spans="1:25">
      <c r="A154" s="347">
        <v>19</v>
      </c>
      <c r="B154" s="348" t="s">
        <v>59</v>
      </c>
      <c r="C154" s="349">
        <v>50003387</v>
      </c>
      <c r="D154" s="428"/>
      <c r="E154" s="428" t="s">
        <v>698</v>
      </c>
      <c r="F154" s="428" t="s">
        <v>699</v>
      </c>
      <c r="G154" s="428" t="s">
        <v>389</v>
      </c>
      <c r="H154" s="428" t="s">
        <v>390</v>
      </c>
      <c r="I154" s="428">
        <v>6286</v>
      </c>
      <c r="J154" s="450">
        <v>24</v>
      </c>
      <c r="K154" s="451">
        <f>Table_Household_Alloc[[#This Row],[Unit Entitlement]]/1000</f>
        <v>0.024</v>
      </c>
      <c r="L154" s="431">
        <f t="shared" si="2"/>
        <v>5.568</v>
      </c>
      <c r="M154" s="452" t="str">
        <f>CONCATENATE("Symo ",Table_Household_Alloc[[#This Row],[Export Capacity (kW)]])</f>
        <v>Symo 5</v>
      </c>
      <c r="N154" s="432">
        <f>IF(Table_Household_Alloc[[#This Row],[PV Installed]]="Y",1,0)*Table_Household_Alloc[[#This Row],[Calculated Battery Allocation (kWh)]]</f>
        <v>5.568</v>
      </c>
      <c r="O154" s="426">
        <v>5</v>
      </c>
      <c r="P154" s="428" t="s">
        <v>221</v>
      </c>
      <c r="Q154" s="428" t="s">
        <v>221</v>
      </c>
      <c r="R154" s="428" t="s">
        <v>221</v>
      </c>
      <c r="S154" s="428" t="s">
        <v>234</v>
      </c>
      <c r="T154" s="485" t="s">
        <v>700</v>
      </c>
      <c r="U154" s="434"/>
      <c r="V154" s="488" t="s">
        <v>701</v>
      </c>
      <c r="X154" s="493">
        <v>45044</v>
      </c>
      <c r="Y154" s="437" t="s">
        <v>227</v>
      </c>
    </row>
    <row r="155" s="426" customFormat="1" ht="17.4" spans="1:25">
      <c r="A155" s="347">
        <v>20</v>
      </c>
      <c r="B155" s="348" t="s">
        <v>59</v>
      </c>
      <c r="C155" s="374"/>
      <c r="D155" s="428"/>
      <c r="E155" s="428" t="s">
        <v>702</v>
      </c>
      <c r="F155" s="428" t="s">
        <v>703</v>
      </c>
      <c r="G155" s="428" t="s">
        <v>389</v>
      </c>
      <c r="H155" s="428" t="s">
        <v>390</v>
      </c>
      <c r="I155" s="428">
        <v>6286</v>
      </c>
      <c r="J155" s="450">
        <v>51</v>
      </c>
      <c r="K155" s="451">
        <f>Table_Household_Alloc[[#This Row],[Unit Entitlement]]/1000</f>
        <v>0.051</v>
      </c>
      <c r="L155" s="431">
        <f t="shared" ref="L155:L187" si="5">J155/1000*232</f>
        <v>11.832</v>
      </c>
      <c r="M155" s="452"/>
      <c r="N155" s="432">
        <f>IF(Table_Household_Alloc[[#This Row],[PV Installed]]="Y",1,0)*Table_Household_Alloc[[#This Row],[Calculated Battery Allocation (kWh)]]</f>
        <v>0</v>
      </c>
      <c r="P155" s="428"/>
      <c r="Q155" s="428"/>
      <c r="R155" s="428"/>
      <c r="S155" s="428" t="s">
        <v>223</v>
      </c>
      <c r="T155" s="485" t="s">
        <v>704</v>
      </c>
      <c r="U155" s="434"/>
      <c r="V155" s="488" t="s">
        <v>705</v>
      </c>
      <c r="X155" s="487"/>
      <c r="Y155" s="437"/>
    </row>
    <row r="156" s="426" customFormat="1" ht="17.4" spans="1:25">
      <c r="A156" s="347">
        <v>21</v>
      </c>
      <c r="B156" s="348" t="s">
        <v>59</v>
      </c>
      <c r="C156" s="374"/>
      <c r="D156" s="428"/>
      <c r="E156" s="428" t="s">
        <v>706</v>
      </c>
      <c r="F156" s="428" t="s">
        <v>707</v>
      </c>
      <c r="G156" s="428" t="s">
        <v>389</v>
      </c>
      <c r="H156" s="428" t="s">
        <v>390</v>
      </c>
      <c r="I156" s="428">
        <v>6286</v>
      </c>
      <c r="J156" s="450">
        <v>45</v>
      </c>
      <c r="K156" s="451">
        <f>Table_Household_Alloc[[#This Row],[Unit Entitlement]]/1000</f>
        <v>0.045</v>
      </c>
      <c r="L156" s="431">
        <f t="shared" si="5"/>
        <v>10.44</v>
      </c>
      <c r="M156" s="452"/>
      <c r="N156" s="432">
        <f>IF(Table_Household_Alloc[[#This Row],[PV Installed]]="Y",1,0)*Table_Household_Alloc[[#This Row],[Calculated Battery Allocation (kWh)]]</f>
        <v>0</v>
      </c>
      <c r="P156" s="428"/>
      <c r="Q156" s="428"/>
      <c r="R156" s="428"/>
      <c r="S156" s="428" t="s">
        <v>307</v>
      </c>
      <c r="T156" s="485" t="s">
        <v>708</v>
      </c>
      <c r="U156" s="434"/>
      <c r="V156" s="488" t="s">
        <v>709</v>
      </c>
      <c r="X156" s="487"/>
      <c r="Y156" s="437"/>
    </row>
    <row r="157" s="426" customFormat="1" ht="30" spans="1:25">
      <c r="A157" s="347">
        <v>22</v>
      </c>
      <c r="B157" s="348" t="s">
        <v>59</v>
      </c>
      <c r="C157" s="349">
        <v>50002397</v>
      </c>
      <c r="D157" s="428"/>
      <c r="E157" s="428" t="s">
        <v>710</v>
      </c>
      <c r="F157" s="428" t="s">
        <v>711</v>
      </c>
      <c r="G157" s="428" t="s">
        <v>389</v>
      </c>
      <c r="H157" s="428" t="s">
        <v>390</v>
      </c>
      <c r="I157" s="428">
        <v>6286</v>
      </c>
      <c r="J157" s="450">
        <v>44</v>
      </c>
      <c r="K157" s="451">
        <f>Table_Household_Alloc[[#This Row],[Unit Entitlement]]/1000</f>
        <v>0.044</v>
      </c>
      <c r="L157" s="431">
        <f t="shared" si="5"/>
        <v>10.208</v>
      </c>
      <c r="M157" s="452" t="str">
        <f>CONCATENATE("Symo ",Table_Household_Alloc[[#This Row],[Export Capacity (kW)]])</f>
        <v>Symo 5</v>
      </c>
      <c r="N157" s="432">
        <f>IF(Table_Household_Alloc[[#This Row],[PV Installed]]="Y",1,0)*Table_Household_Alloc[[#This Row],[Calculated Battery Allocation (kWh)]]</f>
        <v>10.208</v>
      </c>
      <c r="O157" s="426">
        <v>5</v>
      </c>
      <c r="P157" s="428" t="s">
        <v>221</v>
      </c>
      <c r="Q157" s="428" t="s">
        <v>221</v>
      </c>
      <c r="R157" s="428" t="s">
        <v>221</v>
      </c>
      <c r="S157" s="428" t="s">
        <v>234</v>
      </c>
      <c r="T157" s="485" t="s">
        <v>712</v>
      </c>
      <c r="U157" s="434"/>
      <c r="V157" s="488" t="s">
        <v>713</v>
      </c>
      <c r="X157" s="494">
        <v>45412</v>
      </c>
      <c r="Y157" s="437" t="s">
        <v>227</v>
      </c>
    </row>
    <row r="158" s="426" customFormat="1" ht="17.4" spans="1:25">
      <c r="A158" s="347">
        <v>23</v>
      </c>
      <c r="B158" s="348" t="s">
        <v>59</v>
      </c>
      <c r="C158" s="374"/>
      <c r="D158" s="428"/>
      <c r="E158" s="428" t="s">
        <v>714</v>
      </c>
      <c r="F158" s="428" t="s">
        <v>715</v>
      </c>
      <c r="G158" s="428" t="s">
        <v>389</v>
      </c>
      <c r="H158" s="428" t="s">
        <v>390</v>
      </c>
      <c r="I158" s="428">
        <v>6286</v>
      </c>
      <c r="J158" s="450">
        <v>44</v>
      </c>
      <c r="K158" s="451">
        <f>Table_Household_Alloc[[#This Row],[Unit Entitlement]]/1000</f>
        <v>0.044</v>
      </c>
      <c r="L158" s="431">
        <f t="shared" si="5"/>
        <v>10.208</v>
      </c>
      <c r="M158" s="452"/>
      <c r="N158" s="432">
        <f>IF(Table_Household_Alloc[[#This Row],[PV Installed]]="Y",1,0)*Table_Household_Alloc[[#This Row],[Calculated Battery Allocation (kWh)]]</f>
        <v>0</v>
      </c>
      <c r="P158" s="428"/>
      <c r="Q158" s="428"/>
      <c r="R158" s="428"/>
      <c r="S158" s="428" t="s">
        <v>307</v>
      </c>
      <c r="T158" s="485" t="s">
        <v>716</v>
      </c>
      <c r="U158" s="434"/>
      <c r="V158" s="488" t="s">
        <v>717</v>
      </c>
      <c r="X158" s="487"/>
      <c r="Y158" s="437"/>
    </row>
    <row r="159" s="426" customFormat="1" ht="30" spans="1:25">
      <c r="A159" s="347">
        <v>24</v>
      </c>
      <c r="B159" s="348" t="s">
        <v>59</v>
      </c>
      <c r="C159" s="349">
        <v>50002985</v>
      </c>
      <c r="D159" s="428"/>
      <c r="E159" s="428" t="s">
        <v>718</v>
      </c>
      <c r="F159" s="428" t="s">
        <v>719</v>
      </c>
      <c r="G159" s="428" t="s">
        <v>389</v>
      </c>
      <c r="H159" s="428" t="s">
        <v>390</v>
      </c>
      <c r="I159" s="428">
        <v>6286</v>
      </c>
      <c r="J159" s="450">
        <v>44</v>
      </c>
      <c r="K159" s="451">
        <f>Table_Household_Alloc[[#This Row],[Unit Entitlement]]/1000</f>
        <v>0.044</v>
      </c>
      <c r="L159" s="431">
        <f t="shared" si="5"/>
        <v>10.208</v>
      </c>
      <c r="M159" s="452" t="str">
        <f>CONCATENATE("Symo ",Table_Household_Alloc[[#This Row],[Export Capacity (kW)]])</f>
        <v>Symo 10</v>
      </c>
      <c r="N159" s="432">
        <f>IF(Table_Household_Alloc[[#This Row],[PV Installed]]="Y",1,0)*Table_Household_Alloc[[#This Row],[Calculated Battery Allocation (kWh)]]</f>
        <v>10.208</v>
      </c>
      <c r="O159" s="426">
        <v>10</v>
      </c>
      <c r="P159" s="428" t="s">
        <v>221</v>
      </c>
      <c r="Q159" s="428" t="s">
        <v>221</v>
      </c>
      <c r="R159" s="428" t="s">
        <v>221</v>
      </c>
      <c r="S159" s="428" t="s">
        <v>234</v>
      </c>
      <c r="T159" s="495" t="s">
        <v>720</v>
      </c>
      <c r="U159" s="434"/>
      <c r="V159" s="488" t="s">
        <v>721</v>
      </c>
      <c r="X159" s="494">
        <v>45058</v>
      </c>
      <c r="Y159" s="437" t="s">
        <v>227</v>
      </c>
    </row>
    <row r="160" s="426" customFormat="1" ht="17.4" spans="1:25">
      <c r="A160" s="347">
        <v>25</v>
      </c>
      <c r="B160" s="348" t="s">
        <v>59</v>
      </c>
      <c r="C160" s="349">
        <v>50002966</v>
      </c>
      <c r="D160" s="428"/>
      <c r="E160" s="428" t="s">
        <v>722</v>
      </c>
      <c r="F160" s="428" t="s">
        <v>723</v>
      </c>
      <c r="G160" s="428" t="s">
        <v>389</v>
      </c>
      <c r="H160" s="428" t="s">
        <v>390</v>
      </c>
      <c r="I160" s="428">
        <v>6286</v>
      </c>
      <c r="J160" s="450">
        <v>44</v>
      </c>
      <c r="K160" s="451">
        <f>Table_Household_Alloc[[#This Row],[Unit Entitlement]]/1000</f>
        <v>0.044</v>
      </c>
      <c r="L160" s="431">
        <f t="shared" si="5"/>
        <v>10.208</v>
      </c>
      <c r="M160" s="452" t="str">
        <f>CONCATENATE("Symo ",Table_Household_Alloc[[#This Row],[Export Capacity (kW)]])</f>
        <v>Symo 5</v>
      </c>
      <c r="N160" s="432">
        <f>IF(Table_Household_Alloc[[#This Row],[PV Installed]]="Y",1,0)*Table_Household_Alloc[[#This Row],[Calculated Battery Allocation (kWh)]]</f>
        <v>10.208</v>
      </c>
      <c r="O160" s="426">
        <v>5</v>
      </c>
      <c r="P160" s="428" t="s">
        <v>221</v>
      </c>
      <c r="Q160" s="428" t="s">
        <v>221</v>
      </c>
      <c r="R160" s="428" t="s">
        <v>221</v>
      </c>
      <c r="S160" s="428" t="s">
        <v>234</v>
      </c>
      <c r="T160" s="485" t="s">
        <v>724</v>
      </c>
      <c r="U160" s="434"/>
      <c r="V160" s="488" t="s">
        <v>725</v>
      </c>
      <c r="X160" s="487">
        <v>45219</v>
      </c>
      <c r="Y160" s="437" t="s">
        <v>227</v>
      </c>
    </row>
    <row r="161" s="426" customFormat="1" ht="17.4" spans="1:25">
      <c r="A161" s="347">
        <v>26</v>
      </c>
      <c r="B161" s="348" t="s">
        <v>59</v>
      </c>
      <c r="C161" s="372"/>
      <c r="D161" s="428"/>
      <c r="E161" s="428" t="s">
        <v>726</v>
      </c>
      <c r="F161" s="428" t="s">
        <v>727</v>
      </c>
      <c r="G161" s="428" t="s">
        <v>389</v>
      </c>
      <c r="H161" s="428" t="s">
        <v>390</v>
      </c>
      <c r="I161" s="428">
        <v>6286</v>
      </c>
      <c r="J161" s="450">
        <v>44</v>
      </c>
      <c r="K161" s="451">
        <f>Table_Household_Alloc[[#This Row],[Unit Entitlement]]/1000</f>
        <v>0.044</v>
      </c>
      <c r="L161" s="431">
        <f t="shared" si="5"/>
        <v>10.208</v>
      </c>
      <c r="M161" s="452"/>
      <c r="N161" s="432">
        <f>IF(Table_Household_Alloc[[#This Row],[PV Installed]]="Y",1,0)*Table_Household_Alloc[[#This Row],[Calculated Battery Allocation (kWh)]]</f>
        <v>0</v>
      </c>
      <c r="P161" s="428"/>
      <c r="Q161" s="428"/>
      <c r="R161" s="428"/>
      <c r="S161" s="428" t="s">
        <v>307</v>
      </c>
      <c r="T161" s="485" t="s">
        <v>728</v>
      </c>
      <c r="U161" s="434"/>
      <c r="V161" s="488" t="s">
        <v>729</v>
      </c>
      <c r="X161" s="487"/>
      <c r="Y161" s="437"/>
    </row>
    <row r="162" s="426" customFormat="1" ht="17.4" spans="1:25">
      <c r="A162" s="347">
        <v>27</v>
      </c>
      <c r="B162" s="348" t="s">
        <v>59</v>
      </c>
      <c r="C162" s="372"/>
      <c r="D162" s="428"/>
      <c r="E162" s="428" t="s">
        <v>730</v>
      </c>
      <c r="F162" s="428" t="s">
        <v>731</v>
      </c>
      <c r="G162" s="428" t="s">
        <v>389</v>
      </c>
      <c r="H162" s="428" t="s">
        <v>390</v>
      </c>
      <c r="I162" s="428">
        <v>6286</v>
      </c>
      <c r="J162" s="450">
        <v>44</v>
      </c>
      <c r="K162" s="451">
        <f>Table_Household_Alloc[[#This Row],[Unit Entitlement]]/1000</f>
        <v>0.044</v>
      </c>
      <c r="L162" s="431">
        <f t="shared" si="5"/>
        <v>10.208</v>
      </c>
      <c r="M162" s="452"/>
      <c r="N162" s="432">
        <f>IF(Table_Household_Alloc[[#This Row],[PV Installed]]="Y",1,0)*Table_Household_Alloc[[#This Row],[Calculated Battery Allocation (kWh)]]</f>
        <v>0</v>
      </c>
      <c r="P162" s="428"/>
      <c r="Q162" s="428"/>
      <c r="R162" s="428"/>
      <c r="S162" s="428" t="s">
        <v>223</v>
      </c>
      <c r="T162" s="485" t="s">
        <v>732</v>
      </c>
      <c r="U162" s="434"/>
      <c r="V162" s="488" t="s">
        <v>733</v>
      </c>
      <c r="X162" s="487"/>
      <c r="Y162" s="437"/>
    </row>
    <row r="163" s="426" customFormat="1" ht="18" spans="1:25">
      <c r="A163" s="355" t="s">
        <v>334</v>
      </c>
      <c r="B163" s="348" t="s">
        <v>59</v>
      </c>
      <c r="C163" s="349">
        <v>2911041070</v>
      </c>
      <c r="D163" s="428"/>
      <c r="E163" s="440" t="s">
        <v>335</v>
      </c>
      <c r="F163" s="427"/>
      <c r="G163" s="428"/>
      <c r="H163" s="428"/>
      <c r="I163" s="428"/>
      <c r="J163" s="429"/>
      <c r="K163" s="430">
        <f>Table_Household_Alloc[[#This Row],[Unit Entitlement]]/1000</f>
        <v>0</v>
      </c>
      <c r="L163" s="431"/>
      <c r="M163" s="428"/>
      <c r="N163" s="432">
        <f>IF(Table_Household_Alloc[[#This Row],[PV Installed]]="Y",1,0)*Table_Household_Alloc[[#This Row],[Calculated Battery Allocation (kWh)]]</f>
        <v>0</v>
      </c>
      <c r="T163" s="433"/>
      <c r="U163" s="434"/>
      <c r="V163" s="435"/>
      <c r="X163" s="436"/>
      <c r="Y163" s="437"/>
    </row>
    <row r="164" s="426" customFormat="1" ht="17.4" spans="1:25">
      <c r="A164" s="347" t="s">
        <v>336</v>
      </c>
      <c r="B164" s="348" t="s">
        <v>59</v>
      </c>
      <c r="C164" s="349">
        <v>2911041113</v>
      </c>
      <c r="D164" s="428" t="s">
        <v>337</v>
      </c>
      <c r="E164" s="440" t="s">
        <v>338</v>
      </c>
      <c r="F164" s="428"/>
      <c r="G164" s="428" t="s">
        <v>219</v>
      </c>
      <c r="H164" s="428" t="s">
        <v>220</v>
      </c>
      <c r="I164" s="428">
        <v>6286</v>
      </c>
      <c r="J164" s="446"/>
      <c r="K164" s="447">
        <f>Table_Household_Alloc[[#This Row],[Unit Entitlement]]/1000</f>
        <v>0</v>
      </c>
      <c r="L164" s="431">
        <f t="shared" ref="L164:L165" si="6">(J164/1000)*232</f>
        <v>0</v>
      </c>
      <c r="M164" s="452"/>
      <c r="N164" s="432">
        <f>IF(Table_Household_Alloc[[#This Row],[PV Installed]]="Y",1,0)*Table_Household_Alloc[[#This Row],[Calculated Battery Allocation (kWh)]]</f>
        <v>0</v>
      </c>
      <c r="P164" s="438"/>
      <c r="Q164" s="438"/>
      <c r="R164" s="428"/>
      <c r="S164" s="428"/>
      <c r="U164" s="434"/>
      <c r="X164" s="464"/>
      <c r="Y164" s="437"/>
    </row>
    <row r="165" s="426" customFormat="1" ht="17.4" spans="1:25">
      <c r="A165" s="347" t="s">
        <v>339</v>
      </c>
      <c r="B165" s="348" t="s">
        <v>59</v>
      </c>
      <c r="C165" s="352"/>
      <c r="D165" s="428" t="s">
        <v>337</v>
      </c>
      <c r="E165" s="440" t="s">
        <v>340</v>
      </c>
      <c r="F165" s="428"/>
      <c r="G165" s="428" t="s">
        <v>219</v>
      </c>
      <c r="H165" s="428" t="s">
        <v>220</v>
      </c>
      <c r="I165" s="428">
        <v>6286</v>
      </c>
      <c r="J165" s="450"/>
      <c r="K165" s="451">
        <f>Table_Household_Alloc[[#This Row],[Unit Entitlement]]/1000</f>
        <v>0</v>
      </c>
      <c r="L165" s="431">
        <f t="shared" si="6"/>
        <v>0</v>
      </c>
      <c r="M165" s="452"/>
      <c r="N165" s="432">
        <f>IF(Table_Household_Alloc[[#This Row],[PV Installed]]="Y",1,0)*Table_Household_Alloc[[#This Row],[Calculated Battery Allocation (kWh)]]</f>
        <v>0</v>
      </c>
      <c r="P165" s="438"/>
      <c r="Q165" s="438"/>
      <c r="R165" s="428"/>
      <c r="S165" s="428"/>
      <c r="U165" s="434"/>
      <c r="X165" s="464"/>
      <c r="Y165" s="437"/>
    </row>
    <row r="166" s="426" customFormat="1" ht="18" spans="1:25">
      <c r="A166" s="360" t="s">
        <v>341</v>
      </c>
      <c r="B166" s="348" t="s">
        <v>59</v>
      </c>
      <c r="C166" s="375"/>
      <c r="D166" s="428"/>
      <c r="E166" s="427"/>
      <c r="F166" s="427"/>
      <c r="G166" s="428"/>
      <c r="H166" s="428"/>
      <c r="I166" s="428"/>
      <c r="J166" s="429"/>
      <c r="K166" s="430">
        <f>Table_Household_Alloc[[#This Row],[Unit Entitlement]]/1000</f>
        <v>0</v>
      </c>
      <c r="L166" s="431"/>
      <c r="M166" s="428"/>
      <c r="N166" s="432">
        <f>IF(Table_Household_Alloc[[#This Row],[PV Installed]]="Y",1,0)*Table_Household_Alloc[[#This Row],[Calculated Battery Allocation (kWh)]]</f>
        <v>0</v>
      </c>
      <c r="T166" s="433"/>
      <c r="U166" s="434"/>
      <c r="V166" s="435"/>
      <c r="X166" s="436"/>
      <c r="Y166" s="437"/>
    </row>
    <row r="167" s="426" customFormat="1" ht="18" spans="1:25">
      <c r="A167" s="361" t="s">
        <v>342</v>
      </c>
      <c r="B167" s="348" t="s">
        <v>59</v>
      </c>
      <c r="C167" s="375"/>
      <c r="D167" s="428"/>
      <c r="E167" s="427"/>
      <c r="F167" s="427"/>
      <c r="G167" s="428"/>
      <c r="H167" s="428"/>
      <c r="I167" s="428"/>
      <c r="J167" s="429"/>
      <c r="K167" s="430">
        <f>Table_Household_Alloc[[#This Row],[Unit Entitlement]]/1000</f>
        <v>0</v>
      </c>
      <c r="L167" s="431"/>
      <c r="M167" s="428"/>
      <c r="N167" s="432">
        <f>IF(Table_Household_Alloc[[#This Row],[PV Installed]]="Y",1,0)*Table_Household_Alloc[[#This Row],[Calculated Battery Allocation (kWh)]]</f>
        <v>0</v>
      </c>
      <c r="T167" s="433"/>
      <c r="U167" s="434"/>
      <c r="V167" s="435"/>
      <c r="X167" s="436"/>
      <c r="Y167" s="437"/>
    </row>
    <row r="168" s="426" customFormat="1" ht="31.2" spans="1:25">
      <c r="A168" s="376">
        <v>1</v>
      </c>
      <c r="B168" s="348" t="s">
        <v>60</v>
      </c>
      <c r="C168" s="352"/>
      <c r="D168" s="428"/>
      <c r="E168" s="439" t="s">
        <v>734</v>
      </c>
      <c r="F168" s="439" t="s">
        <v>735</v>
      </c>
      <c r="G168" s="428" t="s">
        <v>389</v>
      </c>
      <c r="H168" s="428" t="s">
        <v>390</v>
      </c>
      <c r="I168" s="428">
        <v>6286</v>
      </c>
      <c r="J168" s="483">
        <v>82</v>
      </c>
      <c r="K168" s="430">
        <f>Table_Household_Alloc[[#This Row],[Unit Entitlement]]/1000</f>
        <v>0.082</v>
      </c>
      <c r="L168" s="431">
        <f t="shared" si="5"/>
        <v>19.024</v>
      </c>
      <c r="M168" s="428"/>
      <c r="N168" s="432">
        <f>IF(Table_Household_Alloc[[#This Row],[PV Installed]]="Y",1,0)*Table_Household_Alloc[[#This Row],[Calculated Battery Allocation (kWh)]]</f>
        <v>0</v>
      </c>
      <c r="S168" s="439" t="s">
        <v>736</v>
      </c>
      <c r="T168" s="496" t="s">
        <v>737</v>
      </c>
      <c r="U168" s="434"/>
      <c r="V168" s="497" t="s">
        <v>738</v>
      </c>
      <c r="X168" s="498"/>
      <c r="Y168" s="437"/>
    </row>
    <row r="169" s="426" customFormat="1" ht="18" spans="1:25">
      <c r="A169" s="376">
        <v>2</v>
      </c>
      <c r="B169" s="348" t="s">
        <v>60</v>
      </c>
      <c r="C169" s="352"/>
      <c r="D169" s="428"/>
      <c r="E169" s="439" t="s">
        <v>739</v>
      </c>
      <c r="F169" s="439" t="s">
        <v>740</v>
      </c>
      <c r="G169" s="428" t="s">
        <v>389</v>
      </c>
      <c r="H169" s="428" t="s">
        <v>390</v>
      </c>
      <c r="I169" s="428">
        <v>6286</v>
      </c>
      <c r="J169" s="483">
        <v>58</v>
      </c>
      <c r="K169" s="430">
        <f>Table_Household_Alloc[[#This Row],[Unit Entitlement]]/1000</f>
        <v>0.058</v>
      </c>
      <c r="L169" s="431">
        <f t="shared" si="5"/>
        <v>13.456</v>
      </c>
      <c r="M169" s="428"/>
      <c r="N169" s="432">
        <f>IF(Table_Household_Alloc[[#This Row],[PV Installed]]="Y",1,0)*Table_Household_Alloc[[#This Row],[Calculated Battery Allocation (kWh)]]</f>
        <v>0</v>
      </c>
      <c r="S169" s="426" t="s">
        <v>741</v>
      </c>
      <c r="T169" s="496" t="s">
        <v>742</v>
      </c>
      <c r="U169" s="434" t="s">
        <v>743</v>
      </c>
      <c r="V169" s="499" t="s">
        <v>744</v>
      </c>
      <c r="X169" s="498"/>
      <c r="Y169" s="437"/>
    </row>
    <row r="170" s="426" customFormat="1" ht="18" spans="1:25">
      <c r="A170" s="376">
        <v>3</v>
      </c>
      <c r="B170" s="348" t="s">
        <v>60</v>
      </c>
      <c r="C170" s="374"/>
      <c r="D170" s="428"/>
      <c r="E170" s="439" t="s">
        <v>745</v>
      </c>
      <c r="F170" s="439" t="s">
        <v>746</v>
      </c>
      <c r="G170" s="428" t="s">
        <v>389</v>
      </c>
      <c r="H170" s="428" t="s">
        <v>390</v>
      </c>
      <c r="I170" s="428">
        <v>6286</v>
      </c>
      <c r="J170" s="483">
        <v>57</v>
      </c>
      <c r="K170" s="430">
        <f>Table_Household_Alloc[[#This Row],[Unit Entitlement]]/1000</f>
        <v>0.057</v>
      </c>
      <c r="L170" s="431">
        <f t="shared" si="5"/>
        <v>13.224</v>
      </c>
      <c r="M170" s="428"/>
      <c r="N170" s="432">
        <f>IF(Table_Household_Alloc[[#This Row],[PV Installed]]="Y",1,0)*Table_Household_Alloc[[#This Row],[Calculated Battery Allocation (kWh)]]</f>
        <v>0</v>
      </c>
      <c r="S170" s="426" t="s">
        <v>307</v>
      </c>
      <c r="T170" s="496" t="s">
        <v>747</v>
      </c>
      <c r="U170" s="434" t="s">
        <v>748</v>
      </c>
      <c r="V170" s="499" t="s">
        <v>749</v>
      </c>
      <c r="X170" s="498"/>
      <c r="Y170" s="437"/>
    </row>
    <row r="171" s="426" customFormat="1" ht="30" spans="1:25">
      <c r="A171" s="376">
        <v>4</v>
      </c>
      <c r="B171" s="348" t="s">
        <v>60</v>
      </c>
      <c r="C171" s="349">
        <v>50002962</v>
      </c>
      <c r="D171" s="428"/>
      <c r="E171" s="439" t="s">
        <v>750</v>
      </c>
      <c r="F171" s="439" t="s">
        <v>751</v>
      </c>
      <c r="G171" s="428" t="s">
        <v>389</v>
      </c>
      <c r="H171" s="428" t="s">
        <v>390</v>
      </c>
      <c r="I171" s="428">
        <v>6286</v>
      </c>
      <c r="J171" s="483">
        <v>56</v>
      </c>
      <c r="K171" s="430">
        <f>Table_Household_Alloc[[#This Row],[Unit Entitlement]]/1000</f>
        <v>0.056</v>
      </c>
      <c r="L171" s="431">
        <f t="shared" si="5"/>
        <v>12.992</v>
      </c>
      <c r="M171" s="428"/>
      <c r="N171" s="432">
        <f>IF(Table_Household_Alloc[[#This Row],[PV Installed]]="Y",1,0)*Table_Household_Alloc[[#This Row],[Calculated Battery Allocation (kWh)]]</f>
        <v>0</v>
      </c>
      <c r="S171" s="426" t="s">
        <v>307</v>
      </c>
      <c r="T171" s="496" t="s">
        <v>752</v>
      </c>
      <c r="U171" s="434"/>
      <c r="V171" s="499" t="s">
        <v>753</v>
      </c>
      <c r="X171" s="498"/>
      <c r="Y171" s="437"/>
    </row>
    <row r="172" s="426" customFormat="1" ht="30" spans="1:25">
      <c r="A172" s="376">
        <v>5.2</v>
      </c>
      <c r="B172" s="348" t="s">
        <v>60</v>
      </c>
      <c r="C172" s="482"/>
      <c r="D172" s="428"/>
      <c r="E172" s="439" t="s">
        <v>754</v>
      </c>
      <c r="F172" s="439" t="s">
        <v>755</v>
      </c>
      <c r="G172" s="428" t="s">
        <v>389</v>
      </c>
      <c r="H172" s="428" t="s">
        <v>390</v>
      </c>
      <c r="I172" s="428">
        <v>6286</v>
      </c>
      <c r="J172" s="483">
        <v>55</v>
      </c>
      <c r="K172" s="430">
        <f>Table_Household_Alloc[[#This Row],[Unit Entitlement]]/1000</f>
        <v>0.055</v>
      </c>
      <c r="L172" s="431">
        <f t="shared" si="5"/>
        <v>12.76</v>
      </c>
      <c r="M172" s="428"/>
      <c r="N172" s="432">
        <f>IF(Table_Household_Alloc[[#This Row],[PV Installed]]="Y",1,0)*Table_Household_Alloc[[#This Row],[Calculated Battery Allocation (kWh)]]</f>
        <v>0</v>
      </c>
      <c r="S172" s="426" t="s">
        <v>234</v>
      </c>
      <c r="T172" s="496" t="s">
        <v>756</v>
      </c>
      <c r="U172" s="434"/>
      <c r="V172" s="499" t="s">
        <v>757</v>
      </c>
      <c r="X172" s="498">
        <v>45245</v>
      </c>
      <c r="Y172" s="503">
        <v>45546</v>
      </c>
    </row>
    <row r="173" s="426" customFormat="1" ht="18" spans="1:25">
      <c r="A173" s="376">
        <v>5</v>
      </c>
      <c r="B173" s="348" t="s">
        <v>60</v>
      </c>
      <c r="C173" s="482"/>
      <c r="D173" s="428"/>
      <c r="E173" s="439" t="s">
        <v>758</v>
      </c>
      <c r="F173" s="439" t="s">
        <v>755</v>
      </c>
      <c r="G173" s="428" t="s">
        <v>389</v>
      </c>
      <c r="H173" s="428" t="s">
        <v>390</v>
      </c>
      <c r="I173" s="428">
        <v>6286</v>
      </c>
      <c r="J173" s="483">
        <v>55</v>
      </c>
      <c r="K173" s="430">
        <f>Table_Household_Alloc[[#This Row],[Unit Entitlement]]/1000</f>
        <v>0.055</v>
      </c>
      <c r="L173" s="431">
        <f t="shared" si="5"/>
        <v>12.76</v>
      </c>
      <c r="M173" s="428"/>
      <c r="N173" s="432">
        <f>IF(Table_Household_Alloc[[#This Row],[PV Installed]]="Y",1,0)*Table_Household_Alloc[[#This Row],[Calculated Battery Allocation (kWh)]]</f>
        <v>0</v>
      </c>
      <c r="S173" s="426" t="s">
        <v>234</v>
      </c>
      <c r="T173" s="426" t="s">
        <v>759</v>
      </c>
      <c r="U173" s="434"/>
      <c r="V173" s="499" t="s">
        <v>760</v>
      </c>
      <c r="X173" s="498">
        <v>45547</v>
      </c>
      <c r="Y173" s="437" t="s">
        <v>227</v>
      </c>
    </row>
    <row r="174" s="426" customFormat="1" ht="18" spans="1:25">
      <c r="A174" s="376">
        <v>6</v>
      </c>
      <c r="B174" s="348" t="s">
        <v>60</v>
      </c>
      <c r="C174" s="374"/>
      <c r="D174" s="428"/>
      <c r="E174" s="439" t="s">
        <v>761</v>
      </c>
      <c r="F174" s="439" t="s">
        <v>762</v>
      </c>
      <c r="G174" s="428" t="s">
        <v>389</v>
      </c>
      <c r="H174" s="428" t="s">
        <v>390</v>
      </c>
      <c r="I174" s="428">
        <v>6286</v>
      </c>
      <c r="J174" s="483">
        <v>55</v>
      </c>
      <c r="K174" s="430">
        <f>Table_Household_Alloc[[#This Row],[Unit Entitlement]]/1000</f>
        <v>0.055</v>
      </c>
      <c r="L174" s="431">
        <f t="shared" si="5"/>
        <v>12.76</v>
      </c>
      <c r="M174" s="428"/>
      <c r="N174" s="432">
        <f>IF(Table_Household_Alloc[[#This Row],[PV Installed]]="Y",1,0)*Table_Household_Alloc[[#This Row],[Calculated Battery Allocation (kWh)]]</f>
        <v>0</v>
      </c>
      <c r="S174" s="426" t="s">
        <v>234</v>
      </c>
      <c r="T174" s="496" t="s">
        <v>763</v>
      </c>
      <c r="U174" s="434"/>
      <c r="V174" s="500" t="s">
        <v>764</v>
      </c>
      <c r="X174" s="498">
        <v>45547</v>
      </c>
      <c r="Y174" s="437" t="s">
        <v>227</v>
      </c>
    </row>
    <row r="175" s="426" customFormat="1" ht="18" spans="1:25">
      <c r="A175" s="376">
        <v>7</v>
      </c>
      <c r="B175" s="348" t="s">
        <v>60</v>
      </c>
      <c r="C175" s="349">
        <v>50003423</v>
      </c>
      <c r="D175" s="428"/>
      <c r="E175" s="439" t="s">
        <v>765</v>
      </c>
      <c r="F175" s="439" t="s">
        <v>766</v>
      </c>
      <c r="G175" s="428" t="s">
        <v>389</v>
      </c>
      <c r="H175" s="428" t="s">
        <v>390</v>
      </c>
      <c r="I175" s="428">
        <v>6286</v>
      </c>
      <c r="J175" s="483">
        <v>60</v>
      </c>
      <c r="K175" s="430">
        <f>Table_Household_Alloc[[#This Row],[Unit Entitlement]]/1000</f>
        <v>0.06</v>
      </c>
      <c r="L175" s="431">
        <f t="shared" si="5"/>
        <v>13.92</v>
      </c>
      <c r="M175" s="428"/>
      <c r="N175" s="432">
        <f>IF(Table_Household_Alloc[[#This Row],[PV Installed]]="Y",1,0)*Table_Household_Alloc[[#This Row],[Calculated Battery Allocation (kWh)]]</f>
        <v>0</v>
      </c>
      <c r="S175" s="426" t="s">
        <v>234</v>
      </c>
      <c r="T175" s="496" t="s">
        <v>767</v>
      </c>
      <c r="U175" s="434"/>
      <c r="V175" s="499" t="s">
        <v>768</v>
      </c>
      <c r="X175" s="498">
        <v>45247</v>
      </c>
      <c r="Y175" s="437" t="s">
        <v>227</v>
      </c>
    </row>
    <row r="176" s="426" customFormat="1" ht="18" spans="1:25">
      <c r="A176" s="376">
        <v>8</v>
      </c>
      <c r="B176" s="348" t="s">
        <v>60</v>
      </c>
      <c r="C176" s="352"/>
      <c r="D176" s="428"/>
      <c r="E176" s="439" t="s">
        <v>769</v>
      </c>
      <c r="F176" s="439" t="s">
        <v>770</v>
      </c>
      <c r="G176" s="428" t="s">
        <v>389</v>
      </c>
      <c r="H176" s="428" t="s">
        <v>390</v>
      </c>
      <c r="I176" s="428">
        <v>6286</v>
      </c>
      <c r="J176" s="483">
        <v>60</v>
      </c>
      <c r="K176" s="430">
        <f>Table_Household_Alloc[[#This Row],[Unit Entitlement]]/1000</f>
        <v>0.06</v>
      </c>
      <c r="L176" s="431">
        <f t="shared" si="5"/>
        <v>13.92</v>
      </c>
      <c r="M176" s="428"/>
      <c r="N176" s="432">
        <f>IF(Table_Household_Alloc[[#This Row],[PV Installed]]="Y",1,0)*Table_Household_Alloc[[#This Row],[Calculated Battery Allocation (kWh)]]</f>
        <v>0</v>
      </c>
      <c r="S176" s="426" t="s">
        <v>234</v>
      </c>
      <c r="T176" s="496" t="s">
        <v>771</v>
      </c>
      <c r="U176" s="434" t="s">
        <v>772</v>
      </c>
      <c r="V176" s="499" t="s">
        <v>168</v>
      </c>
      <c r="X176" s="498">
        <v>45485</v>
      </c>
      <c r="Y176" s="437" t="s">
        <v>227</v>
      </c>
    </row>
    <row r="177" s="426" customFormat="1" ht="18" spans="1:25">
      <c r="A177" s="376">
        <v>9</v>
      </c>
      <c r="B177" s="348" t="s">
        <v>60</v>
      </c>
      <c r="C177" s="352"/>
      <c r="D177" s="428"/>
      <c r="E177" s="439" t="s">
        <v>773</v>
      </c>
      <c r="F177" s="439" t="s">
        <v>774</v>
      </c>
      <c r="G177" s="428" t="s">
        <v>389</v>
      </c>
      <c r="H177" s="428" t="s">
        <v>390</v>
      </c>
      <c r="I177" s="428">
        <v>6286</v>
      </c>
      <c r="J177" s="483">
        <v>64</v>
      </c>
      <c r="K177" s="430">
        <f>Table_Household_Alloc[[#This Row],[Unit Entitlement]]/1000</f>
        <v>0.064</v>
      </c>
      <c r="L177" s="431">
        <f t="shared" si="5"/>
        <v>14.848</v>
      </c>
      <c r="M177" s="428"/>
      <c r="N177" s="432">
        <f>IF(Table_Household_Alloc[[#This Row],[PV Installed]]="Y",1,0)*Table_Household_Alloc[[#This Row],[Calculated Battery Allocation (kWh)]]</f>
        <v>0</v>
      </c>
      <c r="S177" s="426" t="s">
        <v>307</v>
      </c>
      <c r="T177" s="496" t="s">
        <v>775</v>
      </c>
      <c r="U177" s="434" t="s">
        <v>776</v>
      </c>
      <c r="V177" s="497" t="s">
        <v>777</v>
      </c>
      <c r="X177" s="498"/>
      <c r="Y177" s="437"/>
    </row>
    <row r="178" s="426" customFormat="1" ht="18" spans="1:25">
      <c r="A178" s="376">
        <v>10</v>
      </c>
      <c r="B178" s="348" t="s">
        <v>60</v>
      </c>
      <c r="C178" s="374"/>
      <c r="D178" s="428"/>
      <c r="E178" s="439" t="s">
        <v>778</v>
      </c>
      <c r="F178" s="439" t="s">
        <v>779</v>
      </c>
      <c r="G178" s="428" t="s">
        <v>389</v>
      </c>
      <c r="H178" s="428" t="s">
        <v>390</v>
      </c>
      <c r="I178" s="428">
        <v>6286</v>
      </c>
      <c r="J178" s="483">
        <v>64</v>
      </c>
      <c r="K178" s="430">
        <f>Table_Household_Alloc[[#This Row],[Unit Entitlement]]/1000</f>
        <v>0.064</v>
      </c>
      <c r="L178" s="431">
        <f t="shared" si="5"/>
        <v>14.848</v>
      </c>
      <c r="M178" s="428"/>
      <c r="N178" s="432">
        <f>IF(Table_Household_Alloc[[#This Row],[PV Installed]]="Y",1,0)*Table_Household_Alloc[[#This Row],[Calculated Battery Allocation (kWh)]]</f>
        <v>0</v>
      </c>
      <c r="S178" s="426" t="s">
        <v>741</v>
      </c>
      <c r="T178" s="496" t="s">
        <v>780</v>
      </c>
      <c r="U178" s="434"/>
      <c r="V178" s="499" t="s">
        <v>781</v>
      </c>
      <c r="X178" s="498"/>
      <c r="Y178" s="437"/>
    </row>
    <row r="179" s="426" customFormat="1" ht="18" spans="1:25">
      <c r="A179" s="376">
        <v>11</v>
      </c>
      <c r="B179" s="348" t="s">
        <v>60</v>
      </c>
      <c r="C179" s="352"/>
      <c r="D179" s="428"/>
      <c r="E179" s="439" t="s">
        <v>782</v>
      </c>
      <c r="F179" s="439" t="s">
        <v>783</v>
      </c>
      <c r="G179" s="428" t="s">
        <v>389</v>
      </c>
      <c r="H179" s="428" t="s">
        <v>390</v>
      </c>
      <c r="I179" s="428">
        <v>6286</v>
      </c>
      <c r="J179" s="483">
        <v>64</v>
      </c>
      <c r="K179" s="430">
        <f>Table_Household_Alloc[[#This Row],[Unit Entitlement]]/1000</f>
        <v>0.064</v>
      </c>
      <c r="L179" s="431">
        <f t="shared" si="5"/>
        <v>14.848</v>
      </c>
      <c r="M179" s="428"/>
      <c r="N179" s="432">
        <f>IF(Table_Household_Alloc[[#This Row],[PV Installed]]="Y",1,0)*Table_Household_Alloc[[#This Row],[Calculated Battery Allocation (kWh)]]</f>
        <v>0</v>
      </c>
      <c r="S179" s="426" t="s">
        <v>307</v>
      </c>
      <c r="T179" s="496" t="s">
        <v>784</v>
      </c>
      <c r="U179" s="434"/>
      <c r="V179" s="499" t="s">
        <v>785</v>
      </c>
      <c r="X179" s="498"/>
      <c r="Y179" s="437"/>
    </row>
    <row r="180" s="426" customFormat="1" ht="18" spans="1:25">
      <c r="A180" s="376">
        <v>12</v>
      </c>
      <c r="B180" s="348" t="s">
        <v>60</v>
      </c>
      <c r="C180" s="374"/>
      <c r="D180" s="428"/>
      <c r="E180" s="439" t="s">
        <v>786</v>
      </c>
      <c r="F180" s="439" t="s">
        <v>787</v>
      </c>
      <c r="G180" s="428" t="s">
        <v>389</v>
      </c>
      <c r="H180" s="428" t="s">
        <v>390</v>
      </c>
      <c r="I180" s="428">
        <v>6286</v>
      </c>
      <c r="J180" s="483">
        <v>64</v>
      </c>
      <c r="K180" s="430">
        <f>Table_Household_Alloc[[#This Row],[Unit Entitlement]]/1000</f>
        <v>0.064</v>
      </c>
      <c r="L180" s="431">
        <f t="shared" si="5"/>
        <v>14.848</v>
      </c>
      <c r="M180" s="428"/>
      <c r="N180" s="432">
        <f>IF(Table_Household_Alloc[[#This Row],[PV Installed]]="Y",1,0)*Table_Household_Alloc[[#This Row],[Calculated Battery Allocation (kWh)]]</f>
        <v>0</v>
      </c>
      <c r="S180" s="426" t="s">
        <v>307</v>
      </c>
      <c r="T180" s="496" t="s">
        <v>788</v>
      </c>
      <c r="U180" s="434" t="s">
        <v>789</v>
      </c>
      <c r="V180" s="499" t="s">
        <v>790</v>
      </c>
      <c r="X180" s="498"/>
      <c r="Y180" s="437"/>
    </row>
    <row r="181" s="426" customFormat="1" ht="18" spans="1:25">
      <c r="A181" s="376">
        <v>13</v>
      </c>
      <c r="B181" s="348" t="s">
        <v>60</v>
      </c>
      <c r="C181" s="352"/>
      <c r="D181" s="428"/>
      <c r="E181" s="439" t="s">
        <v>791</v>
      </c>
      <c r="F181" s="439" t="s">
        <v>792</v>
      </c>
      <c r="G181" s="428" t="s">
        <v>389</v>
      </c>
      <c r="H181" s="428" t="s">
        <v>390</v>
      </c>
      <c r="I181" s="428">
        <v>6286</v>
      </c>
      <c r="J181" s="483">
        <v>64</v>
      </c>
      <c r="K181" s="430">
        <f>Table_Household_Alloc[[#This Row],[Unit Entitlement]]/1000</f>
        <v>0.064</v>
      </c>
      <c r="L181" s="431">
        <f t="shared" si="5"/>
        <v>14.848</v>
      </c>
      <c r="M181" s="428"/>
      <c r="N181" s="432">
        <f>IF(Table_Household_Alloc[[#This Row],[PV Installed]]="Y",1,0)*Table_Household_Alloc[[#This Row],[Calculated Battery Allocation (kWh)]]</f>
        <v>0</v>
      </c>
      <c r="S181" s="426" t="s">
        <v>234</v>
      </c>
      <c r="T181" s="496" t="s">
        <v>793</v>
      </c>
      <c r="U181" s="434" t="s">
        <v>794</v>
      </c>
      <c r="V181" s="501" t="s">
        <v>162</v>
      </c>
      <c r="X181" s="606" t="s">
        <v>795</v>
      </c>
      <c r="Y181" s="437" t="s">
        <v>227</v>
      </c>
    </row>
    <row r="182" s="426" customFormat="1" ht="18" spans="1:25">
      <c r="A182" s="376">
        <v>14</v>
      </c>
      <c r="B182" s="348" t="s">
        <v>60</v>
      </c>
      <c r="C182" s="374"/>
      <c r="D182" s="428"/>
      <c r="E182" s="439" t="s">
        <v>796</v>
      </c>
      <c r="F182" s="439" t="s">
        <v>797</v>
      </c>
      <c r="G182" s="428" t="s">
        <v>389</v>
      </c>
      <c r="H182" s="428" t="s">
        <v>390</v>
      </c>
      <c r="I182" s="428">
        <v>6286</v>
      </c>
      <c r="J182" s="483">
        <v>63</v>
      </c>
      <c r="K182" s="430">
        <f>Table_Household_Alloc[[#This Row],[Unit Entitlement]]/1000</f>
        <v>0.063</v>
      </c>
      <c r="L182" s="431">
        <f t="shared" si="5"/>
        <v>14.616</v>
      </c>
      <c r="M182" s="428"/>
      <c r="N182" s="432">
        <f>IF(Table_Household_Alloc[[#This Row],[PV Installed]]="Y",1,0)*Table_Household_Alloc[[#This Row],[Calculated Battery Allocation (kWh)]]</f>
        <v>0</v>
      </c>
      <c r="S182" s="426" t="s">
        <v>223</v>
      </c>
      <c r="T182" s="496" t="s">
        <v>798</v>
      </c>
      <c r="U182" s="434" t="s">
        <v>799</v>
      </c>
      <c r="V182" s="497" t="s">
        <v>800</v>
      </c>
      <c r="X182" s="498"/>
      <c r="Y182" s="437"/>
    </row>
    <row r="183" s="426" customFormat="1" ht="18" spans="1:25">
      <c r="A183" s="376">
        <v>15</v>
      </c>
      <c r="B183" s="348" t="s">
        <v>60</v>
      </c>
      <c r="C183" s="374"/>
      <c r="D183" s="428"/>
      <c r="E183" s="439" t="s">
        <v>801</v>
      </c>
      <c r="F183" s="439" t="s">
        <v>802</v>
      </c>
      <c r="G183" s="428" t="s">
        <v>389</v>
      </c>
      <c r="H183" s="428" t="s">
        <v>390</v>
      </c>
      <c r="I183" s="428">
        <v>6286</v>
      </c>
      <c r="J183" s="483">
        <v>26</v>
      </c>
      <c r="K183" s="430">
        <f>Table_Household_Alloc[[#This Row],[Unit Entitlement]]/1000</f>
        <v>0.026</v>
      </c>
      <c r="L183" s="431">
        <f t="shared" si="5"/>
        <v>6.032</v>
      </c>
      <c r="M183" s="428"/>
      <c r="N183" s="432">
        <f>IF(Table_Household_Alloc[[#This Row],[PV Installed]]="Y",1,0)*Table_Household_Alloc[[#This Row],[Calculated Battery Allocation (kWh)]]</f>
        <v>0</v>
      </c>
      <c r="S183" s="426" t="s">
        <v>307</v>
      </c>
      <c r="T183" s="496" t="s">
        <v>803</v>
      </c>
      <c r="U183" s="434"/>
      <c r="V183" s="500" t="s">
        <v>804</v>
      </c>
      <c r="X183" s="498"/>
      <c r="Y183" s="437"/>
    </row>
    <row r="184" s="426" customFormat="1" ht="18" spans="1:25">
      <c r="A184" s="376">
        <v>16</v>
      </c>
      <c r="B184" s="348" t="s">
        <v>60</v>
      </c>
      <c r="C184" s="374"/>
      <c r="D184" s="428"/>
      <c r="E184" s="439" t="s">
        <v>805</v>
      </c>
      <c r="F184" s="439" t="s">
        <v>806</v>
      </c>
      <c r="G184" s="428" t="s">
        <v>389</v>
      </c>
      <c r="H184" s="428" t="s">
        <v>390</v>
      </c>
      <c r="I184" s="428">
        <v>6286</v>
      </c>
      <c r="J184" s="483">
        <v>26</v>
      </c>
      <c r="K184" s="430">
        <f>Table_Household_Alloc[[#This Row],[Unit Entitlement]]/1000</f>
        <v>0.026</v>
      </c>
      <c r="L184" s="431">
        <f t="shared" si="5"/>
        <v>6.032</v>
      </c>
      <c r="M184" s="428"/>
      <c r="N184" s="432">
        <f>IF(Table_Household_Alloc[[#This Row],[PV Installed]]="Y",1,0)*Table_Household_Alloc[[#This Row],[Calculated Battery Allocation (kWh)]]</f>
        <v>0</v>
      </c>
      <c r="S184" s="426" t="s">
        <v>307</v>
      </c>
      <c r="T184" s="496" t="s">
        <v>807</v>
      </c>
      <c r="U184" s="434"/>
      <c r="V184" s="500" t="s">
        <v>808</v>
      </c>
      <c r="X184" s="498"/>
      <c r="Y184" s="437"/>
    </row>
    <row r="185" s="426" customFormat="1" ht="18" spans="1:25">
      <c r="A185" s="376">
        <v>17</v>
      </c>
      <c r="B185" s="348" t="s">
        <v>60</v>
      </c>
      <c r="C185" s="352"/>
      <c r="D185" s="428"/>
      <c r="E185" s="439" t="s">
        <v>809</v>
      </c>
      <c r="F185" s="439" t="s">
        <v>810</v>
      </c>
      <c r="G185" s="428" t="s">
        <v>389</v>
      </c>
      <c r="H185" s="428" t="s">
        <v>390</v>
      </c>
      <c r="I185" s="428">
        <v>6286</v>
      </c>
      <c r="J185" s="483">
        <v>26</v>
      </c>
      <c r="K185" s="430">
        <f>Table_Household_Alloc[[#This Row],[Unit Entitlement]]/1000</f>
        <v>0.026</v>
      </c>
      <c r="L185" s="431">
        <f t="shared" si="5"/>
        <v>6.032</v>
      </c>
      <c r="M185" s="428"/>
      <c r="N185" s="432">
        <f>IF(Table_Household_Alloc[[#This Row],[PV Installed]]="Y",1,0)*Table_Household_Alloc[[#This Row],[Calculated Battery Allocation (kWh)]]</f>
        <v>0</v>
      </c>
      <c r="S185" s="426" t="s">
        <v>307</v>
      </c>
      <c r="T185" s="496" t="s">
        <v>811</v>
      </c>
      <c r="U185" s="434"/>
      <c r="V185" s="499" t="s">
        <v>812</v>
      </c>
      <c r="X185" s="498"/>
      <c r="Y185" s="437"/>
    </row>
    <row r="186" s="426" customFormat="1" ht="18" spans="1:25">
      <c r="A186" s="376">
        <v>18</v>
      </c>
      <c r="B186" s="348" t="s">
        <v>60</v>
      </c>
      <c r="C186" s="352"/>
      <c r="D186" s="428"/>
      <c r="E186" s="439" t="s">
        <v>813</v>
      </c>
      <c r="F186" s="439" t="s">
        <v>814</v>
      </c>
      <c r="G186" s="428" t="s">
        <v>389</v>
      </c>
      <c r="H186" s="428" t="s">
        <v>390</v>
      </c>
      <c r="I186" s="428">
        <v>6286</v>
      </c>
      <c r="J186" s="483">
        <v>26</v>
      </c>
      <c r="K186" s="430">
        <f>Table_Household_Alloc[[#This Row],[Unit Entitlement]]/1000</f>
        <v>0.026</v>
      </c>
      <c r="L186" s="431">
        <f t="shared" si="5"/>
        <v>6.032</v>
      </c>
      <c r="M186" s="428"/>
      <c r="N186" s="432">
        <f>IF(Table_Household_Alloc[[#This Row],[PV Installed]]="Y",1,0)*Table_Household_Alloc[[#This Row],[Calculated Battery Allocation (kWh)]]</f>
        <v>0</v>
      </c>
      <c r="S186" s="426" t="s">
        <v>223</v>
      </c>
      <c r="T186" s="496" t="s">
        <v>815</v>
      </c>
      <c r="U186" s="434"/>
      <c r="V186" s="499" t="s">
        <v>816</v>
      </c>
      <c r="X186" s="498"/>
      <c r="Y186" s="437"/>
    </row>
    <row r="187" s="426" customFormat="1" ht="18" spans="1:25">
      <c r="A187" s="376">
        <v>19</v>
      </c>
      <c r="B187" s="348" t="s">
        <v>60</v>
      </c>
      <c r="C187" s="349">
        <v>50003387</v>
      </c>
      <c r="D187" s="428"/>
      <c r="E187" s="439" t="s">
        <v>817</v>
      </c>
      <c r="F187" s="439" t="s">
        <v>818</v>
      </c>
      <c r="G187" s="428" t="s">
        <v>389</v>
      </c>
      <c r="H187" s="428" t="s">
        <v>390</v>
      </c>
      <c r="I187" s="428">
        <v>6286</v>
      </c>
      <c r="J187" s="483">
        <v>30</v>
      </c>
      <c r="K187" s="430">
        <f>Table_Household_Alloc[[#This Row],[Unit Entitlement]]/1000</f>
        <v>0.03</v>
      </c>
      <c r="L187" s="431">
        <f t="shared" si="5"/>
        <v>6.96</v>
      </c>
      <c r="M187" s="428"/>
      <c r="N187" s="432">
        <f>IF(Table_Household_Alloc[[#This Row],[PV Installed]]="Y",1,0)*Table_Household_Alloc[[#This Row],[Calculated Battery Allocation (kWh)]]</f>
        <v>0</v>
      </c>
      <c r="S187" s="426" t="s">
        <v>234</v>
      </c>
      <c r="T187" s="496" t="s">
        <v>819</v>
      </c>
      <c r="U187" s="434" t="s">
        <v>820</v>
      </c>
      <c r="V187" s="499" t="s">
        <v>821</v>
      </c>
      <c r="X187" s="606" t="s">
        <v>795</v>
      </c>
      <c r="Y187" s="437" t="s">
        <v>227</v>
      </c>
    </row>
    <row r="188" s="426" customFormat="1" ht="18" spans="1:25">
      <c r="A188" s="355" t="s">
        <v>334</v>
      </c>
      <c r="B188" s="348" t="s">
        <v>60</v>
      </c>
      <c r="C188" s="349">
        <v>2911041070</v>
      </c>
      <c r="D188" s="428"/>
      <c r="E188" s="440" t="s">
        <v>335</v>
      </c>
      <c r="F188" s="439"/>
      <c r="G188" s="428"/>
      <c r="H188" s="428"/>
      <c r="I188" s="428"/>
      <c r="J188" s="475"/>
      <c r="K188" s="430">
        <f>Table_Household_Alloc[[#This Row],[Unit Entitlement]]/1000</f>
        <v>0</v>
      </c>
      <c r="L188" s="431"/>
      <c r="M188" s="428"/>
      <c r="N188" s="432">
        <f>IF(Table_Household_Alloc[[#This Row],[PV Installed]]="Y",1,0)*Table_Household_Alloc[[#This Row],[Calculated Battery Allocation (kWh)]]</f>
        <v>0</v>
      </c>
      <c r="T188" s="433"/>
      <c r="U188" s="434"/>
      <c r="V188" s="502"/>
      <c r="X188" s="436"/>
      <c r="Y188" s="437"/>
    </row>
    <row r="189" s="426" customFormat="1" ht="17.4" spans="1:25">
      <c r="A189" s="347" t="s">
        <v>336</v>
      </c>
      <c r="B189" s="348" t="s">
        <v>60</v>
      </c>
      <c r="C189" s="349">
        <v>2911041113</v>
      </c>
      <c r="D189" s="428" t="s">
        <v>337</v>
      </c>
      <c r="E189" s="440" t="s">
        <v>338</v>
      </c>
      <c r="F189" s="428"/>
      <c r="G189" s="428" t="s">
        <v>219</v>
      </c>
      <c r="H189" s="428" t="s">
        <v>220</v>
      </c>
      <c r="I189" s="428">
        <v>6286</v>
      </c>
      <c r="J189" s="446"/>
      <c r="K189" s="447">
        <f>Table_Household_Alloc[[#This Row],[Unit Entitlement]]/1000</f>
        <v>0</v>
      </c>
      <c r="L189" s="431">
        <f t="shared" ref="L189:L190" si="7">(J189/1000)*232</f>
        <v>0</v>
      </c>
      <c r="M189" s="428"/>
      <c r="N189" s="432">
        <f>IF(Table_Household_Alloc[[#This Row],[PV Installed]]="Y",1,0)*Table_Household_Alloc[[#This Row],[Calculated Battery Allocation (kWh)]]</f>
        <v>0</v>
      </c>
      <c r="P189" s="438"/>
      <c r="Q189" s="438"/>
      <c r="R189" s="428"/>
      <c r="S189" s="428"/>
      <c r="U189" s="434"/>
      <c r="X189" s="464"/>
      <c r="Y189" s="437"/>
    </row>
    <row r="190" s="426" customFormat="1" ht="17.4" spans="1:25">
      <c r="A190" s="377" t="s">
        <v>339</v>
      </c>
      <c r="B190" s="378" t="s">
        <v>60</v>
      </c>
      <c r="C190" s="379"/>
      <c r="D190" s="428" t="s">
        <v>337</v>
      </c>
      <c r="E190" s="440" t="s">
        <v>340</v>
      </c>
      <c r="F190" s="428"/>
      <c r="G190" s="428" t="s">
        <v>219</v>
      </c>
      <c r="H190" s="428" t="s">
        <v>220</v>
      </c>
      <c r="I190" s="428">
        <v>6286</v>
      </c>
      <c r="J190" s="450"/>
      <c r="K190" s="451">
        <f>Table_Household_Alloc[[#This Row],[Unit Entitlement]]/1000</f>
        <v>0</v>
      </c>
      <c r="L190" s="431">
        <f t="shared" si="7"/>
        <v>0</v>
      </c>
      <c r="M190" s="428"/>
      <c r="N190" s="432">
        <f>IF(Table_Household_Alloc[[#This Row],[PV Installed]]="Y",1,0)*Table_Household_Alloc[[#This Row],[Calculated Battery Allocation (kWh)]]</f>
        <v>0</v>
      </c>
      <c r="P190" s="438"/>
      <c r="Q190" s="438"/>
      <c r="R190" s="428"/>
      <c r="S190" s="428"/>
      <c r="U190" s="434"/>
      <c r="X190" s="464"/>
      <c r="Y190" s="437"/>
    </row>
    <row r="191" s="426" customFormat="1" ht="18" spans="1:25">
      <c r="A191" s="360" t="s">
        <v>341</v>
      </c>
      <c r="B191" s="378" t="s">
        <v>60</v>
      </c>
      <c r="C191" s="375"/>
      <c r="D191" s="428"/>
      <c r="E191" s="427"/>
      <c r="F191" s="427"/>
      <c r="G191" s="428"/>
      <c r="H191" s="428"/>
      <c r="I191" s="428"/>
      <c r="J191" s="429"/>
      <c r="K191" s="430">
        <f>Table_Household_Alloc[[#This Row],[Unit Entitlement]]/1000</f>
        <v>0</v>
      </c>
      <c r="L191" s="431"/>
      <c r="M191" s="428"/>
      <c r="N191" s="432">
        <f>IF(Table_Household_Alloc[[#This Row],[PV Installed]]="Y",1,0)*Table_Household_Alloc[[#This Row],[Calculated Battery Allocation (kWh)]]</f>
        <v>0</v>
      </c>
      <c r="T191" s="433"/>
      <c r="U191" s="434"/>
      <c r="V191" s="435"/>
      <c r="X191" s="436"/>
      <c r="Y191" s="437"/>
    </row>
    <row r="192" s="426" customFormat="1" ht="18" spans="1:25">
      <c r="A192" s="361" t="s">
        <v>342</v>
      </c>
      <c r="B192" s="378" t="s">
        <v>60</v>
      </c>
      <c r="C192" s="381"/>
      <c r="D192" s="428"/>
      <c r="E192" s="427"/>
      <c r="F192" s="427"/>
      <c r="G192" s="428"/>
      <c r="H192" s="428"/>
      <c r="I192" s="428"/>
      <c r="J192" s="429"/>
      <c r="K192" s="430">
        <f>Table_Household_Alloc[[#This Row],[Unit Entitlement]]/1000</f>
        <v>0</v>
      </c>
      <c r="L192" s="431"/>
      <c r="M192" s="428"/>
      <c r="N192" s="432">
        <f>IF(Table_Household_Alloc[[#This Row],[PV Installed]]="Y",1,0)*Table_Household_Alloc[[#This Row],[Calculated Battery Allocation (kWh)]]</f>
        <v>0</v>
      </c>
      <c r="T192" s="433"/>
      <c r="U192" s="434"/>
      <c r="V192" s="435"/>
      <c r="X192" s="436"/>
      <c r="Y192" s="437"/>
    </row>
    <row r="193" spans="11:30">
      <c r="K193" s="430">
        <f>Table_Household_Alloc[[#This Row],[Unit Entitlement]]/1000</f>
        <v>0</v>
      </c>
      <c r="N193" s="432">
        <f>IF(Table_Household_Alloc[[#This Row],[PV Installed]]="Y",1,0)*Table_Household_Alloc[[#This Row],[Calculated Battery Allocation (kWh)]]</f>
        <v>0</v>
      </c>
      <c r="Z193" s="428"/>
      <c r="AA193" s="428"/>
      <c r="AB193" s="428"/>
      <c r="AC193" s="428"/>
      <c r="AD193" s="428"/>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FA24"/>
  <sheetViews>
    <sheetView workbookViewId="0">
      <selection activeCell="L2" sqref="L2"/>
    </sheetView>
  </sheetViews>
  <sheetFormatPr defaultColWidth="11" defaultRowHeight="13.8"/>
  <cols>
    <col min="1" max="1" width="8.7" style="422" customWidth="1"/>
    <col min="2" max="3" width="7.5" style="422" customWidth="1"/>
    <col min="4" max="5" width="11.7" style="2" customWidth="1"/>
    <col min="6" max="6" width="12.2" style="2" customWidth="1"/>
    <col min="7" max="7" width="13.5" style="2" customWidth="1"/>
    <col min="8" max="8" width="12.3" customWidth="1"/>
    <col min="9" max="9" width="12" customWidth="1"/>
    <col min="10" max="10" width="16.2" customWidth="1"/>
  </cols>
  <sheetData>
    <row r="1" ht="64.05" customHeight="1" spans="1:10">
      <c r="A1" s="423" t="s">
        <v>34</v>
      </c>
      <c r="B1" s="423" t="s">
        <v>822</v>
      </c>
      <c r="C1" s="423" t="s">
        <v>823</v>
      </c>
      <c r="D1" s="423" t="s">
        <v>824</v>
      </c>
      <c r="E1" s="423" t="s">
        <v>825</v>
      </c>
      <c r="F1" s="424" t="s">
        <v>826</v>
      </c>
      <c r="G1" s="424" t="s">
        <v>827</v>
      </c>
      <c r="H1" s="424" t="s">
        <v>828</v>
      </c>
      <c r="I1" s="424" t="s">
        <v>829</v>
      </c>
      <c r="J1" s="424" t="s">
        <v>830</v>
      </c>
    </row>
    <row r="2" spans="1:10">
      <c r="A2" s="130" t="s">
        <v>44</v>
      </c>
      <c r="B2" s="383">
        <v>2025</v>
      </c>
      <c r="C2" s="607" t="s">
        <v>831</v>
      </c>
      <c r="D2" s="383">
        <v>33.93</v>
      </c>
      <c r="E2" s="383">
        <v>11281.06</v>
      </c>
      <c r="F2" s="383">
        <v>10.16</v>
      </c>
      <c r="G2" s="383">
        <v>-434.32</v>
      </c>
      <c r="H2" s="383">
        <v>170.5</v>
      </c>
      <c r="I2" s="383">
        <v>15.54</v>
      </c>
      <c r="J2" s="383">
        <v>-238.12</v>
      </c>
    </row>
    <row r="3" spans="1:10">
      <c r="A3" s="130" t="s">
        <v>44</v>
      </c>
      <c r="B3" s="383">
        <v>2025</v>
      </c>
      <c r="C3" s="607" t="s">
        <v>832</v>
      </c>
      <c r="D3" s="383">
        <v>9.73</v>
      </c>
      <c r="E3" s="383">
        <v>10654.83</v>
      </c>
      <c r="F3" s="383">
        <v>2.92</v>
      </c>
      <c r="G3" s="383">
        <v>-410.21</v>
      </c>
      <c r="H3" s="383">
        <v>154</v>
      </c>
      <c r="I3" s="383">
        <v>12.85</v>
      </c>
      <c r="J3" s="383">
        <v>-240.45</v>
      </c>
    </row>
    <row r="4" spans="1:10">
      <c r="A4" s="130" t="s">
        <v>44</v>
      </c>
      <c r="B4" s="383">
        <v>2025</v>
      </c>
      <c r="C4" s="607" t="s">
        <v>833</v>
      </c>
      <c r="D4" s="383">
        <v>41.84</v>
      </c>
      <c r="E4" s="383">
        <v>11239.82</v>
      </c>
      <c r="F4" s="383">
        <v>12.52</v>
      </c>
      <c r="G4" s="383">
        <v>-432.73</v>
      </c>
      <c r="H4" s="383">
        <v>170.5</v>
      </c>
      <c r="I4" s="383">
        <v>16.76</v>
      </c>
      <c r="J4" s="383">
        <v>-232.95</v>
      </c>
    </row>
    <row r="5" spans="1:10">
      <c r="A5" s="130" t="s">
        <v>48</v>
      </c>
      <c r="B5" s="383">
        <v>2025</v>
      </c>
      <c r="C5" s="607" t="s">
        <v>831</v>
      </c>
      <c r="D5" s="383">
        <v>12.07</v>
      </c>
      <c r="E5" s="383">
        <v>17535.52</v>
      </c>
      <c r="F5" s="383">
        <v>3.62</v>
      </c>
      <c r="G5" s="383">
        <v>-675.11</v>
      </c>
      <c r="H5" s="383">
        <v>170.5</v>
      </c>
      <c r="I5" s="383">
        <v>18.04</v>
      </c>
      <c r="J5" s="383">
        <v>-482.96</v>
      </c>
    </row>
    <row r="6" spans="1:10">
      <c r="A6" s="130" t="s">
        <v>48</v>
      </c>
      <c r="B6" s="383">
        <v>2025</v>
      </c>
      <c r="C6" s="607" t="s">
        <v>832</v>
      </c>
      <c r="D6" s="383">
        <v>13.33</v>
      </c>
      <c r="E6" s="383">
        <v>13942.64</v>
      </c>
      <c r="F6" s="383">
        <v>3.99</v>
      </c>
      <c r="G6" s="383">
        <v>-536.79</v>
      </c>
      <c r="H6" s="383">
        <v>154</v>
      </c>
      <c r="I6" s="383">
        <v>16.57</v>
      </c>
      <c r="J6" s="383">
        <v>-362.23</v>
      </c>
    </row>
    <row r="7" spans="1:10">
      <c r="A7" s="130" t="s">
        <v>48</v>
      </c>
      <c r="B7" s="383">
        <v>2025</v>
      </c>
      <c r="C7" s="607" t="s">
        <v>833</v>
      </c>
      <c r="D7" s="383">
        <v>14.9</v>
      </c>
      <c r="E7" s="383">
        <v>14891.96</v>
      </c>
      <c r="F7" s="383">
        <v>4.46</v>
      </c>
      <c r="G7" s="383">
        <v>-573.34</v>
      </c>
      <c r="H7" s="383">
        <v>170.5</v>
      </c>
      <c r="I7" s="383">
        <v>18.59</v>
      </c>
      <c r="J7" s="383">
        <v>-379.8</v>
      </c>
    </row>
    <row r="8" spans="1:10">
      <c r="A8" s="130" t="s">
        <v>52</v>
      </c>
      <c r="B8" s="383">
        <v>2025</v>
      </c>
      <c r="C8" s="607" t="s">
        <v>831</v>
      </c>
      <c r="D8" s="383">
        <v>44.48</v>
      </c>
      <c r="E8" s="383">
        <v>13074.94</v>
      </c>
      <c r="F8" s="383">
        <v>13.32</v>
      </c>
      <c r="G8" s="383">
        <v>-503.38</v>
      </c>
      <c r="H8" s="383">
        <v>170.5</v>
      </c>
      <c r="I8" s="383">
        <v>22.22</v>
      </c>
      <c r="J8" s="383">
        <v>-297.34</v>
      </c>
    </row>
    <row r="9" spans="1:10">
      <c r="A9" s="130" t="s">
        <v>52</v>
      </c>
      <c r="B9" s="383">
        <v>2025</v>
      </c>
      <c r="C9" s="607" t="s">
        <v>832</v>
      </c>
      <c r="D9" s="383">
        <v>46.06</v>
      </c>
      <c r="E9" s="383">
        <v>12380.74</v>
      </c>
      <c r="F9" s="383">
        <v>13.78</v>
      </c>
      <c r="G9" s="383">
        <v>-476.66</v>
      </c>
      <c r="H9" s="383">
        <v>154</v>
      </c>
      <c r="I9" s="383">
        <v>19.29</v>
      </c>
      <c r="J9" s="383">
        <v>-289.59</v>
      </c>
    </row>
    <row r="10" spans="1:10">
      <c r="A10" s="130" t="s">
        <v>52</v>
      </c>
      <c r="B10" s="383">
        <v>2025</v>
      </c>
      <c r="C10" s="607" t="s">
        <v>833</v>
      </c>
      <c r="D10" s="383">
        <v>17.99</v>
      </c>
      <c r="E10" s="383">
        <v>14328.95</v>
      </c>
      <c r="F10" s="383">
        <v>5.38</v>
      </c>
      <c r="G10" s="383">
        <v>-551.66</v>
      </c>
      <c r="H10" s="383">
        <v>170.5</v>
      </c>
      <c r="I10" s="383">
        <v>19.8</v>
      </c>
      <c r="J10" s="383">
        <v>-355.98</v>
      </c>
    </row>
    <row r="11" spans="1:10">
      <c r="A11" s="130" t="s">
        <v>54</v>
      </c>
      <c r="B11" s="383">
        <v>2025</v>
      </c>
      <c r="C11" s="607" t="s">
        <v>831</v>
      </c>
      <c r="D11" s="383">
        <v>68.36</v>
      </c>
      <c r="E11" s="383">
        <v>9864.97</v>
      </c>
      <c r="F11" s="383">
        <v>21.46</v>
      </c>
      <c r="G11" s="383">
        <v>-379.8</v>
      </c>
      <c r="H11" s="383">
        <v>178.78</v>
      </c>
      <c r="I11" s="383">
        <v>0</v>
      </c>
      <c r="J11" s="383">
        <v>-179.55</v>
      </c>
    </row>
    <row r="12" spans="1:10">
      <c r="A12" s="130" t="s">
        <v>54</v>
      </c>
      <c r="B12" s="383">
        <v>2025</v>
      </c>
      <c r="C12" s="607" t="s">
        <v>832</v>
      </c>
      <c r="D12" s="383">
        <v>60.15</v>
      </c>
      <c r="E12" s="383">
        <v>9289.63</v>
      </c>
      <c r="F12" s="383">
        <v>18.89</v>
      </c>
      <c r="G12" s="383">
        <v>-357.64</v>
      </c>
      <c r="H12" s="383">
        <v>161.48</v>
      </c>
      <c r="I12" s="383">
        <v>0</v>
      </c>
      <c r="J12" s="383">
        <v>-177.28</v>
      </c>
    </row>
    <row r="13" spans="1:10">
      <c r="A13" s="130" t="s">
        <v>58</v>
      </c>
      <c r="B13" s="383">
        <v>2025</v>
      </c>
      <c r="C13" s="607" t="s">
        <v>831</v>
      </c>
      <c r="D13" s="383">
        <v>25.59</v>
      </c>
      <c r="E13" s="383">
        <v>13715.2</v>
      </c>
      <c r="F13" s="383">
        <v>8.04</v>
      </c>
      <c r="G13" s="383">
        <v>-528.04</v>
      </c>
      <c r="H13" s="383">
        <v>178.78</v>
      </c>
      <c r="I13" s="383">
        <v>0</v>
      </c>
      <c r="J13" s="383">
        <v>-341.22</v>
      </c>
    </row>
    <row r="14" spans="1:10">
      <c r="A14" s="130" t="s">
        <v>58</v>
      </c>
      <c r="B14" s="383">
        <v>2025</v>
      </c>
      <c r="C14" s="607" t="s">
        <v>832</v>
      </c>
      <c r="D14" s="383">
        <v>20.76</v>
      </c>
      <c r="E14" s="383">
        <v>10080.49</v>
      </c>
      <c r="F14" s="383">
        <v>6.52</v>
      </c>
      <c r="G14" s="383">
        <v>-388.1</v>
      </c>
      <c r="H14" s="383">
        <v>161.48</v>
      </c>
      <c r="I14" s="383">
        <v>0</v>
      </c>
      <c r="J14" s="383">
        <v>-220.1</v>
      </c>
    </row>
    <row r="15" spans="1:10">
      <c r="A15" s="130" t="s">
        <v>58</v>
      </c>
      <c r="B15" s="383">
        <v>2025</v>
      </c>
      <c r="C15" s="607" t="s">
        <v>833</v>
      </c>
      <c r="D15" s="383">
        <v>32.44</v>
      </c>
      <c r="E15" s="383">
        <v>12419.46</v>
      </c>
      <c r="F15" s="383">
        <v>10.19</v>
      </c>
      <c r="G15" s="383">
        <v>-478.15</v>
      </c>
      <c r="H15" s="383">
        <v>178.78</v>
      </c>
      <c r="I15" s="383">
        <v>0</v>
      </c>
      <c r="J15" s="383">
        <v>-289.18</v>
      </c>
    </row>
    <row r="16" spans="1:10">
      <c r="A16" s="130" t="s">
        <v>59</v>
      </c>
      <c r="B16" s="383">
        <v>2025</v>
      </c>
      <c r="C16" s="607" t="s">
        <v>831</v>
      </c>
      <c r="D16" s="383">
        <v>397.4</v>
      </c>
      <c r="E16" s="383">
        <v>5237.2</v>
      </c>
      <c r="F16" s="383">
        <v>124.77</v>
      </c>
      <c r="G16" s="383">
        <v>-201.63</v>
      </c>
      <c r="H16" s="383">
        <v>178.78</v>
      </c>
      <c r="I16" s="383">
        <v>0</v>
      </c>
      <c r="J16" s="383">
        <v>101.93</v>
      </c>
    </row>
    <row r="17" spans="1:10">
      <c r="A17" s="130" t="s">
        <v>59</v>
      </c>
      <c r="B17" s="383">
        <v>2025</v>
      </c>
      <c r="C17" s="607" t="s">
        <v>832</v>
      </c>
      <c r="D17" s="383">
        <v>1319.47</v>
      </c>
      <c r="E17" s="383">
        <v>7643.82</v>
      </c>
      <c r="F17" s="383">
        <v>414.27</v>
      </c>
      <c r="G17" s="383">
        <v>-294.28</v>
      </c>
      <c r="H17" s="383">
        <v>161.48</v>
      </c>
      <c r="I17" s="383">
        <v>0</v>
      </c>
      <c r="J17" s="383">
        <v>281.47</v>
      </c>
    </row>
    <row r="18" s="383" customFormat="1" ht="13.2" spans="1:16381">
      <c r="A18" s="130" t="s">
        <v>59</v>
      </c>
      <c r="B18" s="383">
        <v>2025</v>
      </c>
      <c r="C18" s="607" t="s">
        <v>833</v>
      </c>
      <c r="D18" s="383">
        <v>2186.28</v>
      </c>
      <c r="E18" s="383">
        <v>9198.2</v>
      </c>
      <c r="F18" s="383">
        <v>686.41</v>
      </c>
      <c r="G18" s="383">
        <v>-354.13</v>
      </c>
      <c r="H18" s="383">
        <v>178.78</v>
      </c>
      <c r="I18" s="383">
        <v>0</v>
      </c>
      <c r="J18" s="383">
        <v>511.06</v>
      </c>
      <c r="K18" s="130"/>
      <c r="U18" s="130"/>
      <c r="AE18" s="130"/>
      <c r="AO18" s="130"/>
      <c r="AY18" s="130"/>
      <c r="BI18" s="130"/>
      <c r="BS18" s="130"/>
      <c r="CC18" s="130"/>
      <c r="CM18" s="130"/>
      <c r="CW18" s="130"/>
      <c r="DG18" s="130"/>
      <c r="DQ18" s="130"/>
      <c r="EA18" s="130"/>
      <c r="EK18" s="130"/>
      <c r="EU18" s="130"/>
      <c r="FE18" s="130"/>
      <c r="FO18" s="130"/>
      <c r="FY18" s="130"/>
      <c r="GI18" s="130"/>
      <c r="GS18" s="130"/>
      <c r="HC18" s="130"/>
      <c r="HM18" s="130"/>
      <c r="HW18" s="130"/>
      <c r="IG18" s="130"/>
      <c r="IQ18" s="130"/>
      <c r="JA18" s="130"/>
      <c r="JK18" s="130"/>
      <c r="JU18" s="130"/>
      <c r="KE18" s="130"/>
      <c r="KO18" s="130"/>
      <c r="KY18" s="130"/>
      <c r="LI18" s="130"/>
      <c r="LS18" s="130"/>
      <c r="MC18" s="130"/>
      <c r="MM18" s="130"/>
      <c r="MW18" s="130"/>
      <c r="NG18" s="130"/>
      <c r="NQ18" s="130"/>
      <c r="OA18" s="130"/>
      <c r="OK18" s="130"/>
      <c r="OU18" s="130"/>
      <c r="PE18" s="130"/>
      <c r="PO18" s="130"/>
      <c r="PY18" s="130"/>
      <c r="QI18" s="130"/>
      <c r="QS18" s="130"/>
      <c r="RC18" s="130"/>
      <c r="RM18" s="130"/>
      <c r="RW18" s="130"/>
      <c r="SG18" s="130"/>
      <c r="SQ18" s="130"/>
      <c r="TA18" s="130"/>
      <c r="TK18" s="130"/>
      <c r="TU18" s="130"/>
      <c r="UE18" s="130"/>
      <c r="UO18" s="130"/>
      <c r="UY18" s="130"/>
      <c r="VI18" s="130"/>
      <c r="VS18" s="130"/>
      <c r="WC18" s="130"/>
      <c r="WM18" s="130"/>
      <c r="WW18" s="130"/>
      <c r="XG18" s="130"/>
      <c r="XQ18" s="130"/>
      <c r="YA18" s="130"/>
      <c r="YK18" s="130"/>
      <c r="YU18" s="130"/>
      <c r="ZE18" s="130"/>
      <c r="ZO18" s="130"/>
      <c r="ZY18" s="130"/>
      <c r="AAI18" s="130"/>
      <c r="AAS18" s="130"/>
      <c r="ABC18" s="130"/>
      <c r="ABM18" s="130"/>
      <c r="ABW18" s="130"/>
      <c r="ACG18" s="130"/>
      <c r="ACQ18" s="130"/>
      <c r="ADA18" s="130"/>
      <c r="ADK18" s="130"/>
      <c r="ADU18" s="130"/>
      <c r="AEE18" s="130"/>
      <c r="AEO18" s="130"/>
      <c r="AEY18" s="130"/>
      <c r="AFI18" s="130"/>
      <c r="AFS18" s="130"/>
      <c r="AGC18" s="130"/>
      <c r="AGM18" s="130"/>
      <c r="AGW18" s="130"/>
      <c r="AHG18" s="130"/>
      <c r="AHQ18" s="130"/>
      <c r="AIA18" s="130"/>
      <c r="AIK18" s="130"/>
      <c r="AIU18" s="130"/>
      <c r="AJE18" s="130"/>
      <c r="AJO18" s="130"/>
      <c r="AJY18" s="130"/>
      <c r="AKI18" s="130"/>
      <c r="AKS18" s="130"/>
      <c r="ALC18" s="130"/>
      <c r="ALM18" s="130"/>
      <c r="ALW18" s="130"/>
      <c r="AMG18" s="130"/>
      <c r="AMQ18" s="130"/>
      <c r="ANA18" s="130"/>
      <c r="ANK18" s="130"/>
      <c r="ANU18" s="130"/>
      <c r="AOE18" s="130"/>
      <c r="AOO18" s="130"/>
      <c r="AOY18" s="130"/>
      <c r="API18" s="130"/>
      <c r="APS18" s="130"/>
      <c r="AQC18" s="130"/>
      <c r="AQM18" s="130"/>
      <c r="AQW18" s="130"/>
      <c r="ARG18" s="130"/>
      <c r="ARQ18" s="130"/>
      <c r="ASA18" s="130"/>
      <c r="ASK18" s="130"/>
      <c r="ASU18" s="130"/>
      <c r="ATE18" s="130"/>
      <c r="ATO18" s="130"/>
      <c r="ATY18" s="130"/>
      <c r="AUI18" s="130"/>
      <c r="AUS18" s="130"/>
      <c r="AVC18" s="130"/>
      <c r="AVM18" s="130"/>
      <c r="AVW18" s="130"/>
      <c r="AWG18" s="130"/>
      <c r="AWQ18" s="130"/>
      <c r="AXA18" s="130"/>
      <c r="AXK18" s="130"/>
      <c r="AXU18" s="130"/>
      <c r="AYE18" s="130"/>
      <c r="AYO18" s="130"/>
      <c r="AYY18" s="130"/>
      <c r="AZI18" s="130"/>
      <c r="AZS18" s="130"/>
      <c r="BAC18" s="130"/>
      <c r="BAM18" s="130"/>
      <c r="BAW18" s="130"/>
      <c r="BBG18" s="130"/>
      <c r="BBQ18" s="130"/>
      <c r="BCA18" s="130"/>
      <c r="BCK18" s="130"/>
      <c r="BCU18" s="130"/>
      <c r="BDE18" s="130"/>
      <c r="BDO18" s="130"/>
      <c r="BDY18" s="130"/>
      <c r="BEI18" s="130"/>
      <c r="BES18" s="130"/>
      <c r="BFC18" s="130"/>
      <c r="BFM18" s="130"/>
      <c r="BFW18" s="130"/>
      <c r="BGG18" s="130"/>
      <c r="BGQ18" s="130"/>
      <c r="BHA18" s="130"/>
      <c r="BHK18" s="130"/>
      <c r="BHU18" s="130"/>
      <c r="BIE18" s="130"/>
      <c r="BIO18" s="130"/>
      <c r="BIY18" s="130"/>
      <c r="BJI18" s="130"/>
      <c r="BJS18" s="130"/>
      <c r="BKC18" s="130"/>
      <c r="BKM18" s="130"/>
      <c r="BKW18" s="130"/>
      <c r="BLG18" s="130"/>
      <c r="BLQ18" s="130"/>
      <c r="BMA18" s="130"/>
      <c r="BMK18" s="130"/>
      <c r="BMU18" s="130"/>
      <c r="BNE18" s="130"/>
      <c r="BNO18" s="130"/>
      <c r="BNY18" s="130"/>
      <c r="BOI18" s="130"/>
      <c r="BOS18" s="130"/>
      <c r="BPC18" s="130"/>
      <c r="BPM18" s="130"/>
      <c r="BPW18" s="130"/>
      <c r="BQG18" s="130"/>
      <c r="BQQ18" s="130"/>
      <c r="BRA18" s="130"/>
      <c r="BRK18" s="130"/>
      <c r="BRU18" s="130"/>
      <c r="BSE18" s="130"/>
      <c r="BSO18" s="130"/>
      <c r="BSY18" s="130"/>
      <c r="BTI18" s="130"/>
      <c r="BTS18" s="130"/>
      <c r="BUC18" s="130"/>
      <c r="BUM18" s="130"/>
      <c r="BUW18" s="130"/>
      <c r="BVG18" s="130"/>
      <c r="BVQ18" s="130"/>
      <c r="BWA18" s="130"/>
      <c r="BWK18" s="130"/>
      <c r="BWU18" s="130"/>
      <c r="BXE18" s="130"/>
      <c r="BXO18" s="130"/>
      <c r="BXY18" s="130"/>
      <c r="BYI18" s="130"/>
      <c r="BYS18" s="130"/>
      <c r="BZC18" s="130"/>
      <c r="BZM18" s="130"/>
      <c r="BZW18" s="130"/>
      <c r="CAG18" s="130"/>
      <c r="CAQ18" s="130"/>
      <c r="CBA18" s="130"/>
      <c r="CBK18" s="130"/>
      <c r="CBU18" s="130"/>
      <c r="CCE18" s="130"/>
      <c r="CCO18" s="130"/>
      <c r="CCY18" s="130"/>
      <c r="CDI18" s="130"/>
      <c r="CDS18" s="130"/>
      <c r="CEC18" s="130"/>
      <c r="CEM18" s="130"/>
      <c r="CEW18" s="130"/>
      <c r="CFG18" s="130"/>
      <c r="CFQ18" s="130"/>
      <c r="CGA18" s="130"/>
      <c r="CGK18" s="130"/>
      <c r="CGU18" s="130"/>
      <c r="CHE18" s="130"/>
      <c r="CHO18" s="130"/>
      <c r="CHY18" s="130"/>
      <c r="CII18" s="130"/>
      <c r="CIS18" s="130"/>
      <c r="CJC18" s="130"/>
      <c r="CJM18" s="130"/>
      <c r="CJW18" s="130"/>
      <c r="CKG18" s="130"/>
      <c r="CKQ18" s="130"/>
      <c r="CLA18" s="130"/>
      <c r="CLK18" s="130"/>
      <c r="CLU18" s="130"/>
      <c r="CME18" s="130"/>
      <c r="CMO18" s="130"/>
      <c r="CMY18" s="130"/>
      <c r="CNI18" s="130"/>
      <c r="CNS18" s="130"/>
      <c r="COC18" s="130"/>
      <c r="COM18" s="130"/>
      <c r="COW18" s="130"/>
      <c r="CPG18" s="130"/>
      <c r="CPQ18" s="130"/>
      <c r="CQA18" s="130"/>
      <c r="CQK18" s="130"/>
      <c r="CQU18" s="130"/>
      <c r="CRE18" s="130"/>
      <c r="CRO18" s="130"/>
      <c r="CRY18" s="130"/>
      <c r="CSI18" s="130"/>
      <c r="CSS18" s="130"/>
      <c r="CTC18" s="130"/>
      <c r="CTM18" s="130"/>
      <c r="CTW18" s="130"/>
      <c r="CUG18" s="130"/>
      <c r="CUQ18" s="130"/>
      <c r="CVA18" s="130"/>
      <c r="CVK18" s="130"/>
      <c r="CVU18" s="130"/>
      <c r="CWE18" s="130"/>
      <c r="CWO18" s="130"/>
      <c r="CWY18" s="130"/>
      <c r="CXI18" s="130"/>
      <c r="CXS18" s="130"/>
      <c r="CYC18" s="130"/>
      <c r="CYM18" s="130"/>
      <c r="CYW18" s="130"/>
      <c r="CZG18" s="130"/>
      <c r="CZQ18" s="130"/>
      <c r="DAA18" s="130"/>
      <c r="DAK18" s="130"/>
      <c r="DAU18" s="130"/>
      <c r="DBE18" s="130"/>
      <c r="DBO18" s="130"/>
      <c r="DBY18" s="130"/>
      <c r="DCI18" s="130"/>
      <c r="DCS18" s="130"/>
      <c r="DDC18" s="130"/>
      <c r="DDM18" s="130"/>
      <c r="DDW18" s="130"/>
      <c r="DEG18" s="130"/>
      <c r="DEQ18" s="130"/>
      <c r="DFA18" s="130"/>
      <c r="DFK18" s="130"/>
      <c r="DFU18" s="130"/>
      <c r="DGE18" s="130"/>
      <c r="DGO18" s="130"/>
      <c r="DGY18" s="130"/>
      <c r="DHI18" s="130"/>
      <c r="DHS18" s="130"/>
      <c r="DIC18" s="130"/>
      <c r="DIM18" s="130"/>
      <c r="DIW18" s="130"/>
      <c r="DJG18" s="130"/>
      <c r="DJQ18" s="130"/>
      <c r="DKA18" s="130"/>
      <c r="DKK18" s="130"/>
      <c r="DKU18" s="130"/>
      <c r="DLE18" s="130"/>
      <c r="DLO18" s="130"/>
      <c r="DLY18" s="130"/>
      <c r="DMI18" s="130"/>
      <c r="DMS18" s="130"/>
      <c r="DNC18" s="130"/>
      <c r="DNM18" s="130"/>
      <c r="DNW18" s="130"/>
      <c r="DOG18" s="130"/>
      <c r="DOQ18" s="130"/>
      <c r="DPA18" s="130"/>
      <c r="DPK18" s="130"/>
      <c r="DPU18" s="130"/>
      <c r="DQE18" s="130"/>
      <c r="DQO18" s="130"/>
      <c r="DQY18" s="130"/>
      <c r="DRI18" s="130"/>
      <c r="DRS18" s="130"/>
      <c r="DSC18" s="130"/>
      <c r="DSM18" s="130"/>
      <c r="DSW18" s="130"/>
      <c r="DTG18" s="130"/>
      <c r="DTQ18" s="130"/>
      <c r="DUA18" s="130"/>
      <c r="DUK18" s="130"/>
      <c r="DUU18" s="130"/>
      <c r="DVE18" s="130"/>
      <c r="DVO18" s="130"/>
      <c r="DVY18" s="130"/>
      <c r="DWI18" s="130"/>
      <c r="DWS18" s="130"/>
      <c r="DXC18" s="130"/>
      <c r="DXM18" s="130"/>
      <c r="DXW18" s="130"/>
      <c r="DYG18" s="130"/>
      <c r="DYQ18" s="130"/>
      <c r="DZA18" s="130"/>
      <c r="DZK18" s="130"/>
      <c r="DZU18" s="130"/>
      <c r="EAE18" s="130"/>
      <c r="EAO18" s="130"/>
      <c r="EAY18" s="130"/>
      <c r="EBI18" s="130"/>
      <c r="EBS18" s="130"/>
      <c r="ECC18" s="130"/>
      <c r="ECM18" s="130"/>
      <c r="ECW18" s="130"/>
      <c r="EDG18" s="130"/>
      <c r="EDQ18" s="130"/>
      <c r="EEA18" s="130"/>
      <c r="EEK18" s="130"/>
      <c r="EEU18" s="130"/>
      <c r="EFE18" s="130"/>
      <c r="EFO18" s="130"/>
      <c r="EFY18" s="130"/>
      <c r="EGI18" s="130"/>
      <c r="EGS18" s="130"/>
      <c r="EHC18" s="130"/>
      <c r="EHM18" s="130"/>
      <c r="EHW18" s="130"/>
      <c r="EIG18" s="130"/>
      <c r="EIQ18" s="130"/>
      <c r="EJA18" s="130"/>
      <c r="EJK18" s="130"/>
      <c r="EJU18" s="130"/>
      <c r="EKE18" s="130"/>
      <c r="EKO18" s="130"/>
      <c r="EKY18" s="130"/>
      <c r="ELI18" s="130"/>
      <c r="ELS18" s="130"/>
      <c r="EMC18" s="130"/>
      <c r="EMM18" s="130"/>
      <c r="EMW18" s="130"/>
      <c r="ENG18" s="130"/>
      <c r="ENQ18" s="130"/>
      <c r="EOA18" s="130"/>
      <c r="EOK18" s="130"/>
      <c r="EOU18" s="130"/>
      <c r="EPE18" s="130"/>
      <c r="EPO18" s="130"/>
      <c r="EPY18" s="130"/>
      <c r="EQI18" s="130"/>
      <c r="EQS18" s="130"/>
      <c r="ERC18" s="130"/>
      <c r="ERM18" s="130"/>
      <c r="ERW18" s="130"/>
      <c r="ESG18" s="130"/>
      <c r="ESQ18" s="130"/>
      <c r="ETA18" s="130"/>
      <c r="ETK18" s="130"/>
      <c r="ETU18" s="130"/>
      <c r="EUE18" s="130"/>
      <c r="EUO18" s="130"/>
      <c r="EUY18" s="130"/>
      <c r="EVI18" s="130"/>
      <c r="EVS18" s="130"/>
      <c r="EWC18" s="130"/>
      <c r="EWM18" s="130"/>
      <c r="EWW18" s="130"/>
      <c r="EXG18" s="130"/>
      <c r="EXQ18" s="130"/>
      <c r="EYA18" s="130"/>
      <c r="EYK18" s="130"/>
      <c r="EYU18" s="130"/>
      <c r="EZE18" s="130"/>
      <c r="EZO18" s="130"/>
      <c r="EZY18" s="130"/>
      <c r="FAI18" s="130"/>
      <c r="FAS18" s="130"/>
      <c r="FBC18" s="130"/>
      <c r="FBM18" s="130"/>
      <c r="FBW18" s="130"/>
      <c r="FCG18" s="130"/>
      <c r="FCQ18" s="130"/>
      <c r="FDA18" s="130"/>
      <c r="FDK18" s="130"/>
      <c r="FDU18" s="130"/>
      <c r="FEE18" s="130"/>
      <c r="FEO18" s="130"/>
      <c r="FEY18" s="130"/>
      <c r="FFI18" s="130"/>
      <c r="FFS18" s="130"/>
      <c r="FGC18" s="130"/>
      <c r="FGM18" s="130"/>
      <c r="FGW18" s="130"/>
      <c r="FHG18" s="130"/>
      <c r="FHQ18" s="130"/>
      <c r="FIA18" s="130"/>
      <c r="FIK18" s="130"/>
      <c r="FIU18" s="130"/>
      <c r="FJE18" s="130"/>
      <c r="FJO18" s="130"/>
      <c r="FJY18" s="130"/>
      <c r="FKI18" s="130"/>
      <c r="FKS18" s="130"/>
      <c r="FLC18" s="130"/>
      <c r="FLM18" s="130"/>
      <c r="FLW18" s="130"/>
      <c r="FMG18" s="130"/>
      <c r="FMQ18" s="130"/>
      <c r="FNA18" s="130"/>
      <c r="FNK18" s="130"/>
      <c r="FNU18" s="130"/>
      <c r="FOE18" s="130"/>
      <c r="FOO18" s="130"/>
      <c r="FOY18" s="130"/>
      <c r="FPI18" s="130"/>
      <c r="FPS18" s="130"/>
      <c r="FQC18" s="130"/>
      <c r="FQM18" s="130"/>
      <c r="FQW18" s="130"/>
      <c r="FRG18" s="130"/>
      <c r="FRQ18" s="130"/>
      <c r="FSA18" s="130"/>
      <c r="FSK18" s="130"/>
      <c r="FSU18" s="130"/>
      <c r="FTE18" s="130"/>
      <c r="FTO18" s="130"/>
      <c r="FTY18" s="130"/>
      <c r="FUI18" s="130"/>
      <c r="FUS18" s="130"/>
      <c r="FVC18" s="130"/>
      <c r="FVM18" s="130"/>
      <c r="FVW18" s="130"/>
      <c r="FWG18" s="130"/>
      <c r="FWQ18" s="130"/>
      <c r="FXA18" s="130"/>
      <c r="FXK18" s="130"/>
      <c r="FXU18" s="130"/>
      <c r="FYE18" s="130"/>
      <c r="FYO18" s="130"/>
      <c r="FYY18" s="130"/>
      <c r="FZI18" s="130"/>
      <c r="FZS18" s="130"/>
      <c r="GAC18" s="130"/>
      <c r="GAM18" s="130"/>
      <c r="GAW18" s="130"/>
      <c r="GBG18" s="130"/>
      <c r="GBQ18" s="130"/>
      <c r="GCA18" s="130"/>
      <c r="GCK18" s="130"/>
      <c r="GCU18" s="130"/>
      <c r="GDE18" s="130"/>
      <c r="GDO18" s="130"/>
      <c r="GDY18" s="130"/>
      <c r="GEI18" s="130"/>
      <c r="GES18" s="130"/>
      <c r="GFC18" s="130"/>
      <c r="GFM18" s="130"/>
      <c r="GFW18" s="130"/>
      <c r="GGG18" s="130"/>
      <c r="GGQ18" s="130"/>
      <c r="GHA18" s="130"/>
      <c r="GHK18" s="130"/>
      <c r="GHU18" s="130"/>
      <c r="GIE18" s="130"/>
      <c r="GIO18" s="130"/>
      <c r="GIY18" s="130"/>
      <c r="GJI18" s="130"/>
      <c r="GJS18" s="130"/>
      <c r="GKC18" s="130"/>
      <c r="GKM18" s="130"/>
      <c r="GKW18" s="130"/>
      <c r="GLG18" s="130"/>
      <c r="GLQ18" s="130"/>
      <c r="GMA18" s="130"/>
      <c r="GMK18" s="130"/>
      <c r="GMU18" s="130"/>
      <c r="GNE18" s="130"/>
      <c r="GNO18" s="130"/>
      <c r="GNY18" s="130"/>
      <c r="GOI18" s="130"/>
      <c r="GOS18" s="130"/>
      <c r="GPC18" s="130"/>
      <c r="GPM18" s="130"/>
      <c r="GPW18" s="130"/>
      <c r="GQG18" s="130"/>
      <c r="GQQ18" s="130"/>
      <c r="GRA18" s="130"/>
      <c r="GRK18" s="130"/>
      <c r="GRU18" s="130"/>
      <c r="GSE18" s="130"/>
      <c r="GSO18" s="130"/>
      <c r="GSY18" s="130"/>
      <c r="GTI18" s="130"/>
      <c r="GTS18" s="130"/>
      <c r="GUC18" s="130"/>
      <c r="GUM18" s="130"/>
      <c r="GUW18" s="130"/>
      <c r="GVG18" s="130"/>
      <c r="GVQ18" s="130"/>
      <c r="GWA18" s="130"/>
      <c r="GWK18" s="130"/>
      <c r="GWU18" s="130"/>
      <c r="GXE18" s="130"/>
      <c r="GXO18" s="130"/>
      <c r="GXY18" s="130"/>
      <c r="GYI18" s="130"/>
      <c r="GYS18" s="130"/>
      <c r="GZC18" s="130"/>
      <c r="GZM18" s="130"/>
      <c r="GZW18" s="130"/>
      <c r="HAG18" s="130"/>
      <c r="HAQ18" s="130"/>
      <c r="HBA18" s="130"/>
      <c r="HBK18" s="130"/>
      <c r="HBU18" s="130"/>
      <c r="HCE18" s="130"/>
      <c r="HCO18" s="130"/>
      <c r="HCY18" s="130"/>
      <c r="HDI18" s="130"/>
      <c r="HDS18" s="130"/>
      <c r="HEC18" s="130"/>
      <c r="HEM18" s="130"/>
      <c r="HEW18" s="130"/>
      <c r="HFG18" s="130"/>
      <c r="HFQ18" s="130"/>
      <c r="HGA18" s="130"/>
      <c r="HGK18" s="130"/>
      <c r="HGU18" s="130"/>
      <c r="HHE18" s="130"/>
      <c r="HHO18" s="130"/>
      <c r="HHY18" s="130"/>
      <c r="HII18" s="130"/>
      <c r="HIS18" s="130"/>
      <c r="HJC18" s="130"/>
      <c r="HJM18" s="130"/>
      <c r="HJW18" s="130"/>
      <c r="HKG18" s="130"/>
      <c r="HKQ18" s="130"/>
      <c r="HLA18" s="130"/>
      <c r="HLK18" s="130"/>
      <c r="HLU18" s="130"/>
      <c r="HME18" s="130"/>
      <c r="HMO18" s="130"/>
      <c r="HMY18" s="130"/>
      <c r="HNI18" s="130"/>
      <c r="HNS18" s="130"/>
      <c r="HOC18" s="130"/>
      <c r="HOM18" s="130"/>
      <c r="HOW18" s="130"/>
      <c r="HPG18" s="130"/>
      <c r="HPQ18" s="130"/>
      <c r="HQA18" s="130"/>
      <c r="HQK18" s="130"/>
      <c r="HQU18" s="130"/>
      <c r="HRE18" s="130"/>
      <c r="HRO18" s="130"/>
      <c r="HRY18" s="130"/>
      <c r="HSI18" s="130"/>
      <c r="HSS18" s="130"/>
      <c r="HTC18" s="130"/>
      <c r="HTM18" s="130"/>
      <c r="HTW18" s="130"/>
      <c r="HUG18" s="130"/>
      <c r="HUQ18" s="130"/>
      <c r="HVA18" s="130"/>
      <c r="HVK18" s="130"/>
      <c r="HVU18" s="130"/>
      <c r="HWE18" s="130"/>
      <c r="HWO18" s="130"/>
      <c r="HWY18" s="130"/>
      <c r="HXI18" s="130"/>
      <c r="HXS18" s="130"/>
      <c r="HYC18" s="130"/>
      <c r="HYM18" s="130"/>
      <c r="HYW18" s="130"/>
      <c r="HZG18" s="130"/>
      <c r="HZQ18" s="130"/>
      <c r="IAA18" s="130"/>
      <c r="IAK18" s="130"/>
      <c r="IAU18" s="130"/>
      <c r="IBE18" s="130"/>
      <c r="IBO18" s="130"/>
      <c r="IBY18" s="130"/>
      <c r="ICI18" s="130"/>
      <c r="ICS18" s="130"/>
      <c r="IDC18" s="130"/>
      <c r="IDM18" s="130"/>
      <c r="IDW18" s="130"/>
      <c r="IEG18" s="130"/>
      <c r="IEQ18" s="130"/>
      <c r="IFA18" s="130"/>
      <c r="IFK18" s="130"/>
      <c r="IFU18" s="130"/>
      <c r="IGE18" s="130"/>
      <c r="IGO18" s="130"/>
      <c r="IGY18" s="130"/>
      <c r="IHI18" s="130"/>
      <c r="IHS18" s="130"/>
      <c r="IIC18" s="130"/>
      <c r="IIM18" s="130"/>
      <c r="IIW18" s="130"/>
      <c r="IJG18" s="130"/>
      <c r="IJQ18" s="130"/>
      <c r="IKA18" s="130"/>
      <c r="IKK18" s="130"/>
      <c r="IKU18" s="130"/>
      <c r="ILE18" s="130"/>
      <c r="ILO18" s="130"/>
      <c r="ILY18" s="130"/>
      <c r="IMI18" s="130"/>
      <c r="IMS18" s="130"/>
      <c r="INC18" s="130"/>
      <c r="INM18" s="130"/>
      <c r="INW18" s="130"/>
      <c r="IOG18" s="130"/>
      <c r="IOQ18" s="130"/>
      <c r="IPA18" s="130"/>
      <c r="IPK18" s="130"/>
      <c r="IPU18" s="130"/>
      <c r="IQE18" s="130"/>
      <c r="IQO18" s="130"/>
      <c r="IQY18" s="130"/>
      <c r="IRI18" s="130"/>
      <c r="IRS18" s="130"/>
      <c r="ISC18" s="130"/>
      <c r="ISM18" s="130"/>
      <c r="ISW18" s="130"/>
      <c r="ITG18" s="130"/>
      <c r="ITQ18" s="130"/>
      <c r="IUA18" s="130"/>
      <c r="IUK18" s="130"/>
      <c r="IUU18" s="130"/>
      <c r="IVE18" s="130"/>
      <c r="IVO18" s="130"/>
      <c r="IVY18" s="130"/>
      <c r="IWI18" s="130"/>
      <c r="IWS18" s="130"/>
      <c r="IXC18" s="130"/>
      <c r="IXM18" s="130"/>
      <c r="IXW18" s="130"/>
      <c r="IYG18" s="130"/>
      <c r="IYQ18" s="130"/>
      <c r="IZA18" s="130"/>
      <c r="IZK18" s="130"/>
      <c r="IZU18" s="130"/>
      <c r="JAE18" s="130"/>
      <c r="JAO18" s="130"/>
      <c r="JAY18" s="130"/>
      <c r="JBI18" s="130"/>
      <c r="JBS18" s="130"/>
      <c r="JCC18" s="130"/>
      <c r="JCM18" s="130"/>
      <c r="JCW18" s="130"/>
      <c r="JDG18" s="130"/>
      <c r="JDQ18" s="130"/>
      <c r="JEA18" s="130"/>
      <c r="JEK18" s="130"/>
      <c r="JEU18" s="130"/>
      <c r="JFE18" s="130"/>
      <c r="JFO18" s="130"/>
      <c r="JFY18" s="130"/>
      <c r="JGI18" s="130"/>
      <c r="JGS18" s="130"/>
      <c r="JHC18" s="130"/>
      <c r="JHM18" s="130"/>
      <c r="JHW18" s="130"/>
      <c r="JIG18" s="130"/>
      <c r="JIQ18" s="130"/>
      <c r="JJA18" s="130"/>
      <c r="JJK18" s="130"/>
      <c r="JJU18" s="130"/>
      <c r="JKE18" s="130"/>
      <c r="JKO18" s="130"/>
      <c r="JKY18" s="130"/>
      <c r="JLI18" s="130"/>
      <c r="JLS18" s="130"/>
      <c r="JMC18" s="130"/>
      <c r="JMM18" s="130"/>
      <c r="JMW18" s="130"/>
      <c r="JNG18" s="130"/>
      <c r="JNQ18" s="130"/>
      <c r="JOA18" s="130"/>
      <c r="JOK18" s="130"/>
      <c r="JOU18" s="130"/>
      <c r="JPE18" s="130"/>
      <c r="JPO18" s="130"/>
      <c r="JPY18" s="130"/>
      <c r="JQI18" s="130"/>
      <c r="JQS18" s="130"/>
      <c r="JRC18" s="130"/>
      <c r="JRM18" s="130"/>
      <c r="JRW18" s="130"/>
      <c r="JSG18" s="130"/>
      <c r="JSQ18" s="130"/>
      <c r="JTA18" s="130"/>
      <c r="JTK18" s="130"/>
      <c r="JTU18" s="130"/>
      <c r="JUE18" s="130"/>
      <c r="JUO18" s="130"/>
      <c r="JUY18" s="130"/>
      <c r="JVI18" s="130"/>
      <c r="JVS18" s="130"/>
      <c r="JWC18" s="130"/>
      <c r="JWM18" s="130"/>
      <c r="JWW18" s="130"/>
      <c r="JXG18" s="130"/>
      <c r="JXQ18" s="130"/>
      <c r="JYA18" s="130"/>
      <c r="JYK18" s="130"/>
      <c r="JYU18" s="130"/>
      <c r="JZE18" s="130"/>
      <c r="JZO18" s="130"/>
      <c r="JZY18" s="130"/>
      <c r="KAI18" s="130"/>
      <c r="KAS18" s="130"/>
      <c r="KBC18" s="130"/>
      <c r="KBM18" s="130"/>
      <c r="KBW18" s="130"/>
      <c r="KCG18" s="130"/>
      <c r="KCQ18" s="130"/>
      <c r="KDA18" s="130"/>
      <c r="KDK18" s="130"/>
      <c r="KDU18" s="130"/>
      <c r="KEE18" s="130"/>
      <c r="KEO18" s="130"/>
      <c r="KEY18" s="130"/>
      <c r="KFI18" s="130"/>
      <c r="KFS18" s="130"/>
      <c r="KGC18" s="130"/>
      <c r="KGM18" s="130"/>
      <c r="KGW18" s="130"/>
      <c r="KHG18" s="130"/>
      <c r="KHQ18" s="130"/>
      <c r="KIA18" s="130"/>
      <c r="KIK18" s="130"/>
      <c r="KIU18" s="130"/>
      <c r="KJE18" s="130"/>
      <c r="KJO18" s="130"/>
      <c r="KJY18" s="130"/>
      <c r="KKI18" s="130"/>
      <c r="KKS18" s="130"/>
      <c r="KLC18" s="130"/>
      <c r="KLM18" s="130"/>
      <c r="KLW18" s="130"/>
      <c r="KMG18" s="130"/>
      <c r="KMQ18" s="130"/>
      <c r="KNA18" s="130"/>
      <c r="KNK18" s="130"/>
      <c r="KNU18" s="130"/>
      <c r="KOE18" s="130"/>
      <c r="KOO18" s="130"/>
      <c r="KOY18" s="130"/>
      <c r="KPI18" s="130"/>
      <c r="KPS18" s="130"/>
      <c r="KQC18" s="130"/>
      <c r="KQM18" s="130"/>
      <c r="KQW18" s="130"/>
      <c r="KRG18" s="130"/>
      <c r="KRQ18" s="130"/>
      <c r="KSA18" s="130"/>
      <c r="KSK18" s="130"/>
      <c r="KSU18" s="130"/>
      <c r="KTE18" s="130"/>
      <c r="KTO18" s="130"/>
      <c r="KTY18" s="130"/>
      <c r="KUI18" s="130"/>
      <c r="KUS18" s="130"/>
      <c r="KVC18" s="130"/>
      <c r="KVM18" s="130"/>
      <c r="KVW18" s="130"/>
      <c r="KWG18" s="130"/>
      <c r="KWQ18" s="130"/>
      <c r="KXA18" s="130"/>
      <c r="KXK18" s="130"/>
      <c r="KXU18" s="130"/>
      <c r="KYE18" s="130"/>
      <c r="KYO18" s="130"/>
      <c r="KYY18" s="130"/>
      <c r="KZI18" s="130"/>
      <c r="KZS18" s="130"/>
      <c r="LAC18" s="130"/>
      <c r="LAM18" s="130"/>
      <c r="LAW18" s="130"/>
      <c r="LBG18" s="130"/>
      <c r="LBQ18" s="130"/>
      <c r="LCA18" s="130"/>
      <c r="LCK18" s="130"/>
      <c r="LCU18" s="130"/>
      <c r="LDE18" s="130"/>
      <c r="LDO18" s="130"/>
      <c r="LDY18" s="130"/>
      <c r="LEI18" s="130"/>
      <c r="LES18" s="130"/>
      <c r="LFC18" s="130"/>
      <c r="LFM18" s="130"/>
      <c r="LFW18" s="130"/>
      <c r="LGG18" s="130"/>
      <c r="LGQ18" s="130"/>
      <c r="LHA18" s="130"/>
      <c r="LHK18" s="130"/>
      <c r="LHU18" s="130"/>
      <c r="LIE18" s="130"/>
      <c r="LIO18" s="130"/>
      <c r="LIY18" s="130"/>
      <c r="LJI18" s="130"/>
      <c r="LJS18" s="130"/>
      <c r="LKC18" s="130"/>
      <c r="LKM18" s="130"/>
      <c r="LKW18" s="130"/>
      <c r="LLG18" s="130"/>
      <c r="LLQ18" s="130"/>
      <c r="LMA18" s="130"/>
      <c r="LMK18" s="130"/>
      <c r="LMU18" s="130"/>
      <c r="LNE18" s="130"/>
      <c r="LNO18" s="130"/>
      <c r="LNY18" s="130"/>
      <c r="LOI18" s="130"/>
      <c r="LOS18" s="130"/>
      <c r="LPC18" s="130"/>
      <c r="LPM18" s="130"/>
      <c r="LPW18" s="130"/>
      <c r="LQG18" s="130"/>
      <c r="LQQ18" s="130"/>
      <c r="LRA18" s="130"/>
      <c r="LRK18" s="130"/>
      <c r="LRU18" s="130"/>
      <c r="LSE18" s="130"/>
      <c r="LSO18" s="130"/>
      <c r="LSY18" s="130"/>
      <c r="LTI18" s="130"/>
      <c r="LTS18" s="130"/>
      <c r="LUC18" s="130"/>
      <c r="LUM18" s="130"/>
      <c r="LUW18" s="130"/>
      <c r="LVG18" s="130"/>
      <c r="LVQ18" s="130"/>
      <c r="LWA18" s="130"/>
      <c r="LWK18" s="130"/>
      <c r="LWU18" s="130"/>
      <c r="LXE18" s="130"/>
      <c r="LXO18" s="130"/>
      <c r="LXY18" s="130"/>
      <c r="LYI18" s="130"/>
      <c r="LYS18" s="130"/>
      <c r="LZC18" s="130"/>
      <c r="LZM18" s="130"/>
      <c r="LZW18" s="130"/>
      <c r="MAG18" s="130"/>
      <c r="MAQ18" s="130"/>
      <c r="MBA18" s="130"/>
      <c r="MBK18" s="130"/>
      <c r="MBU18" s="130"/>
      <c r="MCE18" s="130"/>
      <c r="MCO18" s="130"/>
      <c r="MCY18" s="130"/>
      <c r="MDI18" s="130"/>
      <c r="MDS18" s="130"/>
      <c r="MEC18" s="130"/>
      <c r="MEM18" s="130"/>
      <c r="MEW18" s="130"/>
      <c r="MFG18" s="130"/>
      <c r="MFQ18" s="130"/>
      <c r="MGA18" s="130"/>
      <c r="MGK18" s="130"/>
      <c r="MGU18" s="130"/>
      <c r="MHE18" s="130"/>
      <c r="MHO18" s="130"/>
      <c r="MHY18" s="130"/>
      <c r="MII18" s="130"/>
      <c r="MIS18" s="130"/>
      <c r="MJC18" s="130"/>
      <c r="MJM18" s="130"/>
      <c r="MJW18" s="130"/>
      <c r="MKG18" s="130"/>
      <c r="MKQ18" s="130"/>
      <c r="MLA18" s="130"/>
      <c r="MLK18" s="130"/>
      <c r="MLU18" s="130"/>
      <c r="MME18" s="130"/>
      <c r="MMO18" s="130"/>
      <c r="MMY18" s="130"/>
      <c r="MNI18" s="130"/>
      <c r="MNS18" s="130"/>
      <c r="MOC18" s="130"/>
      <c r="MOM18" s="130"/>
      <c r="MOW18" s="130"/>
      <c r="MPG18" s="130"/>
      <c r="MPQ18" s="130"/>
      <c r="MQA18" s="130"/>
      <c r="MQK18" s="130"/>
      <c r="MQU18" s="130"/>
      <c r="MRE18" s="130"/>
      <c r="MRO18" s="130"/>
      <c r="MRY18" s="130"/>
      <c r="MSI18" s="130"/>
      <c r="MSS18" s="130"/>
      <c r="MTC18" s="130"/>
      <c r="MTM18" s="130"/>
      <c r="MTW18" s="130"/>
      <c r="MUG18" s="130"/>
      <c r="MUQ18" s="130"/>
      <c r="MVA18" s="130"/>
      <c r="MVK18" s="130"/>
      <c r="MVU18" s="130"/>
      <c r="MWE18" s="130"/>
      <c r="MWO18" s="130"/>
      <c r="MWY18" s="130"/>
      <c r="MXI18" s="130"/>
      <c r="MXS18" s="130"/>
      <c r="MYC18" s="130"/>
      <c r="MYM18" s="130"/>
      <c r="MYW18" s="130"/>
      <c r="MZG18" s="130"/>
      <c r="MZQ18" s="130"/>
      <c r="NAA18" s="130"/>
      <c r="NAK18" s="130"/>
      <c r="NAU18" s="130"/>
      <c r="NBE18" s="130"/>
      <c r="NBO18" s="130"/>
      <c r="NBY18" s="130"/>
      <c r="NCI18" s="130"/>
      <c r="NCS18" s="130"/>
      <c r="NDC18" s="130"/>
      <c r="NDM18" s="130"/>
      <c r="NDW18" s="130"/>
      <c r="NEG18" s="130"/>
      <c r="NEQ18" s="130"/>
      <c r="NFA18" s="130"/>
      <c r="NFK18" s="130"/>
      <c r="NFU18" s="130"/>
      <c r="NGE18" s="130"/>
      <c r="NGO18" s="130"/>
      <c r="NGY18" s="130"/>
      <c r="NHI18" s="130"/>
      <c r="NHS18" s="130"/>
      <c r="NIC18" s="130"/>
      <c r="NIM18" s="130"/>
      <c r="NIW18" s="130"/>
      <c r="NJG18" s="130"/>
      <c r="NJQ18" s="130"/>
      <c r="NKA18" s="130"/>
      <c r="NKK18" s="130"/>
      <c r="NKU18" s="130"/>
      <c r="NLE18" s="130"/>
      <c r="NLO18" s="130"/>
      <c r="NLY18" s="130"/>
      <c r="NMI18" s="130"/>
      <c r="NMS18" s="130"/>
      <c r="NNC18" s="130"/>
      <c r="NNM18" s="130"/>
      <c r="NNW18" s="130"/>
      <c r="NOG18" s="130"/>
      <c r="NOQ18" s="130"/>
      <c r="NPA18" s="130"/>
      <c r="NPK18" s="130"/>
      <c r="NPU18" s="130"/>
      <c r="NQE18" s="130"/>
      <c r="NQO18" s="130"/>
      <c r="NQY18" s="130"/>
      <c r="NRI18" s="130"/>
      <c r="NRS18" s="130"/>
      <c r="NSC18" s="130"/>
      <c r="NSM18" s="130"/>
      <c r="NSW18" s="130"/>
      <c r="NTG18" s="130"/>
      <c r="NTQ18" s="130"/>
      <c r="NUA18" s="130"/>
      <c r="NUK18" s="130"/>
      <c r="NUU18" s="130"/>
      <c r="NVE18" s="130"/>
      <c r="NVO18" s="130"/>
      <c r="NVY18" s="130"/>
      <c r="NWI18" s="130"/>
      <c r="NWS18" s="130"/>
      <c r="NXC18" s="130"/>
      <c r="NXM18" s="130"/>
      <c r="NXW18" s="130"/>
      <c r="NYG18" s="130"/>
      <c r="NYQ18" s="130"/>
      <c r="NZA18" s="130"/>
      <c r="NZK18" s="130"/>
      <c r="NZU18" s="130"/>
      <c r="OAE18" s="130"/>
      <c r="OAO18" s="130"/>
      <c r="OAY18" s="130"/>
      <c r="OBI18" s="130"/>
      <c r="OBS18" s="130"/>
      <c r="OCC18" s="130"/>
      <c r="OCM18" s="130"/>
      <c r="OCW18" s="130"/>
      <c r="ODG18" s="130"/>
      <c r="ODQ18" s="130"/>
      <c r="OEA18" s="130"/>
      <c r="OEK18" s="130"/>
      <c r="OEU18" s="130"/>
      <c r="OFE18" s="130"/>
      <c r="OFO18" s="130"/>
      <c r="OFY18" s="130"/>
      <c r="OGI18" s="130"/>
      <c r="OGS18" s="130"/>
      <c r="OHC18" s="130"/>
      <c r="OHM18" s="130"/>
      <c r="OHW18" s="130"/>
      <c r="OIG18" s="130"/>
      <c r="OIQ18" s="130"/>
      <c r="OJA18" s="130"/>
      <c r="OJK18" s="130"/>
      <c r="OJU18" s="130"/>
      <c r="OKE18" s="130"/>
      <c r="OKO18" s="130"/>
      <c r="OKY18" s="130"/>
      <c r="OLI18" s="130"/>
      <c r="OLS18" s="130"/>
      <c r="OMC18" s="130"/>
      <c r="OMM18" s="130"/>
      <c r="OMW18" s="130"/>
      <c r="ONG18" s="130"/>
      <c r="ONQ18" s="130"/>
      <c r="OOA18" s="130"/>
      <c r="OOK18" s="130"/>
      <c r="OOU18" s="130"/>
      <c r="OPE18" s="130"/>
      <c r="OPO18" s="130"/>
      <c r="OPY18" s="130"/>
      <c r="OQI18" s="130"/>
      <c r="OQS18" s="130"/>
      <c r="ORC18" s="130"/>
      <c r="ORM18" s="130"/>
      <c r="ORW18" s="130"/>
      <c r="OSG18" s="130"/>
      <c r="OSQ18" s="130"/>
      <c r="OTA18" s="130"/>
      <c r="OTK18" s="130"/>
      <c r="OTU18" s="130"/>
      <c r="OUE18" s="130"/>
      <c r="OUO18" s="130"/>
      <c r="OUY18" s="130"/>
      <c r="OVI18" s="130"/>
      <c r="OVS18" s="130"/>
      <c r="OWC18" s="130"/>
      <c r="OWM18" s="130"/>
      <c r="OWW18" s="130"/>
      <c r="OXG18" s="130"/>
      <c r="OXQ18" s="130"/>
      <c r="OYA18" s="130"/>
      <c r="OYK18" s="130"/>
      <c r="OYU18" s="130"/>
      <c r="OZE18" s="130"/>
      <c r="OZO18" s="130"/>
      <c r="OZY18" s="130"/>
      <c r="PAI18" s="130"/>
      <c r="PAS18" s="130"/>
      <c r="PBC18" s="130"/>
      <c r="PBM18" s="130"/>
      <c r="PBW18" s="130"/>
      <c r="PCG18" s="130"/>
      <c r="PCQ18" s="130"/>
      <c r="PDA18" s="130"/>
      <c r="PDK18" s="130"/>
      <c r="PDU18" s="130"/>
      <c r="PEE18" s="130"/>
      <c r="PEO18" s="130"/>
      <c r="PEY18" s="130"/>
      <c r="PFI18" s="130"/>
      <c r="PFS18" s="130"/>
      <c r="PGC18" s="130"/>
      <c r="PGM18" s="130"/>
      <c r="PGW18" s="130"/>
      <c r="PHG18" s="130"/>
      <c r="PHQ18" s="130"/>
      <c r="PIA18" s="130"/>
      <c r="PIK18" s="130"/>
      <c r="PIU18" s="130"/>
      <c r="PJE18" s="130"/>
      <c r="PJO18" s="130"/>
      <c r="PJY18" s="130"/>
      <c r="PKI18" s="130"/>
      <c r="PKS18" s="130"/>
      <c r="PLC18" s="130"/>
      <c r="PLM18" s="130"/>
      <c r="PLW18" s="130"/>
      <c r="PMG18" s="130"/>
      <c r="PMQ18" s="130"/>
      <c r="PNA18" s="130"/>
      <c r="PNK18" s="130"/>
      <c r="PNU18" s="130"/>
      <c r="POE18" s="130"/>
      <c r="POO18" s="130"/>
      <c r="POY18" s="130"/>
      <c r="PPI18" s="130"/>
      <c r="PPS18" s="130"/>
      <c r="PQC18" s="130"/>
      <c r="PQM18" s="130"/>
      <c r="PQW18" s="130"/>
      <c r="PRG18" s="130"/>
      <c r="PRQ18" s="130"/>
      <c r="PSA18" s="130"/>
      <c r="PSK18" s="130"/>
      <c r="PSU18" s="130"/>
      <c r="PTE18" s="130"/>
      <c r="PTO18" s="130"/>
      <c r="PTY18" s="130"/>
      <c r="PUI18" s="130"/>
      <c r="PUS18" s="130"/>
      <c r="PVC18" s="130"/>
      <c r="PVM18" s="130"/>
      <c r="PVW18" s="130"/>
      <c r="PWG18" s="130"/>
      <c r="PWQ18" s="130"/>
      <c r="PXA18" s="130"/>
      <c r="PXK18" s="130"/>
      <c r="PXU18" s="130"/>
      <c r="PYE18" s="130"/>
      <c r="PYO18" s="130"/>
      <c r="PYY18" s="130"/>
      <c r="PZI18" s="130"/>
      <c r="PZS18" s="130"/>
      <c r="QAC18" s="130"/>
      <c r="QAM18" s="130"/>
      <c r="QAW18" s="130"/>
      <c r="QBG18" s="130"/>
      <c r="QBQ18" s="130"/>
      <c r="QCA18" s="130"/>
      <c r="QCK18" s="130"/>
      <c r="QCU18" s="130"/>
      <c r="QDE18" s="130"/>
      <c r="QDO18" s="130"/>
      <c r="QDY18" s="130"/>
      <c r="QEI18" s="130"/>
      <c r="QES18" s="130"/>
      <c r="QFC18" s="130"/>
      <c r="QFM18" s="130"/>
      <c r="QFW18" s="130"/>
      <c r="QGG18" s="130"/>
      <c r="QGQ18" s="130"/>
      <c r="QHA18" s="130"/>
      <c r="QHK18" s="130"/>
      <c r="QHU18" s="130"/>
      <c r="QIE18" s="130"/>
      <c r="QIO18" s="130"/>
      <c r="QIY18" s="130"/>
      <c r="QJI18" s="130"/>
      <c r="QJS18" s="130"/>
      <c r="QKC18" s="130"/>
      <c r="QKM18" s="130"/>
      <c r="QKW18" s="130"/>
      <c r="QLG18" s="130"/>
      <c r="QLQ18" s="130"/>
      <c r="QMA18" s="130"/>
      <c r="QMK18" s="130"/>
      <c r="QMU18" s="130"/>
      <c r="QNE18" s="130"/>
      <c r="QNO18" s="130"/>
      <c r="QNY18" s="130"/>
      <c r="QOI18" s="130"/>
      <c r="QOS18" s="130"/>
      <c r="QPC18" s="130"/>
      <c r="QPM18" s="130"/>
      <c r="QPW18" s="130"/>
      <c r="QQG18" s="130"/>
      <c r="QQQ18" s="130"/>
      <c r="QRA18" s="130"/>
      <c r="QRK18" s="130"/>
      <c r="QRU18" s="130"/>
      <c r="QSE18" s="130"/>
      <c r="QSO18" s="130"/>
      <c r="QSY18" s="130"/>
      <c r="QTI18" s="130"/>
      <c r="QTS18" s="130"/>
      <c r="QUC18" s="130"/>
      <c r="QUM18" s="130"/>
      <c r="QUW18" s="130"/>
      <c r="QVG18" s="130"/>
      <c r="QVQ18" s="130"/>
      <c r="QWA18" s="130"/>
      <c r="QWK18" s="130"/>
      <c r="QWU18" s="130"/>
      <c r="QXE18" s="130"/>
      <c r="QXO18" s="130"/>
      <c r="QXY18" s="130"/>
      <c r="QYI18" s="130"/>
      <c r="QYS18" s="130"/>
      <c r="QZC18" s="130"/>
      <c r="QZM18" s="130"/>
      <c r="QZW18" s="130"/>
      <c r="RAG18" s="130"/>
      <c r="RAQ18" s="130"/>
      <c r="RBA18" s="130"/>
      <c r="RBK18" s="130"/>
      <c r="RBU18" s="130"/>
      <c r="RCE18" s="130"/>
      <c r="RCO18" s="130"/>
      <c r="RCY18" s="130"/>
      <c r="RDI18" s="130"/>
      <c r="RDS18" s="130"/>
      <c r="REC18" s="130"/>
      <c r="REM18" s="130"/>
      <c r="REW18" s="130"/>
      <c r="RFG18" s="130"/>
      <c r="RFQ18" s="130"/>
      <c r="RGA18" s="130"/>
      <c r="RGK18" s="130"/>
      <c r="RGU18" s="130"/>
      <c r="RHE18" s="130"/>
      <c r="RHO18" s="130"/>
      <c r="RHY18" s="130"/>
      <c r="RII18" s="130"/>
      <c r="RIS18" s="130"/>
      <c r="RJC18" s="130"/>
      <c r="RJM18" s="130"/>
      <c r="RJW18" s="130"/>
      <c r="RKG18" s="130"/>
      <c r="RKQ18" s="130"/>
      <c r="RLA18" s="130"/>
      <c r="RLK18" s="130"/>
      <c r="RLU18" s="130"/>
      <c r="RME18" s="130"/>
      <c r="RMO18" s="130"/>
      <c r="RMY18" s="130"/>
      <c r="RNI18" s="130"/>
      <c r="RNS18" s="130"/>
      <c r="ROC18" s="130"/>
      <c r="ROM18" s="130"/>
      <c r="ROW18" s="130"/>
      <c r="RPG18" s="130"/>
      <c r="RPQ18" s="130"/>
      <c r="RQA18" s="130"/>
      <c r="RQK18" s="130"/>
      <c r="RQU18" s="130"/>
      <c r="RRE18" s="130"/>
      <c r="RRO18" s="130"/>
      <c r="RRY18" s="130"/>
      <c r="RSI18" s="130"/>
      <c r="RSS18" s="130"/>
      <c r="RTC18" s="130"/>
      <c r="RTM18" s="130"/>
      <c r="RTW18" s="130"/>
      <c r="RUG18" s="130"/>
      <c r="RUQ18" s="130"/>
      <c r="RVA18" s="130"/>
      <c r="RVK18" s="130"/>
      <c r="RVU18" s="130"/>
      <c r="RWE18" s="130"/>
      <c r="RWO18" s="130"/>
      <c r="RWY18" s="130"/>
      <c r="RXI18" s="130"/>
      <c r="RXS18" s="130"/>
      <c r="RYC18" s="130"/>
      <c r="RYM18" s="130"/>
      <c r="RYW18" s="130"/>
      <c r="RZG18" s="130"/>
      <c r="RZQ18" s="130"/>
      <c r="SAA18" s="130"/>
      <c r="SAK18" s="130"/>
      <c r="SAU18" s="130"/>
      <c r="SBE18" s="130"/>
      <c r="SBO18" s="130"/>
      <c r="SBY18" s="130"/>
      <c r="SCI18" s="130"/>
      <c r="SCS18" s="130"/>
      <c r="SDC18" s="130"/>
      <c r="SDM18" s="130"/>
      <c r="SDW18" s="130"/>
      <c r="SEG18" s="130"/>
      <c r="SEQ18" s="130"/>
      <c r="SFA18" s="130"/>
      <c r="SFK18" s="130"/>
      <c r="SFU18" s="130"/>
      <c r="SGE18" s="130"/>
      <c r="SGO18" s="130"/>
      <c r="SGY18" s="130"/>
      <c r="SHI18" s="130"/>
      <c r="SHS18" s="130"/>
      <c r="SIC18" s="130"/>
      <c r="SIM18" s="130"/>
      <c r="SIW18" s="130"/>
      <c r="SJG18" s="130"/>
      <c r="SJQ18" s="130"/>
      <c r="SKA18" s="130"/>
      <c r="SKK18" s="130"/>
      <c r="SKU18" s="130"/>
      <c r="SLE18" s="130"/>
      <c r="SLO18" s="130"/>
      <c r="SLY18" s="130"/>
      <c r="SMI18" s="130"/>
      <c r="SMS18" s="130"/>
      <c r="SNC18" s="130"/>
      <c r="SNM18" s="130"/>
      <c r="SNW18" s="130"/>
      <c r="SOG18" s="130"/>
      <c r="SOQ18" s="130"/>
      <c r="SPA18" s="130"/>
      <c r="SPK18" s="130"/>
      <c r="SPU18" s="130"/>
      <c r="SQE18" s="130"/>
      <c r="SQO18" s="130"/>
      <c r="SQY18" s="130"/>
      <c r="SRI18" s="130"/>
      <c r="SRS18" s="130"/>
      <c r="SSC18" s="130"/>
      <c r="SSM18" s="130"/>
      <c r="SSW18" s="130"/>
      <c r="STG18" s="130"/>
      <c r="STQ18" s="130"/>
      <c r="SUA18" s="130"/>
      <c r="SUK18" s="130"/>
      <c r="SUU18" s="130"/>
      <c r="SVE18" s="130"/>
      <c r="SVO18" s="130"/>
      <c r="SVY18" s="130"/>
      <c r="SWI18" s="130"/>
      <c r="SWS18" s="130"/>
      <c r="SXC18" s="130"/>
      <c r="SXM18" s="130"/>
      <c r="SXW18" s="130"/>
      <c r="SYG18" s="130"/>
      <c r="SYQ18" s="130"/>
      <c r="SZA18" s="130"/>
      <c r="SZK18" s="130"/>
      <c r="SZU18" s="130"/>
      <c r="TAE18" s="130"/>
      <c r="TAO18" s="130"/>
      <c r="TAY18" s="130"/>
      <c r="TBI18" s="130"/>
      <c r="TBS18" s="130"/>
      <c r="TCC18" s="130"/>
      <c r="TCM18" s="130"/>
      <c r="TCW18" s="130"/>
      <c r="TDG18" s="130"/>
      <c r="TDQ18" s="130"/>
      <c r="TEA18" s="130"/>
      <c r="TEK18" s="130"/>
      <c r="TEU18" s="130"/>
      <c r="TFE18" s="130"/>
      <c r="TFO18" s="130"/>
      <c r="TFY18" s="130"/>
      <c r="TGI18" s="130"/>
      <c r="TGS18" s="130"/>
      <c r="THC18" s="130"/>
      <c r="THM18" s="130"/>
      <c r="THW18" s="130"/>
      <c r="TIG18" s="130"/>
      <c r="TIQ18" s="130"/>
      <c r="TJA18" s="130"/>
      <c r="TJK18" s="130"/>
      <c r="TJU18" s="130"/>
      <c r="TKE18" s="130"/>
      <c r="TKO18" s="130"/>
      <c r="TKY18" s="130"/>
      <c r="TLI18" s="130"/>
      <c r="TLS18" s="130"/>
      <c r="TMC18" s="130"/>
      <c r="TMM18" s="130"/>
      <c r="TMW18" s="130"/>
      <c r="TNG18" s="130"/>
      <c r="TNQ18" s="130"/>
      <c r="TOA18" s="130"/>
      <c r="TOK18" s="130"/>
      <c r="TOU18" s="130"/>
      <c r="TPE18" s="130"/>
      <c r="TPO18" s="130"/>
      <c r="TPY18" s="130"/>
      <c r="TQI18" s="130"/>
      <c r="TQS18" s="130"/>
      <c r="TRC18" s="130"/>
      <c r="TRM18" s="130"/>
      <c r="TRW18" s="130"/>
      <c r="TSG18" s="130"/>
      <c r="TSQ18" s="130"/>
      <c r="TTA18" s="130"/>
      <c r="TTK18" s="130"/>
      <c r="TTU18" s="130"/>
      <c r="TUE18" s="130"/>
      <c r="TUO18" s="130"/>
      <c r="TUY18" s="130"/>
      <c r="TVI18" s="130"/>
      <c r="TVS18" s="130"/>
      <c r="TWC18" s="130"/>
      <c r="TWM18" s="130"/>
      <c r="TWW18" s="130"/>
      <c r="TXG18" s="130"/>
      <c r="TXQ18" s="130"/>
      <c r="TYA18" s="130"/>
      <c r="TYK18" s="130"/>
      <c r="TYU18" s="130"/>
      <c r="TZE18" s="130"/>
      <c r="TZO18" s="130"/>
      <c r="TZY18" s="130"/>
      <c r="UAI18" s="130"/>
      <c r="UAS18" s="130"/>
      <c r="UBC18" s="130"/>
      <c r="UBM18" s="130"/>
      <c r="UBW18" s="130"/>
      <c r="UCG18" s="130"/>
      <c r="UCQ18" s="130"/>
      <c r="UDA18" s="130"/>
      <c r="UDK18" s="130"/>
      <c r="UDU18" s="130"/>
      <c r="UEE18" s="130"/>
      <c r="UEO18" s="130"/>
      <c r="UEY18" s="130"/>
      <c r="UFI18" s="130"/>
      <c r="UFS18" s="130"/>
      <c r="UGC18" s="130"/>
      <c r="UGM18" s="130"/>
      <c r="UGW18" s="130"/>
      <c r="UHG18" s="130"/>
      <c r="UHQ18" s="130"/>
      <c r="UIA18" s="130"/>
      <c r="UIK18" s="130"/>
      <c r="UIU18" s="130"/>
      <c r="UJE18" s="130"/>
      <c r="UJO18" s="130"/>
      <c r="UJY18" s="130"/>
      <c r="UKI18" s="130"/>
      <c r="UKS18" s="130"/>
      <c r="ULC18" s="130"/>
      <c r="ULM18" s="130"/>
      <c r="ULW18" s="130"/>
      <c r="UMG18" s="130"/>
      <c r="UMQ18" s="130"/>
      <c r="UNA18" s="130"/>
      <c r="UNK18" s="130"/>
      <c r="UNU18" s="130"/>
      <c r="UOE18" s="130"/>
      <c r="UOO18" s="130"/>
      <c r="UOY18" s="130"/>
      <c r="UPI18" s="130"/>
      <c r="UPS18" s="130"/>
      <c r="UQC18" s="130"/>
      <c r="UQM18" s="130"/>
      <c r="UQW18" s="130"/>
      <c r="URG18" s="130"/>
      <c r="URQ18" s="130"/>
      <c r="USA18" s="130"/>
      <c r="USK18" s="130"/>
      <c r="USU18" s="130"/>
      <c r="UTE18" s="130"/>
      <c r="UTO18" s="130"/>
      <c r="UTY18" s="130"/>
      <c r="UUI18" s="130"/>
      <c r="UUS18" s="130"/>
      <c r="UVC18" s="130"/>
      <c r="UVM18" s="130"/>
      <c r="UVW18" s="130"/>
      <c r="UWG18" s="130"/>
      <c r="UWQ18" s="130"/>
      <c r="UXA18" s="130"/>
      <c r="UXK18" s="130"/>
      <c r="UXU18" s="130"/>
      <c r="UYE18" s="130"/>
      <c r="UYO18" s="130"/>
      <c r="UYY18" s="130"/>
      <c r="UZI18" s="130"/>
      <c r="UZS18" s="130"/>
      <c r="VAC18" s="130"/>
      <c r="VAM18" s="130"/>
      <c r="VAW18" s="130"/>
      <c r="VBG18" s="130"/>
      <c r="VBQ18" s="130"/>
      <c r="VCA18" s="130"/>
      <c r="VCK18" s="130"/>
      <c r="VCU18" s="130"/>
      <c r="VDE18" s="130"/>
      <c r="VDO18" s="130"/>
      <c r="VDY18" s="130"/>
      <c r="VEI18" s="130"/>
      <c r="VES18" s="130"/>
      <c r="VFC18" s="130"/>
      <c r="VFM18" s="130"/>
      <c r="VFW18" s="130"/>
      <c r="VGG18" s="130"/>
      <c r="VGQ18" s="130"/>
      <c r="VHA18" s="130"/>
      <c r="VHK18" s="130"/>
      <c r="VHU18" s="130"/>
      <c r="VIE18" s="130"/>
      <c r="VIO18" s="130"/>
      <c r="VIY18" s="130"/>
      <c r="VJI18" s="130"/>
      <c r="VJS18" s="130"/>
      <c r="VKC18" s="130"/>
      <c r="VKM18" s="130"/>
      <c r="VKW18" s="130"/>
      <c r="VLG18" s="130"/>
      <c r="VLQ18" s="130"/>
      <c r="VMA18" s="130"/>
      <c r="VMK18" s="130"/>
      <c r="VMU18" s="130"/>
      <c r="VNE18" s="130"/>
      <c r="VNO18" s="130"/>
      <c r="VNY18" s="130"/>
      <c r="VOI18" s="130"/>
      <c r="VOS18" s="130"/>
      <c r="VPC18" s="130"/>
      <c r="VPM18" s="130"/>
      <c r="VPW18" s="130"/>
      <c r="VQG18" s="130"/>
      <c r="VQQ18" s="130"/>
      <c r="VRA18" s="130"/>
      <c r="VRK18" s="130"/>
      <c r="VRU18" s="130"/>
      <c r="VSE18" s="130"/>
      <c r="VSO18" s="130"/>
      <c r="VSY18" s="130"/>
      <c r="VTI18" s="130"/>
      <c r="VTS18" s="130"/>
      <c r="VUC18" s="130"/>
      <c r="VUM18" s="130"/>
      <c r="VUW18" s="130"/>
      <c r="VVG18" s="130"/>
      <c r="VVQ18" s="130"/>
      <c r="VWA18" s="130"/>
      <c r="VWK18" s="130"/>
      <c r="VWU18" s="130"/>
      <c r="VXE18" s="130"/>
      <c r="VXO18" s="130"/>
      <c r="VXY18" s="130"/>
      <c r="VYI18" s="130"/>
      <c r="VYS18" s="130"/>
      <c r="VZC18" s="130"/>
      <c r="VZM18" s="130"/>
      <c r="VZW18" s="130"/>
      <c r="WAG18" s="130"/>
      <c r="WAQ18" s="130"/>
      <c r="WBA18" s="130"/>
      <c r="WBK18" s="130"/>
      <c r="WBU18" s="130"/>
      <c r="WCE18" s="130"/>
      <c r="WCO18" s="130"/>
      <c r="WCY18" s="130"/>
      <c r="WDI18" s="130"/>
      <c r="WDS18" s="130"/>
      <c r="WEC18" s="130"/>
      <c r="WEM18" s="130"/>
      <c r="WEW18" s="130"/>
      <c r="WFG18" s="130"/>
      <c r="WFQ18" s="130"/>
      <c r="WGA18" s="130"/>
      <c r="WGK18" s="130"/>
      <c r="WGU18" s="130"/>
      <c r="WHE18" s="130"/>
      <c r="WHO18" s="130"/>
      <c r="WHY18" s="130"/>
      <c r="WII18" s="130"/>
      <c r="WIS18" s="130"/>
      <c r="WJC18" s="130"/>
      <c r="WJM18" s="130"/>
      <c r="WJW18" s="130"/>
      <c r="WKG18" s="130"/>
      <c r="WKQ18" s="130"/>
      <c r="WLA18" s="130"/>
      <c r="WLK18" s="130"/>
      <c r="WLU18" s="130"/>
      <c r="WME18" s="130"/>
      <c r="WMO18" s="130"/>
      <c r="WMY18" s="130"/>
      <c r="WNI18" s="130"/>
      <c r="WNS18" s="130"/>
      <c r="WOC18" s="130"/>
      <c r="WOM18" s="130"/>
      <c r="WOW18" s="130"/>
      <c r="WPG18" s="130"/>
      <c r="WPQ18" s="130"/>
      <c r="WQA18" s="130"/>
      <c r="WQK18" s="130"/>
      <c r="WQU18" s="130"/>
      <c r="WRE18" s="130"/>
      <c r="WRO18" s="130"/>
      <c r="WRY18" s="130"/>
      <c r="WSI18" s="130"/>
      <c r="WSS18" s="130"/>
      <c r="WTC18" s="130"/>
      <c r="WTM18" s="130"/>
      <c r="WTW18" s="130"/>
      <c r="WUG18" s="130"/>
      <c r="WUQ18" s="130"/>
      <c r="WVA18" s="130"/>
      <c r="WVK18" s="130"/>
      <c r="WVU18" s="130"/>
      <c r="WWE18" s="130"/>
      <c r="WWO18" s="130"/>
      <c r="WWY18" s="130"/>
      <c r="WXI18" s="130"/>
      <c r="WXS18" s="130"/>
      <c r="WYC18" s="130"/>
      <c r="WYM18" s="130"/>
      <c r="WYW18" s="130"/>
      <c r="WZG18" s="130"/>
      <c r="WZQ18" s="130"/>
      <c r="XAA18" s="130"/>
      <c r="XAK18" s="130"/>
      <c r="XAU18" s="130"/>
      <c r="XBE18" s="130"/>
      <c r="XBO18" s="130"/>
      <c r="XBY18" s="130"/>
      <c r="XCI18" s="130"/>
      <c r="XCS18" s="130"/>
      <c r="XDC18" s="130"/>
      <c r="XDM18" s="130"/>
      <c r="XDW18" s="130"/>
      <c r="XEG18" s="130"/>
      <c r="XEQ18" s="130"/>
      <c r="XFA18" s="130"/>
    </row>
    <row r="19" s="383" customFormat="1" ht="13.2" spans="1:16381">
      <c r="A19" s="130" t="s">
        <v>60</v>
      </c>
      <c r="B19" s="383">
        <v>2025</v>
      </c>
      <c r="C19" s="607" t="s">
        <v>831</v>
      </c>
      <c r="D19" s="383">
        <v>79.58</v>
      </c>
      <c r="E19" s="383">
        <v>7581.04</v>
      </c>
      <c r="F19" s="383">
        <v>24.99</v>
      </c>
      <c r="G19" s="383">
        <v>-291.86</v>
      </c>
      <c r="H19" s="383">
        <v>178.78</v>
      </c>
      <c r="I19" s="383">
        <v>0</v>
      </c>
      <c r="J19" s="383">
        <v>-88.09</v>
      </c>
      <c r="K19" s="130"/>
      <c r="U19" s="130"/>
      <c r="AE19" s="130"/>
      <c r="AO19" s="130"/>
      <c r="AY19" s="130"/>
      <c r="BI19" s="130"/>
      <c r="BS19" s="130"/>
      <c r="CC19" s="130"/>
      <c r="CM19" s="130"/>
      <c r="CW19" s="130"/>
      <c r="DG19" s="130"/>
      <c r="DQ19" s="130"/>
      <c r="EA19" s="130"/>
      <c r="EK19" s="130"/>
      <c r="EU19" s="130"/>
      <c r="FE19" s="130"/>
      <c r="FO19" s="130"/>
      <c r="FY19" s="130"/>
      <c r="GI19" s="130"/>
      <c r="GS19" s="130"/>
      <c r="HC19" s="130"/>
      <c r="HM19" s="130"/>
      <c r="HW19" s="130"/>
      <c r="IG19" s="130"/>
      <c r="IQ19" s="130"/>
      <c r="JA19" s="130"/>
      <c r="JK19" s="130"/>
      <c r="JU19" s="130"/>
      <c r="KE19" s="130"/>
      <c r="KO19" s="130"/>
      <c r="KY19" s="130"/>
      <c r="LI19" s="130"/>
      <c r="LS19" s="130"/>
      <c r="MC19" s="130"/>
      <c r="MM19" s="130"/>
      <c r="MW19" s="130"/>
      <c r="NG19" s="130"/>
      <c r="NQ19" s="130"/>
      <c r="OA19" s="130"/>
      <c r="OK19" s="130"/>
      <c r="OU19" s="130"/>
      <c r="PE19" s="130"/>
      <c r="PO19" s="130"/>
      <c r="PY19" s="130"/>
      <c r="QI19" s="130"/>
      <c r="QS19" s="130"/>
      <c r="RC19" s="130"/>
      <c r="RM19" s="130"/>
      <c r="RW19" s="130"/>
      <c r="SG19" s="130"/>
      <c r="SQ19" s="130"/>
      <c r="TA19" s="130"/>
      <c r="TK19" s="130"/>
      <c r="TU19" s="130"/>
      <c r="UE19" s="130"/>
      <c r="UO19" s="130"/>
      <c r="UY19" s="130"/>
      <c r="VI19" s="130"/>
      <c r="VS19" s="130"/>
      <c r="WC19" s="130"/>
      <c r="WM19" s="130"/>
      <c r="WW19" s="130"/>
      <c r="XG19" s="130"/>
      <c r="XQ19" s="130"/>
      <c r="YA19" s="130"/>
      <c r="YK19" s="130"/>
      <c r="YU19" s="130"/>
      <c r="ZE19" s="130"/>
      <c r="ZO19" s="130"/>
      <c r="ZY19" s="130"/>
      <c r="AAI19" s="130"/>
      <c r="AAS19" s="130"/>
      <c r="ABC19" s="130"/>
      <c r="ABM19" s="130"/>
      <c r="ABW19" s="130"/>
      <c r="ACG19" s="130"/>
      <c r="ACQ19" s="130"/>
      <c r="ADA19" s="130"/>
      <c r="ADK19" s="130"/>
      <c r="ADU19" s="130"/>
      <c r="AEE19" s="130"/>
      <c r="AEO19" s="130"/>
      <c r="AEY19" s="130"/>
      <c r="AFI19" s="130"/>
      <c r="AFS19" s="130"/>
      <c r="AGC19" s="130"/>
      <c r="AGM19" s="130"/>
      <c r="AGW19" s="130"/>
      <c r="AHG19" s="130"/>
      <c r="AHQ19" s="130"/>
      <c r="AIA19" s="130"/>
      <c r="AIK19" s="130"/>
      <c r="AIU19" s="130"/>
      <c r="AJE19" s="130"/>
      <c r="AJO19" s="130"/>
      <c r="AJY19" s="130"/>
      <c r="AKI19" s="130"/>
      <c r="AKS19" s="130"/>
      <c r="ALC19" s="130"/>
      <c r="ALM19" s="130"/>
      <c r="ALW19" s="130"/>
      <c r="AMG19" s="130"/>
      <c r="AMQ19" s="130"/>
      <c r="ANA19" s="130"/>
      <c r="ANK19" s="130"/>
      <c r="ANU19" s="130"/>
      <c r="AOE19" s="130"/>
      <c r="AOO19" s="130"/>
      <c r="AOY19" s="130"/>
      <c r="API19" s="130"/>
      <c r="APS19" s="130"/>
      <c r="AQC19" s="130"/>
      <c r="AQM19" s="130"/>
      <c r="AQW19" s="130"/>
      <c r="ARG19" s="130"/>
      <c r="ARQ19" s="130"/>
      <c r="ASA19" s="130"/>
      <c r="ASK19" s="130"/>
      <c r="ASU19" s="130"/>
      <c r="ATE19" s="130"/>
      <c r="ATO19" s="130"/>
      <c r="ATY19" s="130"/>
      <c r="AUI19" s="130"/>
      <c r="AUS19" s="130"/>
      <c r="AVC19" s="130"/>
      <c r="AVM19" s="130"/>
      <c r="AVW19" s="130"/>
      <c r="AWG19" s="130"/>
      <c r="AWQ19" s="130"/>
      <c r="AXA19" s="130"/>
      <c r="AXK19" s="130"/>
      <c r="AXU19" s="130"/>
      <c r="AYE19" s="130"/>
      <c r="AYO19" s="130"/>
      <c r="AYY19" s="130"/>
      <c r="AZI19" s="130"/>
      <c r="AZS19" s="130"/>
      <c r="BAC19" s="130"/>
      <c r="BAM19" s="130"/>
      <c r="BAW19" s="130"/>
      <c r="BBG19" s="130"/>
      <c r="BBQ19" s="130"/>
      <c r="BCA19" s="130"/>
      <c r="BCK19" s="130"/>
      <c r="BCU19" s="130"/>
      <c r="BDE19" s="130"/>
      <c r="BDO19" s="130"/>
      <c r="BDY19" s="130"/>
      <c r="BEI19" s="130"/>
      <c r="BES19" s="130"/>
      <c r="BFC19" s="130"/>
      <c r="BFM19" s="130"/>
      <c r="BFW19" s="130"/>
      <c r="BGG19" s="130"/>
      <c r="BGQ19" s="130"/>
      <c r="BHA19" s="130"/>
      <c r="BHK19" s="130"/>
      <c r="BHU19" s="130"/>
      <c r="BIE19" s="130"/>
      <c r="BIO19" s="130"/>
      <c r="BIY19" s="130"/>
      <c r="BJI19" s="130"/>
      <c r="BJS19" s="130"/>
      <c r="BKC19" s="130"/>
      <c r="BKM19" s="130"/>
      <c r="BKW19" s="130"/>
      <c r="BLG19" s="130"/>
      <c r="BLQ19" s="130"/>
      <c r="BMA19" s="130"/>
      <c r="BMK19" s="130"/>
      <c r="BMU19" s="130"/>
      <c r="BNE19" s="130"/>
      <c r="BNO19" s="130"/>
      <c r="BNY19" s="130"/>
      <c r="BOI19" s="130"/>
      <c r="BOS19" s="130"/>
      <c r="BPC19" s="130"/>
      <c r="BPM19" s="130"/>
      <c r="BPW19" s="130"/>
      <c r="BQG19" s="130"/>
      <c r="BQQ19" s="130"/>
      <c r="BRA19" s="130"/>
      <c r="BRK19" s="130"/>
      <c r="BRU19" s="130"/>
      <c r="BSE19" s="130"/>
      <c r="BSO19" s="130"/>
      <c r="BSY19" s="130"/>
      <c r="BTI19" s="130"/>
      <c r="BTS19" s="130"/>
      <c r="BUC19" s="130"/>
      <c r="BUM19" s="130"/>
      <c r="BUW19" s="130"/>
      <c r="BVG19" s="130"/>
      <c r="BVQ19" s="130"/>
      <c r="BWA19" s="130"/>
      <c r="BWK19" s="130"/>
      <c r="BWU19" s="130"/>
      <c r="BXE19" s="130"/>
      <c r="BXO19" s="130"/>
      <c r="BXY19" s="130"/>
      <c r="BYI19" s="130"/>
      <c r="BYS19" s="130"/>
      <c r="BZC19" s="130"/>
      <c r="BZM19" s="130"/>
      <c r="BZW19" s="130"/>
      <c r="CAG19" s="130"/>
      <c r="CAQ19" s="130"/>
      <c r="CBA19" s="130"/>
      <c r="CBK19" s="130"/>
      <c r="CBU19" s="130"/>
      <c r="CCE19" s="130"/>
      <c r="CCO19" s="130"/>
      <c r="CCY19" s="130"/>
      <c r="CDI19" s="130"/>
      <c r="CDS19" s="130"/>
      <c r="CEC19" s="130"/>
      <c r="CEM19" s="130"/>
      <c r="CEW19" s="130"/>
      <c r="CFG19" s="130"/>
      <c r="CFQ19" s="130"/>
      <c r="CGA19" s="130"/>
      <c r="CGK19" s="130"/>
      <c r="CGU19" s="130"/>
      <c r="CHE19" s="130"/>
      <c r="CHO19" s="130"/>
      <c r="CHY19" s="130"/>
      <c r="CII19" s="130"/>
      <c r="CIS19" s="130"/>
      <c r="CJC19" s="130"/>
      <c r="CJM19" s="130"/>
      <c r="CJW19" s="130"/>
      <c r="CKG19" s="130"/>
      <c r="CKQ19" s="130"/>
      <c r="CLA19" s="130"/>
      <c r="CLK19" s="130"/>
      <c r="CLU19" s="130"/>
      <c r="CME19" s="130"/>
      <c r="CMO19" s="130"/>
      <c r="CMY19" s="130"/>
      <c r="CNI19" s="130"/>
      <c r="CNS19" s="130"/>
      <c r="COC19" s="130"/>
      <c r="COM19" s="130"/>
      <c r="COW19" s="130"/>
      <c r="CPG19" s="130"/>
      <c r="CPQ19" s="130"/>
      <c r="CQA19" s="130"/>
      <c r="CQK19" s="130"/>
      <c r="CQU19" s="130"/>
      <c r="CRE19" s="130"/>
      <c r="CRO19" s="130"/>
      <c r="CRY19" s="130"/>
      <c r="CSI19" s="130"/>
      <c r="CSS19" s="130"/>
      <c r="CTC19" s="130"/>
      <c r="CTM19" s="130"/>
      <c r="CTW19" s="130"/>
      <c r="CUG19" s="130"/>
      <c r="CUQ19" s="130"/>
      <c r="CVA19" s="130"/>
      <c r="CVK19" s="130"/>
      <c r="CVU19" s="130"/>
      <c r="CWE19" s="130"/>
      <c r="CWO19" s="130"/>
      <c r="CWY19" s="130"/>
      <c r="CXI19" s="130"/>
      <c r="CXS19" s="130"/>
      <c r="CYC19" s="130"/>
      <c r="CYM19" s="130"/>
      <c r="CYW19" s="130"/>
      <c r="CZG19" s="130"/>
      <c r="CZQ19" s="130"/>
      <c r="DAA19" s="130"/>
      <c r="DAK19" s="130"/>
      <c r="DAU19" s="130"/>
      <c r="DBE19" s="130"/>
      <c r="DBO19" s="130"/>
      <c r="DBY19" s="130"/>
      <c r="DCI19" s="130"/>
      <c r="DCS19" s="130"/>
      <c r="DDC19" s="130"/>
      <c r="DDM19" s="130"/>
      <c r="DDW19" s="130"/>
      <c r="DEG19" s="130"/>
      <c r="DEQ19" s="130"/>
      <c r="DFA19" s="130"/>
      <c r="DFK19" s="130"/>
      <c r="DFU19" s="130"/>
      <c r="DGE19" s="130"/>
      <c r="DGO19" s="130"/>
      <c r="DGY19" s="130"/>
      <c r="DHI19" s="130"/>
      <c r="DHS19" s="130"/>
      <c r="DIC19" s="130"/>
      <c r="DIM19" s="130"/>
      <c r="DIW19" s="130"/>
      <c r="DJG19" s="130"/>
      <c r="DJQ19" s="130"/>
      <c r="DKA19" s="130"/>
      <c r="DKK19" s="130"/>
      <c r="DKU19" s="130"/>
      <c r="DLE19" s="130"/>
      <c r="DLO19" s="130"/>
      <c r="DLY19" s="130"/>
      <c r="DMI19" s="130"/>
      <c r="DMS19" s="130"/>
      <c r="DNC19" s="130"/>
      <c r="DNM19" s="130"/>
      <c r="DNW19" s="130"/>
      <c r="DOG19" s="130"/>
      <c r="DOQ19" s="130"/>
      <c r="DPA19" s="130"/>
      <c r="DPK19" s="130"/>
      <c r="DPU19" s="130"/>
      <c r="DQE19" s="130"/>
      <c r="DQO19" s="130"/>
      <c r="DQY19" s="130"/>
      <c r="DRI19" s="130"/>
      <c r="DRS19" s="130"/>
      <c r="DSC19" s="130"/>
      <c r="DSM19" s="130"/>
      <c r="DSW19" s="130"/>
      <c r="DTG19" s="130"/>
      <c r="DTQ19" s="130"/>
      <c r="DUA19" s="130"/>
      <c r="DUK19" s="130"/>
      <c r="DUU19" s="130"/>
      <c r="DVE19" s="130"/>
      <c r="DVO19" s="130"/>
      <c r="DVY19" s="130"/>
      <c r="DWI19" s="130"/>
      <c r="DWS19" s="130"/>
      <c r="DXC19" s="130"/>
      <c r="DXM19" s="130"/>
      <c r="DXW19" s="130"/>
      <c r="DYG19" s="130"/>
      <c r="DYQ19" s="130"/>
      <c r="DZA19" s="130"/>
      <c r="DZK19" s="130"/>
      <c r="DZU19" s="130"/>
      <c r="EAE19" s="130"/>
      <c r="EAO19" s="130"/>
      <c r="EAY19" s="130"/>
      <c r="EBI19" s="130"/>
      <c r="EBS19" s="130"/>
      <c r="ECC19" s="130"/>
      <c r="ECM19" s="130"/>
      <c r="ECW19" s="130"/>
      <c r="EDG19" s="130"/>
      <c r="EDQ19" s="130"/>
      <c r="EEA19" s="130"/>
      <c r="EEK19" s="130"/>
      <c r="EEU19" s="130"/>
      <c r="EFE19" s="130"/>
      <c r="EFO19" s="130"/>
      <c r="EFY19" s="130"/>
      <c r="EGI19" s="130"/>
      <c r="EGS19" s="130"/>
      <c r="EHC19" s="130"/>
      <c r="EHM19" s="130"/>
      <c r="EHW19" s="130"/>
      <c r="EIG19" s="130"/>
      <c r="EIQ19" s="130"/>
      <c r="EJA19" s="130"/>
      <c r="EJK19" s="130"/>
      <c r="EJU19" s="130"/>
      <c r="EKE19" s="130"/>
      <c r="EKO19" s="130"/>
      <c r="EKY19" s="130"/>
      <c r="ELI19" s="130"/>
      <c r="ELS19" s="130"/>
      <c r="EMC19" s="130"/>
      <c r="EMM19" s="130"/>
      <c r="EMW19" s="130"/>
      <c r="ENG19" s="130"/>
      <c r="ENQ19" s="130"/>
      <c r="EOA19" s="130"/>
      <c r="EOK19" s="130"/>
      <c r="EOU19" s="130"/>
      <c r="EPE19" s="130"/>
      <c r="EPO19" s="130"/>
      <c r="EPY19" s="130"/>
      <c r="EQI19" s="130"/>
      <c r="EQS19" s="130"/>
      <c r="ERC19" s="130"/>
      <c r="ERM19" s="130"/>
      <c r="ERW19" s="130"/>
      <c r="ESG19" s="130"/>
      <c r="ESQ19" s="130"/>
      <c r="ETA19" s="130"/>
      <c r="ETK19" s="130"/>
      <c r="ETU19" s="130"/>
      <c r="EUE19" s="130"/>
      <c r="EUO19" s="130"/>
      <c r="EUY19" s="130"/>
      <c r="EVI19" s="130"/>
      <c r="EVS19" s="130"/>
      <c r="EWC19" s="130"/>
      <c r="EWM19" s="130"/>
      <c r="EWW19" s="130"/>
      <c r="EXG19" s="130"/>
      <c r="EXQ19" s="130"/>
      <c r="EYA19" s="130"/>
      <c r="EYK19" s="130"/>
      <c r="EYU19" s="130"/>
      <c r="EZE19" s="130"/>
      <c r="EZO19" s="130"/>
      <c r="EZY19" s="130"/>
      <c r="FAI19" s="130"/>
      <c r="FAS19" s="130"/>
      <c r="FBC19" s="130"/>
      <c r="FBM19" s="130"/>
      <c r="FBW19" s="130"/>
      <c r="FCG19" s="130"/>
      <c r="FCQ19" s="130"/>
      <c r="FDA19" s="130"/>
      <c r="FDK19" s="130"/>
      <c r="FDU19" s="130"/>
      <c r="FEE19" s="130"/>
      <c r="FEO19" s="130"/>
      <c r="FEY19" s="130"/>
      <c r="FFI19" s="130"/>
      <c r="FFS19" s="130"/>
      <c r="FGC19" s="130"/>
      <c r="FGM19" s="130"/>
      <c r="FGW19" s="130"/>
      <c r="FHG19" s="130"/>
      <c r="FHQ19" s="130"/>
      <c r="FIA19" s="130"/>
      <c r="FIK19" s="130"/>
      <c r="FIU19" s="130"/>
      <c r="FJE19" s="130"/>
      <c r="FJO19" s="130"/>
      <c r="FJY19" s="130"/>
      <c r="FKI19" s="130"/>
      <c r="FKS19" s="130"/>
      <c r="FLC19" s="130"/>
      <c r="FLM19" s="130"/>
      <c r="FLW19" s="130"/>
      <c r="FMG19" s="130"/>
      <c r="FMQ19" s="130"/>
      <c r="FNA19" s="130"/>
      <c r="FNK19" s="130"/>
      <c r="FNU19" s="130"/>
      <c r="FOE19" s="130"/>
      <c r="FOO19" s="130"/>
      <c r="FOY19" s="130"/>
      <c r="FPI19" s="130"/>
      <c r="FPS19" s="130"/>
      <c r="FQC19" s="130"/>
      <c r="FQM19" s="130"/>
      <c r="FQW19" s="130"/>
      <c r="FRG19" s="130"/>
      <c r="FRQ19" s="130"/>
      <c r="FSA19" s="130"/>
      <c r="FSK19" s="130"/>
      <c r="FSU19" s="130"/>
      <c r="FTE19" s="130"/>
      <c r="FTO19" s="130"/>
      <c r="FTY19" s="130"/>
      <c r="FUI19" s="130"/>
      <c r="FUS19" s="130"/>
      <c r="FVC19" s="130"/>
      <c r="FVM19" s="130"/>
      <c r="FVW19" s="130"/>
      <c r="FWG19" s="130"/>
      <c r="FWQ19" s="130"/>
      <c r="FXA19" s="130"/>
      <c r="FXK19" s="130"/>
      <c r="FXU19" s="130"/>
      <c r="FYE19" s="130"/>
      <c r="FYO19" s="130"/>
      <c r="FYY19" s="130"/>
      <c r="FZI19" s="130"/>
      <c r="FZS19" s="130"/>
      <c r="GAC19" s="130"/>
      <c r="GAM19" s="130"/>
      <c r="GAW19" s="130"/>
      <c r="GBG19" s="130"/>
      <c r="GBQ19" s="130"/>
      <c r="GCA19" s="130"/>
      <c r="GCK19" s="130"/>
      <c r="GCU19" s="130"/>
      <c r="GDE19" s="130"/>
      <c r="GDO19" s="130"/>
      <c r="GDY19" s="130"/>
      <c r="GEI19" s="130"/>
      <c r="GES19" s="130"/>
      <c r="GFC19" s="130"/>
      <c r="GFM19" s="130"/>
      <c r="GFW19" s="130"/>
      <c r="GGG19" s="130"/>
      <c r="GGQ19" s="130"/>
      <c r="GHA19" s="130"/>
      <c r="GHK19" s="130"/>
      <c r="GHU19" s="130"/>
      <c r="GIE19" s="130"/>
      <c r="GIO19" s="130"/>
      <c r="GIY19" s="130"/>
      <c r="GJI19" s="130"/>
      <c r="GJS19" s="130"/>
      <c r="GKC19" s="130"/>
      <c r="GKM19" s="130"/>
      <c r="GKW19" s="130"/>
      <c r="GLG19" s="130"/>
      <c r="GLQ19" s="130"/>
      <c r="GMA19" s="130"/>
      <c r="GMK19" s="130"/>
      <c r="GMU19" s="130"/>
      <c r="GNE19" s="130"/>
      <c r="GNO19" s="130"/>
      <c r="GNY19" s="130"/>
      <c r="GOI19" s="130"/>
      <c r="GOS19" s="130"/>
      <c r="GPC19" s="130"/>
      <c r="GPM19" s="130"/>
      <c r="GPW19" s="130"/>
      <c r="GQG19" s="130"/>
      <c r="GQQ19" s="130"/>
      <c r="GRA19" s="130"/>
      <c r="GRK19" s="130"/>
      <c r="GRU19" s="130"/>
      <c r="GSE19" s="130"/>
      <c r="GSO19" s="130"/>
      <c r="GSY19" s="130"/>
      <c r="GTI19" s="130"/>
      <c r="GTS19" s="130"/>
      <c r="GUC19" s="130"/>
      <c r="GUM19" s="130"/>
      <c r="GUW19" s="130"/>
      <c r="GVG19" s="130"/>
      <c r="GVQ19" s="130"/>
      <c r="GWA19" s="130"/>
      <c r="GWK19" s="130"/>
      <c r="GWU19" s="130"/>
      <c r="GXE19" s="130"/>
      <c r="GXO19" s="130"/>
      <c r="GXY19" s="130"/>
      <c r="GYI19" s="130"/>
      <c r="GYS19" s="130"/>
      <c r="GZC19" s="130"/>
      <c r="GZM19" s="130"/>
      <c r="GZW19" s="130"/>
      <c r="HAG19" s="130"/>
      <c r="HAQ19" s="130"/>
      <c r="HBA19" s="130"/>
      <c r="HBK19" s="130"/>
      <c r="HBU19" s="130"/>
      <c r="HCE19" s="130"/>
      <c r="HCO19" s="130"/>
      <c r="HCY19" s="130"/>
      <c r="HDI19" s="130"/>
      <c r="HDS19" s="130"/>
      <c r="HEC19" s="130"/>
      <c r="HEM19" s="130"/>
      <c r="HEW19" s="130"/>
      <c r="HFG19" s="130"/>
      <c r="HFQ19" s="130"/>
      <c r="HGA19" s="130"/>
      <c r="HGK19" s="130"/>
      <c r="HGU19" s="130"/>
      <c r="HHE19" s="130"/>
      <c r="HHO19" s="130"/>
      <c r="HHY19" s="130"/>
      <c r="HII19" s="130"/>
      <c r="HIS19" s="130"/>
      <c r="HJC19" s="130"/>
      <c r="HJM19" s="130"/>
      <c r="HJW19" s="130"/>
      <c r="HKG19" s="130"/>
      <c r="HKQ19" s="130"/>
      <c r="HLA19" s="130"/>
      <c r="HLK19" s="130"/>
      <c r="HLU19" s="130"/>
      <c r="HME19" s="130"/>
      <c r="HMO19" s="130"/>
      <c r="HMY19" s="130"/>
      <c r="HNI19" s="130"/>
      <c r="HNS19" s="130"/>
      <c r="HOC19" s="130"/>
      <c r="HOM19" s="130"/>
      <c r="HOW19" s="130"/>
      <c r="HPG19" s="130"/>
      <c r="HPQ19" s="130"/>
      <c r="HQA19" s="130"/>
      <c r="HQK19" s="130"/>
      <c r="HQU19" s="130"/>
      <c r="HRE19" s="130"/>
      <c r="HRO19" s="130"/>
      <c r="HRY19" s="130"/>
      <c r="HSI19" s="130"/>
      <c r="HSS19" s="130"/>
      <c r="HTC19" s="130"/>
      <c r="HTM19" s="130"/>
      <c r="HTW19" s="130"/>
      <c r="HUG19" s="130"/>
      <c r="HUQ19" s="130"/>
      <c r="HVA19" s="130"/>
      <c r="HVK19" s="130"/>
      <c r="HVU19" s="130"/>
      <c r="HWE19" s="130"/>
      <c r="HWO19" s="130"/>
      <c r="HWY19" s="130"/>
      <c r="HXI19" s="130"/>
      <c r="HXS19" s="130"/>
      <c r="HYC19" s="130"/>
      <c r="HYM19" s="130"/>
      <c r="HYW19" s="130"/>
      <c r="HZG19" s="130"/>
      <c r="HZQ19" s="130"/>
      <c r="IAA19" s="130"/>
      <c r="IAK19" s="130"/>
      <c r="IAU19" s="130"/>
      <c r="IBE19" s="130"/>
      <c r="IBO19" s="130"/>
      <c r="IBY19" s="130"/>
      <c r="ICI19" s="130"/>
      <c r="ICS19" s="130"/>
      <c r="IDC19" s="130"/>
      <c r="IDM19" s="130"/>
      <c r="IDW19" s="130"/>
      <c r="IEG19" s="130"/>
      <c r="IEQ19" s="130"/>
      <c r="IFA19" s="130"/>
      <c r="IFK19" s="130"/>
      <c r="IFU19" s="130"/>
      <c r="IGE19" s="130"/>
      <c r="IGO19" s="130"/>
      <c r="IGY19" s="130"/>
      <c r="IHI19" s="130"/>
      <c r="IHS19" s="130"/>
      <c r="IIC19" s="130"/>
      <c r="IIM19" s="130"/>
      <c r="IIW19" s="130"/>
      <c r="IJG19" s="130"/>
      <c r="IJQ19" s="130"/>
      <c r="IKA19" s="130"/>
      <c r="IKK19" s="130"/>
      <c r="IKU19" s="130"/>
      <c r="ILE19" s="130"/>
      <c r="ILO19" s="130"/>
      <c r="ILY19" s="130"/>
      <c r="IMI19" s="130"/>
      <c r="IMS19" s="130"/>
      <c r="INC19" s="130"/>
      <c r="INM19" s="130"/>
      <c r="INW19" s="130"/>
      <c r="IOG19" s="130"/>
      <c r="IOQ19" s="130"/>
      <c r="IPA19" s="130"/>
      <c r="IPK19" s="130"/>
      <c r="IPU19" s="130"/>
      <c r="IQE19" s="130"/>
      <c r="IQO19" s="130"/>
      <c r="IQY19" s="130"/>
      <c r="IRI19" s="130"/>
      <c r="IRS19" s="130"/>
      <c r="ISC19" s="130"/>
      <c r="ISM19" s="130"/>
      <c r="ISW19" s="130"/>
      <c r="ITG19" s="130"/>
      <c r="ITQ19" s="130"/>
      <c r="IUA19" s="130"/>
      <c r="IUK19" s="130"/>
      <c r="IUU19" s="130"/>
      <c r="IVE19" s="130"/>
      <c r="IVO19" s="130"/>
      <c r="IVY19" s="130"/>
      <c r="IWI19" s="130"/>
      <c r="IWS19" s="130"/>
      <c r="IXC19" s="130"/>
      <c r="IXM19" s="130"/>
      <c r="IXW19" s="130"/>
      <c r="IYG19" s="130"/>
      <c r="IYQ19" s="130"/>
      <c r="IZA19" s="130"/>
      <c r="IZK19" s="130"/>
      <c r="IZU19" s="130"/>
      <c r="JAE19" s="130"/>
      <c r="JAO19" s="130"/>
      <c r="JAY19" s="130"/>
      <c r="JBI19" s="130"/>
      <c r="JBS19" s="130"/>
      <c r="JCC19" s="130"/>
      <c r="JCM19" s="130"/>
      <c r="JCW19" s="130"/>
      <c r="JDG19" s="130"/>
      <c r="JDQ19" s="130"/>
      <c r="JEA19" s="130"/>
      <c r="JEK19" s="130"/>
      <c r="JEU19" s="130"/>
      <c r="JFE19" s="130"/>
      <c r="JFO19" s="130"/>
      <c r="JFY19" s="130"/>
      <c r="JGI19" s="130"/>
      <c r="JGS19" s="130"/>
      <c r="JHC19" s="130"/>
      <c r="JHM19" s="130"/>
      <c r="JHW19" s="130"/>
      <c r="JIG19" s="130"/>
      <c r="JIQ19" s="130"/>
      <c r="JJA19" s="130"/>
      <c r="JJK19" s="130"/>
      <c r="JJU19" s="130"/>
      <c r="JKE19" s="130"/>
      <c r="JKO19" s="130"/>
      <c r="JKY19" s="130"/>
      <c r="JLI19" s="130"/>
      <c r="JLS19" s="130"/>
      <c r="JMC19" s="130"/>
      <c r="JMM19" s="130"/>
      <c r="JMW19" s="130"/>
      <c r="JNG19" s="130"/>
      <c r="JNQ19" s="130"/>
      <c r="JOA19" s="130"/>
      <c r="JOK19" s="130"/>
      <c r="JOU19" s="130"/>
      <c r="JPE19" s="130"/>
      <c r="JPO19" s="130"/>
      <c r="JPY19" s="130"/>
      <c r="JQI19" s="130"/>
      <c r="JQS19" s="130"/>
      <c r="JRC19" s="130"/>
      <c r="JRM19" s="130"/>
      <c r="JRW19" s="130"/>
      <c r="JSG19" s="130"/>
      <c r="JSQ19" s="130"/>
      <c r="JTA19" s="130"/>
      <c r="JTK19" s="130"/>
      <c r="JTU19" s="130"/>
      <c r="JUE19" s="130"/>
      <c r="JUO19" s="130"/>
      <c r="JUY19" s="130"/>
      <c r="JVI19" s="130"/>
      <c r="JVS19" s="130"/>
      <c r="JWC19" s="130"/>
      <c r="JWM19" s="130"/>
      <c r="JWW19" s="130"/>
      <c r="JXG19" s="130"/>
      <c r="JXQ19" s="130"/>
      <c r="JYA19" s="130"/>
      <c r="JYK19" s="130"/>
      <c r="JYU19" s="130"/>
      <c r="JZE19" s="130"/>
      <c r="JZO19" s="130"/>
      <c r="JZY19" s="130"/>
      <c r="KAI19" s="130"/>
      <c r="KAS19" s="130"/>
      <c r="KBC19" s="130"/>
      <c r="KBM19" s="130"/>
      <c r="KBW19" s="130"/>
      <c r="KCG19" s="130"/>
      <c r="KCQ19" s="130"/>
      <c r="KDA19" s="130"/>
      <c r="KDK19" s="130"/>
      <c r="KDU19" s="130"/>
      <c r="KEE19" s="130"/>
      <c r="KEO19" s="130"/>
      <c r="KEY19" s="130"/>
      <c r="KFI19" s="130"/>
      <c r="KFS19" s="130"/>
      <c r="KGC19" s="130"/>
      <c r="KGM19" s="130"/>
      <c r="KGW19" s="130"/>
      <c r="KHG19" s="130"/>
      <c r="KHQ19" s="130"/>
      <c r="KIA19" s="130"/>
      <c r="KIK19" s="130"/>
      <c r="KIU19" s="130"/>
      <c r="KJE19" s="130"/>
      <c r="KJO19" s="130"/>
      <c r="KJY19" s="130"/>
      <c r="KKI19" s="130"/>
      <c r="KKS19" s="130"/>
      <c r="KLC19" s="130"/>
      <c r="KLM19" s="130"/>
      <c r="KLW19" s="130"/>
      <c r="KMG19" s="130"/>
      <c r="KMQ19" s="130"/>
      <c r="KNA19" s="130"/>
      <c r="KNK19" s="130"/>
      <c r="KNU19" s="130"/>
      <c r="KOE19" s="130"/>
      <c r="KOO19" s="130"/>
      <c r="KOY19" s="130"/>
      <c r="KPI19" s="130"/>
      <c r="KPS19" s="130"/>
      <c r="KQC19" s="130"/>
      <c r="KQM19" s="130"/>
      <c r="KQW19" s="130"/>
      <c r="KRG19" s="130"/>
      <c r="KRQ19" s="130"/>
      <c r="KSA19" s="130"/>
      <c r="KSK19" s="130"/>
      <c r="KSU19" s="130"/>
      <c r="KTE19" s="130"/>
      <c r="KTO19" s="130"/>
      <c r="KTY19" s="130"/>
      <c r="KUI19" s="130"/>
      <c r="KUS19" s="130"/>
      <c r="KVC19" s="130"/>
      <c r="KVM19" s="130"/>
      <c r="KVW19" s="130"/>
      <c r="KWG19" s="130"/>
      <c r="KWQ19" s="130"/>
      <c r="KXA19" s="130"/>
      <c r="KXK19" s="130"/>
      <c r="KXU19" s="130"/>
      <c r="KYE19" s="130"/>
      <c r="KYO19" s="130"/>
      <c r="KYY19" s="130"/>
      <c r="KZI19" s="130"/>
      <c r="KZS19" s="130"/>
      <c r="LAC19" s="130"/>
      <c r="LAM19" s="130"/>
      <c r="LAW19" s="130"/>
      <c r="LBG19" s="130"/>
      <c r="LBQ19" s="130"/>
      <c r="LCA19" s="130"/>
      <c r="LCK19" s="130"/>
      <c r="LCU19" s="130"/>
      <c r="LDE19" s="130"/>
      <c r="LDO19" s="130"/>
      <c r="LDY19" s="130"/>
      <c r="LEI19" s="130"/>
      <c r="LES19" s="130"/>
      <c r="LFC19" s="130"/>
      <c r="LFM19" s="130"/>
      <c r="LFW19" s="130"/>
      <c r="LGG19" s="130"/>
      <c r="LGQ19" s="130"/>
      <c r="LHA19" s="130"/>
      <c r="LHK19" s="130"/>
      <c r="LHU19" s="130"/>
      <c r="LIE19" s="130"/>
      <c r="LIO19" s="130"/>
      <c r="LIY19" s="130"/>
      <c r="LJI19" s="130"/>
      <c r="LJS19" s="130"/>
      <c r="LKC19" s="130"/>
      <c r="LKM19" s="130"/>
      <c r="LKW19" s="130"/>
      <c r="LLG19" s="130"/>
      <c r="LLQ19" s="130"/>
      <c r="LMA19" s="130"/>
      <c r="LMK19" s="130"/>
      <c r="LMU19" s="130"/>
      <c r="LNE19" s="130"/>
      <c r="LNO19" s="130"/>
      <c r="LNY19" s="130"/>
      <c r="LOI19" s="130"/>
      <c r="LOS19" s="130"/>
      <c r="LPC19" s="130"/>
      <c r="LPM19" s="130"/>
      <c r="LPW19" s="130"/>
      <c r="LQG19" s="130"/>
      <c r="LQQ19" s="130"/>
      <c r="LRA19" s="130"/>
      <c r="LRK19" s="130"/>
      <c r="LRU19" s="130"/>
      <c r="LSE19" s="130"/>
      <c r="LSO19" s="130"/>
      <c r="LSY19" s="130"/>
      <c r="LTI19" s="130"/>
      <c r="LTS19" s="130"/>
      <c r="LUC19" s="130"/>
      <c r="LUM19" s="130"/>
      <c r="LUW19" s="130"/>
      <c r="LVG19" s="130"/>
      <c r="LVQ19" s="130"/>
      <c r="LWA19" s="130"/>
      <c r="LWK19" s="130"/>
      <c r="LWU19" s="130"/>
      <c r="LXE19" s="130"/>
      <c r="LXO19" s="130"/>
      <c r="LXY19" s="130"/>
      <c r="LYI19" s="130"/>
      <c r="LYS19" s="130"/>
      <c r="LZC19" s="130"/>
      <c r="LZM19" s="130"/>
      <c r="LZW19" s="130"/>
      <c r="MAG19" s="130"/>
      <c r="MAQ19" s="130"/>
      <c r="MBA19" s="130"/>
      <c r="MBK19" s="130"/>
      <c r="MBU19" s="130"/>
      <c r="MCE19" s="130"/>
      <c r="MCO19" s="130"/>
      <c r="MCY19" s="130"/>
      <c r="MDI19" s="130"/>
      <c r="MDS19" s="130"/>
      <c r="MEC19" s="130"/>
      <c r="MEM19" s="130"/>
      <c r="MEW19" s="130"/>
      <c r="MFG19" s="130"/>
      <c r="MFQ19" s="130"/>
      <c r="MGA19" s="130"/>
      <c r="MGK19" s="130"/>
      <c r="MGU19" s="130"/>
      <c r="MHE19" s="130"/>
      <c r="MHO19" s="130"/>
      <c r="MHY19" s="130"/>
      <c r="MII19" s="130"/>
      <c r="MIS19" s="130"/>
      <c r="MJC19" s="130"/>
      <c r="MJM19" s="130"/>
      <c r="MJW19" s="130"/>
      <c r="MKG19" s="130"/>
      <c r="MKQ19" s="130"/>
      <c r="MLA19" s="130"/>
      <c r="MLK19" s="130"/>
      <c r="MLU19" s="130"/>
      <c r="MME19" s="130"/>
      <c r="MMO19" s="130"/>
      <c r="MMY19" s="130"/>
      <c r="MNI19" s="130"/>
      <c r="MNS19" s="130"/>
      <c r="MOC19" s="130"/>
      <c r="MOM19" s="130"/>
      <c r="MOW19" s="130"/>
      <c r="MPG19" s="130"/>
      <c r="MPQ19" s="130"/>
      <c r="MQA19" s="130"/>
      <c r="MQK19" s="130"/>
      <c r="MQU19" s="130"/>
      <c r="MRE19" s="130"/>
      <c r="MRO19" s="130"/>
      <c r="MRY19" s="130"/>
      <c r="MSI19" s="130"/>
      <c r="MSS19" s="130"/>
      <c r="MTC19" s="130"/>
      <c r="MTM19" s="130"/>
      <c r="MTW19" s="130"/>
      <c r="MUG19" s="130"/>
      <c r="MUQ19" s="130"/>
      <c r="MVA19" s="130"/>
      <c r="MVK19" s="130"/>
      <c r="MVU19" s="130"/>
      <c r="MWE19" s="130"/>
      <c r="MWO19" s="130"/>
      <c r="MWY19" s="130"/>
      <c r="MXI19" s="130"/>
      <c r="MXS19" s="130"/>
      <c r="MYC19" s="130"/>
      <c r="MYM19" s="130"/>
      <c r="MYW19" s="130"/>
      <c r="MZG19" s="130"/>
      <c r="MZQ19" s="130"/>
      <c r="NAA19" s="130"/>
      <c r="NAK19" s="130"/>
      <c r="NAU19" s="130"/>
      <c r="NBE19" s="130"/>
      <c r="NBO19" s="130"/>
      <c r="NBY19" s="130"/>
      <c r="NCI19" s="130"/>
      <c r="NCS19" s="130"/>
      <c r="NDC19" s="130"/>
      <c r="NDM19" s="130"/>
      <c r="NDW19" s="130"/>
      <c r="NEG19" s="130"/>
      <c r="NEQ19" s="130"/>
      <c r="NFA19" s="130"/>
      <c r="NFK19" s="130"/>
      <c r="NFU19" s="130"/>
      <c r="NGE19" s="130"/>
      <c r="NGO19" s="130"/>
      <c r="NGY19" s="130"/>
      <c r="NHI19" s="130"/>
      <c r="NHS19" s="130"/>
      <c r="NIC19" s="130"/>
      <c r="NIM19" s="130"/>
      <c r="NIW19" s="130"/>
      <c r="NJG19" s="130"/>
      <c r="NJQ19" s="130"/>
      <c r="NKA19" s="130"/>
      <c r="NKK19" s="130"/>
      <c r="NKU19" s="130"/>
      <c r="NLE19" s="130"/>
      <c r="NLO19" s="130"/>
      <c r="NLY19" s="130"/>
      <c r="NMI19" s="130"/>
      <c r="NMS19" s="130"/>
      <c r="NNC19" s="130"/>
      <c r="NNM19" s="130"/>
      <c r="NNW19" s="130"/>
      <c r="NOG19" s="130"/>
      <c r="NOQ19" s="130"/>
      <c r="NPA19" s="130"/>
      <c r="NPK19" s="130"/>
      <c r="NPU19" s="130"/>
      <c r="NQE19" s="130"/>
      <c r="NQO19" s="130"/>
      <c r="NQY19" s="130"/>
      <c r="NRI19" s="130"/>
      <c r="NRS19" s="130"/>
      <c r="NSC19" s="130"/>
      <c r="NSM19" s="130"/>
      <c r="NSW19" s="130"/>
      <c r="NTG19" s="130"/>
      <c r="NTQ19" s="130"/>
      <c r="NUA19" s="130"/>
      <c r="NUK19" s="130"/>
      <c r="NUU19" s="130"/>
      <c r="NVE19" s="130"/>
      <c r="NVO19" s="130"/>
      <c r="NVY19" s="130"/>
      <c r="NWI19" s="130"/>
      <c r="NWS19" s="130"/>
      <c r="NXC19" s="130"/>
      <c r="NXM19" s="130"/>
      <c r="NXW19" s="130"/>
      <c r="NYG19" s="130"/>
      <c r="NYQ19" s="130"/>
      <c r="NZA19" s="130"/>
      <c r="NZK19" s="130"/>
      <c r="NZU19" s="130"/>
      <c r="OAE19" s="130"/>
      <c r="OAO19" s="130"/>
      <c r="OAY19" s="130"/>
      <c r="OBI19" s="130"/>
      <c r="OBS19" s="130"/>
      <c r="OCC19" s="130"/>
      <c r="OCM19" s="130"/>
      <c r="OCW19" s="130"/>
      <c r="ODG19" s="130"/>
      <c r="ODQ19" s="130"/>
      <c r="OEA19" s="130"/>
      <c r="OEK19" s="130"/>
      <c r="OEU19" s="130"/>
      <c r="OFE19" s="130"/>
      <c r="OFO19" s="130"/>
      <c r="OFY19" s="130"/>
      <c r="OGI19" s="130"/>
      <c r="OGS19" s="130"/>
      <c r="OHC19" s="130"/>
      <c r="OHM19" s="130"/>
      <c r="OHW19" s="130"/>
      <c r="OIG19" s="130"/>
      <c r="OIQ19" s="130"/>
      <c r="OJA19" s="130"/>
      <c r="OJK19" s="130"/>
      <c r="OJU19" s="130"/>
      <c r="OKE19" s="130"/>
      <c r="OKO19" s="130"/>
      <c r="OKY19" s="130"/>
      <c r="OLI19" s="130"/>
      <c r="OLS19" s="130"/>
      <c r="OMC19" s="130"/>
      <c r="OMM19" s="130"/>
      <c r="OMW19" s="130"/>
      <c r="ONG19" s="130"/>
      <c r="ONQ19" s="130"/>
      <c r="OOA19" s="130"/>
      <c r="OOK19" s="130"/>
      <c r="OOU19" s="130"/>
      <c r="OPE19" s="130"/>
      <c r="OPO19" s="130"/>
      <c r="OPY19" s="130"/>
      <c r="OQI19" s="130"/>
      <c r="OQS19" s="130"/>
      <c r="ORC19" s="130"/>
      <c r="ORM19" s="130"/>
      <c r="ORW19" s="130"/>
      <c r="OSG19" s="130"/>
      <c r="OSQ19" s="130"/>
      <c r="OTA19" s="130"/>
      <c r="OTK19" s="130"/>
      <c r="OTU19" s="130"/>
      <c r="OUE19" s="130"/>
      <c r="OUO19" s="130"/>
      <c r="OUY19" s="130"/>
      <c r="OVI19" s="130"/>
      <c r="OVS19" s="130"/>
      <c r="OWC19" s="130"/>
      <c r="OWM19" s="130"/>
      <c r="OWW19" s="130"/>
      <c r="OXG19" s="130"/>
      <c r="OXQ19" s="130"/>
      <c r="OYA19" s="130"/>
      <c r="OYK19" s="130"/>
      <c r="OYU19" s="130"/>
      <c r="OZE19" s="130"/>
      <c r="OZO19" s="130"/>
      <c r="OZY19" s="130"/>
      <c r="PAI19" s="130"/>
      <c r="PAS19" s="130"/>
      <c r="PBC19" s="130"/>
      <c r="PBM19" s="130"/>
      <c r="PBW19" s="130"/>
      <c r="PCG19" s="130"/>
      <c r="PCQ19" s="130"/>
      <c r="PDA19" s="130"/>
      <c r="PDK19" s="130"/>
      <c r="PDU19" s="130"/>
      <c r="PEE19" s="130"/>
      <c r="PEO19" s="130"/>
      <c r="PEY19" s="130"/>
      <c r="PFI19" s="130"/>
      <c r="PFS19" s="130"/>
      <c r="PGC19" s="130"/>
      <c r="PGM19" s="130"/>
      <c r="PGW19" s="130"/>
      <c r="PHG19" s="130"/>
      <c r="PHQ19" s="130"/>
      <c r="PIA19" s="130"/>
      <c r="PIK19" s="130"/>
      <c r="PIU19" s="130"/>
      <c r="PJE19" s="130"/>
      <c r="PJO19" s="130"/>
      <c r="PJY19" s="130"/>
      <c r="PKI19" s="130"/>
      <c r="PKS19" s="130"/>
      <c r="PLC19" s="130"/>
      <c r="PLM19" s="130"/>
      <c r="PLW19" s="130"/>
      <c r="PMG19" s="130"/>
      <c r="PMQ19" s="130"/>
      <c r="PNA19" s="130"/>
      <c r="PNK19" s="130"/>
      <c r="PNU19" s="130"/>
      <c r="POE19" s="130"/>
      <c r="POO19" s="130"/>
      <c r="POY19" s="130"/>
      <c r="PPI19" s="130"/>
      <c r="PPS19" s="130"/>
      <c r="PQC19" s="130"/>
      <c r="PQM19" s="130"/>
      <c r="PQW19" s="130"/>
      <c r="PRG19" s="130"/>
      <c r="PRQ19" s="130"/>
      <c r="PSA19" s="130"/>
      <c r="PSK19" s="130"/>
      <c r="PSU19" s="130"/>
      <c r="PTE19" s="130"/>
      <c r="PTO19" s="130"/>
      <c r="PTY19" s="130"/>
      <c r="PUI19" s="130"/>
      <c r="PUS19" s="130"/>
      <c r="PVC19" s="130"/>
      <c r="PVM19" s="130"/>
      <c r="PVW19" s="130"/>
      <c r="PWG19" s="130"/>
      <c r="PWQ19" s="130"/>
      <c r="PXA19" s="130"/>
      <c r="PXK19" s="130"/>
      <c r="PXU19" s="130"/>
      <c r="PYE19" s="130"/>
      <c r="PYO19" s="130"/>
      <c r="PYY19" s="130"/>
      <c r="PZI19" s="130"/>
      <c r="PZS19" s="130"/>
      <c r="QAC19" s="130"/>
      <c r="QAM19" s="130"/>
      <c r="QAW19" s="130"/>
      <c r="QBG19" s="130"/>
      <c r="QBQ19" s="130"/>
      <c r="QCA19" s="130"/>
      <c r="QCK19" s="130"/>
      <c r="QCU19" s="130"/>
      <c r="QDE19" s="130"/>
      <c r="QDO19" s="130"/>
      <c r="QDY19" s="130"/>
      <c r="QEI19" s="130"/>
      <c r="QES19" s="130"/>
      <c r="QFC19" s="130"/>
      <c r="QFM19" s="130"/>
      <c r="QFW19" s="130"/>
      <c r="QGG19" s="130"/>
      <c r="QGQ19" s="130"/>
      <c r="QHA19" s="130"/>
      <c r="QHK19" s="130"/>
      <c r="QHU19" s="130"/>
      <c r="QIE19" s="130"/>
      <c r="QIO19" s="130"/>
      <c r="QIY19" s="130"/>
      <c r="QJI19" s="130"/>
      <c r="QJS19" s="130"/>
      <c r="QKC19" s="130"/>
      <c r="QKM19" s="130"/>
      <c r="QKW19" s="130"/>
      <c r="QLG19" s="130"/>
      <c r="QLQ19" s="130"/>
      <c r="QMA19" s="130"/>
      <c r="QMK19" s="130"/>
      <c r="QMU19" s="130"/>
      <c r="QNE19" s="130"/>
      <c r="QNO19" s="130"/>
      <c r="QNY19" s="130"/>
      <c r="QOI19" s="130"/>
      <c r="QOS19" s="130"/>
      <c r="QPC19" s="130"/>
      <c r="QPM19" s="130"/>
      <c r="QPW19" s="130"/>
      <c r="QQG19" s="130"/>
      <c r="QQQ19" s="130"/>
      <c r="QRA19" s="130"/>
      <c r="QRK19" s="130"/>
      <c r="QRU19" s="130"/>
      <c r="QSE19" s="130"/>
      <c r="QSO19" s="130"/>
      <c r="QSY19" s="130"/>
      <c r="QTI19" s="130"/>
      <c r="QTS19" s="130"/>
      <c r="QUC19" s="130"/>
      <c r="QUM19" s="130"/>
      <c r="QUW19" s="130"/>
      <c r="QVG19" s="130"/>
      <c r="QVQ19" s="130"/>
      <c r="QWA19" s="130"/>
      <c r="QWK19" s="130"/>
      <c r="QWU19" s="130"/>
      <c r="QXE19" s="130"/>
      <c r="QXO19" s="130"/>
      <c r="QXY19" s="130"/>
      <c r="QYI19" s="130"/>
      <c r="QYS19" s="130"/>
      <c r="QZC19" s="130"/>
      <c r="QZM19" s="130"/>
      <c r="QZW19" s="130"/>
      <c r="RAG19" s="130"/>
      <c r="RAQ19" s="130"/>
      <c r="RBA19" s="130"/>
      <c r="RBK19" s="130"/>
      <c r="RBU19" s="130"/>
      <c r="RCE19" s="130"/>
      <c r="RCO19" s="130"/>
      <c r="RCY19" s="130"/>
      <c r="RDI19" s="130"/>
      <c r="RDS19" s="130"/>
      <c r="REC19" s="130"/>
      <c r="REM19" s="130"/>
      <c r="REW19" s="130"/>
      <c r="RFG19" s="130"/>
      <c r="RFQ19" s="130"/>
      <c r="RGA19" s="130"/>
      <c r="RGK19" s="130"/>
      <c r="RGU19" s="130"/>
      <c r="RHE19" s="130"/>
      <c r="RHO19" s="130"/>
      <c r="RHY19" s="130"/>
      <c r="RII19" s="130"/>
      <c r="RIS19" s="130"/>
      <c r="RJC19" s="130"/>
      <c r="RJM19" s="130"/>
      <c r="RJW19" s="130"/>
      <c r="RKG19" s="130"/>
      <c r="RKQ19" s="130"/>
      <c r="RLA19" s="130"/>
      <c r="RLK19" s="130"/>
      <c r="RLU19" s="130"/>
      <c r="RME19" s="130"/>
      <c r="RMO19" s="130"/>
      <c r="RMY19" s="130"/>
      <c r="RNI19" s="130"/>
      <c r="RNS19" s="130"/>
      <c r="ROC19" s="130"/>
      <c r="ROM19" s="130"/>
      <c r="ROW19" s="130"/>
      <c r="RPG19" s="130"/>
      <c r="RPQ19" s="130"/>
      <c r="RQA19" s="130"/>
      <c r="RQK19" s="130"/>
      <c r="RQU19" s="130"/>
      <c r="RRE19" s="130"/>
      <c r="RRO19" s="130"/>
      <c r="RRY19" s="130"/>
      <c r="RSI19" s="130"/>
      <c r="RSS19" s="130"/>
      <c r="RTC19" s="130"/>
      <c r="RTM19" s="130"/>
      <c r="RTW19" s="130"/>
      <c r="RUG19" s="130"/>
      <c r="RUQ19" s="130"/>
      <c r="RVA19" s="130"/>
      <c r="RVK19" s="130"/>
      <c r="RVU19" s="130"/>
      <c r="RWE19" s="130"/>
      <c r="RWO19" s="130"/>
      <c r="RWY19" s="130"/>
      <c r="RXI19" s="130"/>
      <c r="RXS19" s="130"/>
      <c r="RYC19" s="130"/>
      <c r="RYM19" s="130"/>
      <c r="RYW19" s="130"/>
      <c r="RZG19" s="130"/>
      <c r="RZQ19" s="130"/>
      <c r="SAA19" s="130"/>
      <c r="SAK19" s="130"/>
      <c r="SAU19" s="130"/>
      <c r="SBE19" s="130"/>
      <c r="SBO19" s="130"/>
      <c r="SBY19" s="130"/>
      <c r="SCI19" s="130"/>
      <c r="SCS19" s="130"/>
      <c r="SDC19" s="130"/>
      <c r="SDM19" s="130"/>
      <c r="SDW19" s="130"/>
      <c r="SEG19" s="130"/>
      <c r="SEQ19" s="130"/>
      <c r="SFA19" s="130"/>
      <c r="SFK19" s="130"/>
      <c r="SFU19" s="130"/>
      <c r="SGE19" s="130"/>
      <c r="SGO19" s="130"/>
      <c r="SGY19" s="130"/>
      <c r="SHI19" s="130"/>
      <c r="SHS19" s="130"/>
      <c r="SIC19" s="130"/>
      <c r="SIM19" s="130"/>
      <c r="SIW19" s="130"/>
      <c r="SJG19" s="130"/>
      <c r="SJQ19" s="130"/>
      <c r="SKA19" s="130"/>
      <c r="SKK19" s="130"/>
      <c r="SKU19" s="130"/>
      <c r="SLE19" s="130"/>
      <c r="SLO19" s="130"/>
      <c r="SLY19" s="130"/>
      <c r="SMI19" s="130"/>
      <c r="SMS19" s="130"/>
      <c r="SNC19" s="130"/>
      <c r="SNM19" s="130"/>
      <c r="SNW19" s="130"/>
      <c r="SOG19" s="130"/>
      <c r="SOQ19" s="130"/>
      <c r="SPA19" s="130"/>
      <c r="SPK19" s="130"/>
      <c r="SPU19" s="130"/>
      <c r="SQE19" s="130"/>
      <c r="SQO19" s="130"/>
      <c r="SQY19" s="130"/>
      <c r="SRI19" s="130"/>
      <c r="SRS19" s="130"/>
      <c r="SSC19" s="130"/>
      <c r="SSM19" s="130"/>
      <c r="SSW19" s="130"/>
      <c r="STG19" s="130"/>
      <c r="STQ19" s="130"/>
      <c r="SUA19" s="130"/>
      <c r="SUK19" s="130"/>
      <c r="SUU19" s="130"/>
      <c r="SVE19" s="130"/>
      <c r="SVO19" s="130"/>
      <c r="SVY19" s="130"/>
      <c r="SWI19" s="130"/>
      <c r="SWS19" s="130"/>
      <c r="SXC19" s="130"/>
      <c r="SXM19" s="130"/>
      <c r="SXW19" s="130"/>
      <c r="SYG19" s="130"/>
      <c r="SYQ19" s="130"/>
      <c r="SZA19" s="130"/>
      <c r="SZK19" s="130"/>
      <c r="SZU19" s="130"/>
      <c r="TAE19" s="130"/>
      <c r="TAO19" s="130"/>
      <c r="TAY19" s="130"/>
      <c r="TBI19" s="130"/>
      <c r="TBS19" s="130"/>
      <c r="TCC19" s="130"/>
      <c r="TCM19" s="130"/>
      <c r="TCW19" s="130"/>
      <c r="TDG19" s="130"/>
      <c r="TDQ19" s="130"/>
      <c r="TEA19" s="130"/>
      <c r="TEK19" s="130"/>
      <c r="TEU19" s="130"/>
      <c r="TFE19" s="130"/>
      <c r="TFO19" s="130"/>
      <c r="TFY19" s="130"/>
      <c r="TGI19" s="130"/>
      <c r="TGS19" s="130"/>
      <c r="THC19" s="130"/>
      <c r="THM19" s="130"/>
      <c r="THW19" s="130"/>
      <c r="TIG19" s="130"/>
      <c r="TIQ19" s="130"/>
      <c r="TJA19" s="130"/>
      <c r="TJK19" s="130"/>
      <c r="TJU19" s="130"/>
      <c r="TKE19" s="130"/>
      <c r="TKO19" s="130"/>
      <c r="TKY19" s="130"/>
      <c r="TLI19" s="130"/>
      <c r="TLS19" s="130"/>
      <c r="TMC19" s="130"/>
      <c r="TMM19" s="130"/>
      <c r="TMW19" s="130"/>
      <c r="TNG19" s="130"/>
      <c r="TNQ19" s="130"/>
      <c r="TOA19" s="130"/>
      <c r="TOK19" s="130"/>
      <c r="TOU19" s="130"/>
      <c r="TPE19" s="130"/>
      <c r="TPO19" s="130"/>
      <c r="TPY19" s="130"/>
      <c r="TQI19" s="130"/>
      <c r="TQS19" s="130"/>
      <c r="TRC19" s="130"/>
      <c r="TRM19" s="130"/>
      <c r="TRW19" s="130"/>
      <c r="TSG19" s="130"/>
      <c r="TSQ19" s="130"/>
      <c r="TTA19" s="130"/>
      <c r="TTK19" s="130"/>
      <c r="TTU19" s="130"/>
      <c r="TUE19" s="130"/>
      <c r="TUO19" s="130"/>
      <c r="TUY19" s="130"/>
      <c r="TVI19" s="130"/>
      <c r="TVS19" s="130"/>
      <c r="TWC19" s="130"/>
      <c r="TWM19" s="130"/>
      <c r="TWW19" s="130"/>
      <c r="TXG19" s="130"/>
      <c r="TXQ19" s="130"/>
      <c r="TYA19" s="130"/>
      <c r="TYK19" s="130"/>
      <c r="TYU19" s="130"/>
      <c r="TZE19" s="130"/>
      <c r="TZO19" s="130"/>
      <c r="TZY19" s="130"/>
      <c r="UAI19" s="130"/>
      <c r="UAS19" s="130"/>
      <c r="UBC19" s="130"/>
      <c r="UBM19" s="130"/>
      <c r="UBW19" s="130"/>
      <c r="UCG19" s="130"/>
      <c r="UCQ19" s="130"/>
      <c r="UDA19" s="130"/>
      <c r="UDK19" s="130"/>
      <c r="UDU19" s="130"/>
      <c r="UEE19" s="130"/>
      <c r="UEO19" s="130"/>
      <c r="UEY19" s="130"/>
      <c r="UFI19" s="130"/>
      <c r="UFS19" s="130"/>
      <c r="UGC19" s="130"/>
      <c r="UGM19" s="130"/>
      <c r="UGW19" s="130"/>
      <c r="UHG19" s="130"/>
      <c r="UHQ19" s="130"/>
      <c r="UIA19" s="130"/>
      <c r="UIK19" s="130"/>
      <c r="UIU19" s="130"/>
      <c r="UJE19" s="130"/>
      <c r="UJO19" s="130"/>
      <c r="UJY19" s="130"/>
      <c r="UKI19" s="130"/>
      <c r="UKS19" s="130"/>
      <c r="ULC19" s="130"/>
      <c r="ULM19" s="130"/>
      <c r="ULW19" s="130"/>
      <c r="UMG19" s="130"/>
      <c r="UMQ19" s="130"/>
      <c r="UNA19" s="130"/>
      <c r="UNK19" s="130"/>
      <c r="UNU19" s="130"/>
      <c r="UOE19" s="130"/>
      <c r="UOO19" s="130"/>
      <c r="UOY19" s="130"/>
      <c r="UPI19" s="130"/>
      <c r="UPS19" s="130"/>
      <c r="UQC19" s="130"/>
      <c r="UQM19" s="130"/>
      <c r="UQW19" s="130"/>
      <c r="URG19" s="130"/>
      <c r="URQ19" s="130"/>
      <c r="USA19" s="130"/>
      <c r="USK19" s="130"/>
      <c r="USU19" s="130"/>
      <c r="UTE19" s="130"/>
      <c r="UTO19" s="130"/>
      <c r="UTY19" s="130"/>
      <c r="UUI19" s="130"/>
      <c r="UUS19" s="130"/>
      <c r="UVC19" s="130"/>
      <c r="UVM19" s="130"/>
      <c r="UVW19" s="130"/>
      <c r="UWG19" s="130"/>
      <c r="UWQ19" s="130"/>
      <c r="UXA19" s="130"/>
      <c r="UXK19" s="130"/>
      <c r="UXU19" s="130"/>
      <c r="UYE19" s="130"/>
      <c r="UYO19" s="130"/>
      <c r="UYY19" s="130"/>
      <c r="UZI19" s="130"/>
      <c r="UZS19" s="130"/>
      <c r="VAC19" s="130"/>
      <c r="VAM19" s="130"/>
      <c r="VAW19" s="130"/>
      <c r="VBG19" s="130"/>
      <c r="VBQ19" s="130"/>
      <c r="VCA19" s="130"/>
      <c r="VCK19" s="130"/>
      <c r="VCU19" s="130"/>
      <c r="VDE19" s="130"/>
      <c r="VDO19" s="130"/>
      <c r="VDY19" s="130"/>
      <c r="VEI19" s="130"/>
      <c r="VES19" s="130"/>
      <c r="VFC19" s="130"/>
      <c r="VFM19" s="130"/>
      <c r="VFW19" s="130"/>
      <c r="VGG19" s="130"/>
      <c r="VGQ19" s="130"/>
      <c r="VHA19" s="130"/>
      <c r="VHK19" s="130"/>
      <c r="VHU19" s="130"/>
      <c r="VIE19" s="130"/>
      <c r="VIO19" s="130"/>
      <c r="VIY19" s="130"/>
      <c r="VJI19" s="130"/>
      <c r="VJS19" s="130"/>
      <c r="VKC19" s="130"/>
      <c r="VKM19" s="130"/>
      <c r="VKW19" s="130"/>
      <c r="VLG19" s="130"/>
      <c r="VLQ19" s="130"/>
      <c r="VMA19" s="130"/>
      <c r="VMK19" s="130"/>
      <c r="VMU19" s="130"/>
      <c r="VNE19" s="130"/>
      <c r="VNO19" s="130"/>
      <c r="VNY19" s="130"/>
      <c r="VOI19" s="130"/>
      <c r="VOS19" s="130"/>
      <c r="VPC19" s="130"/>
      <c r="VPM19" s="130"/>
      <c r="VPW19" s="130"/>
      <c r="VQG19" s="130"/>
      <c r="VQQ19" s="130"/>
      <c r="VRA19" s="130"/>
      <c r="VRK19" s="130"/>
      <c r="VRU19" s="130"/>
      <c r="VSE19" s="130"/>
      <c r="VSO19" s="130"/>
      <c r="VSY19" s="130"/>
      <c r="VTI19" s="130"/>
      <c r="VTS19" s="130"/>
      <c r="VUC19" s="130"/>
      <c r="VUM19" s="130"/>
      <c r="VUW19" s="130"/>
      <c r="VVG19" s="130"/>
      <c r="VVQ19" s="130"/>
      <c r="VWA19" s="130"/>
      <c r="VWK19" s="130"/>
      <c r="VWU19" s="130"/>
      <c r="VXE19" s="130"/>
      <c r="VXO19" s="130"/>
      <c r="VXY19" s="130"/>
      <c r="VYI19" s="130"/>
      <c r="VYS19" s="130"/>
      <c r="VZC19" s="130"/>
      <c r="VZM19" s="130"/>
      <c r="VZW19" s="130"/>
      <c r="WAG19" s="130"/>
      <c r="WAQ19" s="130"/>
      <c r="WBA19" s="130"/>
      <c r="WBK19" s="130"/>
      <c r="WBU19" s="130"/>
      <c r="WCE19" s="130"/>
      <c r="WCO19" s="130"/>
      <c r="WCY19" s="130"/>
      <c r="WDI19" s="130"/>
      <c r="WDS19" s="130"/>
      <c r="WEC19" s="130"/>
      <c r="WEM19" s="130"/>
      <c r="WEW19" s="130"/>
      <c r="WFG19" s="130"/>
      <c r="WFQ19" s="130"/>
      <c r="WGA19" s="130"/>
      <c r="WGK19" s="130"/>
      <c r="WGU19" s="130"/>
      <c r="WHE19" s="130"/>
      <c r="WHO19" s="130"/>
      <c r="WHY19" s="130"/>
      <c r="WII19" s="130"/>
      <c r="WIS19" s="130"/>
      <c r="WJC19" s="130"/>
      <c r="WJM19" s="130"/>
      <c r="WJW19" s="130"/>
      <c r="WKG19" s="130"/>
      <c r="WKQ19" s="130"/>
      <c r="WLA19" s="130"/>
      <c r="WLK19" s="130"/>
      <c r="WLU19" s="130"/>
      <c r="WME19" s="130"/>
      <c r="WMO19" s="130"/>
      <c r="WMY19" s="130"/>
      <c r="WNI19" s="130"/>
      <c r="WNS19" s="130"/>
      <c r="WOC19" s="130"/>
      <c r="WOM19" s="130"/>
      <c r="WOW19" s="130"/>
      <c r="WPG19" s="130"/>
      <c r="WPQ19" s="130"/>
      <c r="WQA19" s="130"/>
      <c r="WQK19" s="130"/>
      <c r="WQU19" s="130"/>
      <c r="WRE19" s="130"/>
      <c r="WRO19" s="130"/>
      <c r="WRY19" s="130"/>
      <c r="WSI19" s="130"/>
      <c r="WSS19" s="130"/>
      <c r="WTC19" s="130"/>
      <c r="WTM19" s="130"/>
      <c r="WTW19" s="130"/>
      <c r="WUG19" s="130"/>
      <c r="WUQ19" s="130"/>
      <c r="WVA19" s="130"/>
      <c r="WVK19" s="130"/>
      <c r="WVU19" s="130"/>
      <c r="WWE19" s="130"/>
      <c r="WWO19" s="130"/>
      <c r="WWY19" s="130"/>
      <c r="WXI19" s="130"/>
      <c r="WXS19" s="130"/>
      <c r="WYC19" s="130"/>
      <c r="WYM19" s="130"/>
      <c r="WYW19" s="130"/>
      <c r="WZG19" s="130"/>
      <c r="WZQ19" s="130"/>
      <c r="XAA19" s="130"/>
      <c r="XAK19" s="130"/>
      <c r="XAU19" s="130"/>
      <c r="XBE19" s="130"/>
      <c r="XBO19" s="130"/>
      <c r="XBY19" s="130"/>
      <c r="XCI19" s="130"/>
      <c r="XCS19" s="130"/>
      <c r="XDC19" s="130"/>
      <c r="XDM19" s="130"/>
      <c r="XDW19" s="130"/>
      <c r="XEG19" s="130"/>
      <c r="XEQ19" s="130"/>
      <c r="XFA19" s="130"/>
    </row>
    <row r="20" s="383" customFormat="1" ht="13.2" spans="1:16381">
      <c r="A20" s="130" t="s">
        <v>60</v>
      </c>
      <c r="B20" s="383">
        <v>2025</v>
      </c>
      <c r="C20" s="607" t="s">
        <v>832</v>
      </c>
      <c r="D20" s="383">
        <v>60.76</v>
      </c>
      <c r="E20" s="383">
        <v>8019.21</v>
      </c>
      <c r="F20" s="383">
        <v>19.07</v>
      </c>
      <c r="G20" s="383">
        <v>-308.75</v>
      </c>
      <c r="H20" s="383">
        <v>161.48</v>
      </c>
      <c r="I20" s="383">
        <v>0</v>
      </c>
      <c r="J20" s="383">
        <v>-128.19</v>
      </c>
      <c r="K20" s="130"/>
      <c r="U20" s="130"/>
      <c r="AE20" s="130"/>
      <c r="AO20" s="130"/>
      <c r="AY20" s="130"/>
      <c r="BI20" s="130"/>
      <c r="BS20" s="130"/>
      <c r="CC20" s="130"/>
      <c r="CM20" s="130"/>
      <c r="CW20" s="130"/>
      <c r="DG20" s="130"/>
      <c r="DQ20" s="130"/>
      <c r="EA20" s="130"/>
      <c r="EK20" s="130"/>
      <c r="EU20" s="130"/>
      <c r="FE20" s="130"/>
      <c r="FO20" s="130"/>
      <c r="FY20" s="130"/>
      <c r="GI20" s="130"/>
      <c r="GS20" s="130"/>
      <c r="HC20" s="130"/>
      <c r="HM20" s="130"/>
      <c r="HW20" s="130"/>
      <c r="IG20" s="130"/>
      <c r="IQ20" s="130"/>
      <c r="JA20" s="130"/>
      <c r="JK20" s="130"/>
      <c r="JU20" s="130"/>
      <c r="KE20" s="130"/>
      <c r="KO20" s="130"/>
      <c r="KY20" s="130"/>
      <c r="LI20" s="130"/>
      <c r="LS20" s="130"/>
      <c r="MC20" s="130"/>
      <c r="MM20" s="130"/>
      <c r="MW20" s="130"/>
      <c r="NG20" s="130"/>
      <c r="NQ20" s="130"/>
      <c r="OA20" s="130"/>
      <c r="OK20" s="130"/>
      <c r="OU20" s="130"/>
      <c r="PE20" s="130"/>
      <c r="PO20" s="130"/>
      <c r="PY20" s="130"/>
      <c r="QI20" s="130"/>
      <c r="QS20" s="130"/>
      <c r="RC20" s="130"/>
      <c r="RM20" s="130"/>
      <c r="RW20" s="130"/>
      <c r="SG20" s="130"/>
      <c r="SQ20" s="130"/>
      <c r="TA20" s="130"/>
      <c r="TK20" s="130"/>
      <c r="TU20" s="130"/>
      <c r="UE20" s="130"/>
      <c r="UO20" s="130"/>
      <c r="UY20" s="130"/>
      <c r="VI20" s="130"/>
      <c r="VS20" s="130"/>
      <c r="WC20" s="130"/>
      <c r="WM20" s="130"/>
      <c r="WW20" s="130"/>
      <c r="XG20" s="130"/>
      <c r="XQ20" s="130"/>
      <c r="YA20" s="130"/>
      <c r="YK20" s="130"/>
      <c r="YU20" s="130"/>
      <c r="ZE20" s="130"/>
      <c r="ZO20" s="130"/>
      <c r="ZY20" s="130"/>
      <c r="AAI20" s="130"/>
      <c r="AAS20" s="130"/>
      <c r="ABC20" s="130"/>
      <c r="ABM20" s="130"/>
      <c r="ABW20" s="130"/>
      <c r="ACG20" s="130"/>
      <c r="ACQ20" s="130"/>
      <c r="ADA20" s="130"/>
      <c r="ADK20" s="130"/>
      <c r="ADU20" s="130"/>
      <c r="AEE20" s="130"/>
      <c r="AEO20" s="130"/>
      <c r="AEY20" s="130"/>
      <c r="AFI20" s="130"/>
      <c r="AFS20" s="130"/>
      <c r="AGC20" s="130"/>
      <c r="AGM20" s="130"/>
      <c r="AGW20" s="130"/>
      <c r="AHG20" s="130"/>
      <c r="AHQ20" s="130"/>
      <c r="AIA20" s="130"/>
      <c r="AIK20" s="130"/>
      <c r="AIU20" s="130"/>
      <c r="AJE20" s="130"/>
      <c r="AJO20" s="130"/>
      <c r="AJY20" s="130"/>
      <c r="AKI20" s="130"/>
      <c r="AKS20" s="130"/>
      <c r="ALC20" s="130"/>
      <c r="ALM20" s="130"/>
      <c r="ALW20" s="130"/>
      <c r="AMG20" s="130"/>
      <c r="AMQ20" s="130"/>
      <c r="ANA20" s="130"/>
      <c r="ANK20" s="130"/>
      <c r="ANU20" s="130"/>
      <c r="AOE20" s="130"/>
      <c r="AOO20" s="130"/>
      <c r="AOY20" s="130"/>
      <c r="API20" s="130"/>
      <c r="APS20" s="130"/>
      <c r="AQC20" s="130"/>
      <c r="AQM20" s="130"/>
      <c r="AQW20" s="130"/>
      <c r="ARG20" s="130"/>
      <c r="ARQ20" s="130"/>
      <c r="ASA20" s="130"/>
      <c r="ASK20" s="130"/>
      <c r="ASU20" s="130"/>
      <c r="ATE20" s="130"/>
      <c r="ATO20" s="130"/>
      <c r="ATY20" s="130"/>
      <c r="AUI20" s="130"/>
      <c r="AUS20" s="130"/>
      <c r="AVC20" s="130"/>
      <c r="AVM20" s="130"/>
      <c r="AVW20" s="130"/>
      <c r="AWG20" s="130"/>
      <c r="AWQ20" s="130"/>
      <c r="AXA20" s="130"/>
      <c r="AXK20" s="130"/>
      <c r="AXU20" s="130"/>
      <c r="AYE20" s="130"/>
      <c r="AYO20" s="130"/>
      <c r="AYY20" s="130"/>
      <c r="AZI20" s="130"/>
      <c r="AZS20" s="130"/>
      <c r="BAC20" s="130"/>
      <c r="BAM20" s="130"/>
      <c r="BAW20" s="130"/>
      <c r="BBG20" s="130"/>
      <c r="BBQ20" s="130"/>
      <c r="BCA20" s="130"/>
      <c r="BCK20" s="130"/>
      <c r="BCU20" s="130"/>
      <c r="BDE20" s="130"/>
      <c r="BDO20" s="130"/>
      <c r="BDY20" s="130"/>
      <c r="BEI20" s="130"/>
      <c r="BES20" s="130"/>
      <c r="BFC20" s="130"/>
      <c r="BFM20" s="130"/>
      <c r="BFW20" s="130"/>
      <c r="BGG20" s="130"/>
      <c r="BGQ20" s="130"/>
      <c r="BHA20" s="130"/>
      <c r="BHK20" s="130"/>
      <c r="BHU20" s="130"/>
      <c r="BIE20" s="130"/>
      <c r="BIO20" s="130"/>
      <c r="BIY20" s="130"/>
      <c r="BJI20" s="130"/>
      <c r="BJS20" s="130"/>
      <c r="BKC20" s="130"/>
      <c r="BKM20" s="130"/>
      <c r="BKW20" s="130"/>
      <c r="BLG20" s="130"/>
      <c r="BLQ20" s="130"/>
      <c r="BMA20" s="130"/>
      <c r="BMK20" s="130"/>
      <c r="BMU20" s="130"/>
      <c r="BNE20" s="130"/>
      <c r="BNO20" s="130"/>
      <c r="BNY20" s="130"/>
      <c r="BOI20" s="130"/>
      <c r="BOS20" s="130"/>
      <c r="BPC20" s="130"/>
      <c r="BPM20" s="130"/>
      <c r="BPW20" s="130"/>
      <c r="BQG20" s="130"/>
      <c r="BQQ20" s="130"/>
      <c r="BRA20" s="130"/>
      <c r="BRK20" s="130"/>
      <c r="BRU20" s="130"/>
      <c r="BSE20" s="130"/>
      <c r="BSO20" s="130"/>
      <c r="BSY20" s="130"/>
      <c r="BTI20" s="130"/>
      <c r="BTS20" s="130"/>
      <c r="BUC20" s="130"/>
      <c r="BUM20" s="130"/>
      <c r="BUW20" s="130"/>
      <c r="BVG20" s="130"/>
      <c r="BVQ20" s="130"/>
      <c r="BWA20" s="130"/>
      <c r="BWK20" s="130"/>
      <c r="BWU20" s="130"/>
      <c r="BXE20" s="130"/>
      <c r="BXO20" s="130"/>
      <c r="BXY20" s="130"/>
      <c r="BYI20" s="130"/>
      <c r="BYS20" s="130"/>
      <c r="BZC20" s="130"/>
      <c r="BZM20" s="130"/>
      <c r="BZW20" s="130"/>
      <c r="CAG20" s="130"/>
      <c r="CAQ20" s="130"/>
      <c r="CBA20" s="130"/>
      <c r="CBK20" s="130"/>
      <c r="CBU20" s="130"/>
      <c r="CCE20" s="130"/>
      <c r="CCO20" s="130"/>
      <c r="CCY20" s="130"/>
      <c r="CDI20" s="130"/>
      <c r="CDS20" s="130"/>
      <c r="CEC20" s="130"/>
      <c r="CEM20" s="130"/>
      <c r="CEW20" s="130"/>
      <c r="CFG20" s="130"/>
      <c r="CFQ20" s="130"/>
      <c r="CGA20" s="130"/>
      <c r="CGK20" s="130"/>
      <c r="CGU20" s="130"/>
      <c r="CHE20" s="130"/>
      <c r="CHO20" s="130"/>
      <c r="CHY20" s="130"/>
      <c r="CII20" s="130"/>
      <c r="CIS20" s="130"/>
      <c r="CJC20" s="130"/>
      <c r="CJM20" s="130"/>
      <c r="CJW20" s="130"/>
      <c r="CKG20" s="130"/>
      <c r="CKQ20" s="130"/>
      <c r="CLA20" s="130"/>
      <c r="CLK20" s="130"/>
      <c r="CLU20" s="130"/>
      <c r="CME20" s="130"/>
      <c r="CMO20" s="130"/>
      <c r="CMY20" s="130"/>
      <c r="CNI20" s="130"/>
      <c r="CNS20" s="130"/>
      <c r="COC20" s="130"/>
      <c r="COM20" s="130"/>
      <c r="COW20" s="130"/>
      <c r="CPG20" s="130"/>
      <c r="CPQ20" s="130"/>
      <c r="CQA20" s="130"/>
      <c r="CQK20" s="130"/>
      <c r="CQU20" s="130"/>
      <c r="CRE20" s="130"/>
      <c r="CRO20" s="130"/>
      <c r="CRY20" s="130"/>
      <c r="CSI20" s="130"/>
      <c r="CSS20" s="130"/>
      <c r="CTC20" s="130"/>
      <c r="CTM20" s="130"/>
      <c r="CTW20" s="130"/>
      <c r="CUG20" s="130"/>
      <c r="CUQ20" s="130"/>
      <c r="CVA20" s="130"/>
      <c r="CVK20" s="130"/>
      <c r="CVU20" s="130"/>
      <c r="CWE20" s="130"/>
      <c r="CWO20" s="130"/>
      <c r="CWY20" s="130"/>
      <c r="CXI20" s="130"/>
      <c r="CXS20" s="130"/>
      <c r="CYC20" s="130"/>
      <c r="CYM20" s="130"/>
      <c r="CYW20" s="130"/>
      <c r="CZG20" s="130"/>
      <c r="CZQ20" s="130"/>
      <c r="DAA20" s="130"/>
      <c r="DAK20" s="130"/>
      <c r="DAU20" s="130"/>
      <c r="DBE20" s="130"/>
      <c r="DBO20" s="130"/>
      <c r="DBY20" s="130"/>
      <c r="DCI20" s="130"/>
      <c r="DCS20" s="130"/>
      <c r="DDC20" s="130"/>
      <c r="DDM20" s="130"/>
      <c r="DDW20" s="130"/>
      <c r="DEG20" s="130"/>
      <c r="DEQ20" s="130"/>
      <c r="DFA20" s="130"/>
      <c r="DFK20" s="130"/>
      <c r="DFU20" s="130"/>
      <c r="DGE20" s="130"/>
      <c r="DGO20" s="130"/>
      <c r="DGY20" s="130"/>
      <c r="DHI20" s="130"/>
      <c r="DHS20" s="130"/>
      <c r="DIC20" s="130"/>
      <c r="DIM20" s="130"/>
      <c r="DIW20" s="130"/>
      <c r="DJG20" s="130"/>
      <c r="DJQ20" s="130"/>
      <c r="DKA20" s="130"/>
      <c r="DKK20" s="130"/>
      <c r="DKU20" s="130"/>
      <c r="DLE20" s="130"/>
      <c r="DLO20" s="130"/>
      <c r="DLY20" s="130"/>
      <c r="DMI20" s="130"/>
      <c r="DMS20" s="130"/>
      <c r="DNC20" s="130"/>
      <c r="DNM20" s="130"/>
      <c r="DNW20" s="130"/>
      <c r="DOG20" s="130"/>
      <c r="DOQ20" s="130"/>
      <c r="DPA20" s="130"/>
      <c r="DPK20" s="130"/>
      <c r="DPU20" s="130"/>
      <c r="DQE20" s="130"/>
      <c r="DQO20" s="130"/>
      <c r="DQY20" s="130"/>
      <c r="DRI20" s="130"/>
      <c r="DRS20" s="130"/>
      <c r="DSC20" s="130"/>
      <c r="DSM20" s="130"/>
      <c r="DSW20" s="130"/>
      <c r="DTG20" s="130"/>
      <c r="DTQ20" s="130"/>
      <c r="DUA20" s="130"/>
      <c r="DUK20" s="130"/>
      <c r="DUU20" s="130"/>
      <c r="DVE20" s="130"/>
      <c r="DVO20" s="130"/>
      <c r="DVY20" s="130"/>
      <c r="DWI20" s="130"/>
      <c r="DWS20" s="130"/>
      <c r="DXC20" s="130"/>
      <c r="DXM20" s="130"/>
      <c r="DXW20" s="130"/>
      <c r="DYG20" s="130"/>
      <c r="DYQ20" s="130"/>
      <c r="DZA20" s="130"/>
      <c r="DZK20" s="130"/>
      <c r="DZU20" s="130"/>
      <c r="EAE20" s="130"/>
      <c r="EAO20" s="130"/>
      <c r="EAY20" s="130"/>
      <c r="EBI20" s="130"/>
      <c r="EBS20" s="130"/>
      <c r="ECC20" s="130"/>
      <c r="ECM20" s="130"/>
      <c r="ECW20" s="130"/>
      <c r="EDG20" s="130"/>
      <c r="EDQ20" s="130"/>
      <c r="EEA20" s="130"/>
      <c r="EEK20" s="130"/>
      <c r="EEU20" s="130"/>
      <c r="EFE20" s="130"/>
      <c r="EFO20" s="130"/>
      <c r="EFY20" s="130"/>
      <c r="EGI20" s="130"/>
      <c r="EGS20" s="130"/>
      <c r="EHC20" s="130"/>
      <c r="EHM20" s="130"/>
      <c r="EHW20" s="130"/>
      <c r="EIG20" s="130"/>
      <c r="EIQ20" s="130"/>
      <c r="EJA20" s="130"/>
      <c r="EJK20" s="130"/>
      <c r="EJU20" s="130"/>
      <c r="EKE20" s="130"/>
      <c r="EKO20" s="130"/>
      <c r="EKY20" s="130"/>
      <c r="ELI20" s="130"/>
      <c r="ELS20" s="130"/>
      <c r="EMC20" s="130"/>
      <c r="EMM20" s="130"/>
      <c r="EMW20" s="130"/>
      <c r="ENG20" s="130"/>
      <c r="ENQ20" s="130"/>
      <c r="EOA20" s="130"/>
      <c r="EOK20" s="130"/>
      <c r="EOU20" s="130"/>
      <c r="EPE20" s="130"/>
      <c r="EPO20" s="130"/>
      <c r="EPY20" s="130"/>
      <c r="EQI20" s="130"/>
      <c r="EQS20" s="130"/>
      <c r="ERC20" s="130"/>
      <c r="ERM20" s="130"/>
      <c r="ERW20" s="130"/>
      <c r="ESG20" s="130"/>
      <c r="ESQ20" s="130"/>
      <c r="ETA20" s="130"/>
      <c r="ETK20" s="130"/>
      <c r="ETU20" s="130"/>
      <c r="EUE20" s="130"/>
      <c r="EUO20" s="130"/>
      <c r="EUY20" s="130"/>
      <c r="EVI20" s="130"/>
      <c r="EVS20" s="130"/>
      <c r="EWC20" s="130"/>
      <c r="EWM20" s="130"/>
      <c r="EWW20" s="130"/>
      <c r="EXG20" s="130"/>
      <c r="EXQ20" s="130"/>
      <c r="EYA20" s="130"/>
      <c r="EYK20" s="130"/>
      <c r="EYU20" s="130"/>
      <c r="EZE20" s="130"/>
      <c r="EZO20" s="130"/>
      <c r="EZY20" s="130"/>
      <c r="FAI20" s="130"/>
      <c r="FAS20" s="130"/>
      <c r="FBC20" s="130"/>
      <c r="FBM20" s="130"/>
      <c r="FBW20" s="130"/>
      <c r="FCG20" s="130"/>
      <c r="FCQ20" s="130"/>
      <c r="FDA20" s="130"/>
      <c r="FDK20" s="130"/>
      <c r="FDU20" s="130"/>
      <c r="FEE20" s="130"/>
      <c r="FEO20" s="130"/>
      <c r="FEY20" s="130"/>
      <c r="FFI20" s="130"/>
      <c r="FFS20" s="130"/>
      <c r="FGC20" s="130"/>
      <c r="FGM20" s="130"/>
      <c r="FGW20" s="130"/>
      <c r="FHG20" s="130"/>
      <c r="FHQ20" s="130"/>
      <c r="FIA20" s="130"/>
      <c r="FIK20" s="130"/>
      <c r="FIU20" s="130"/>
      <c r="FJE20" s="130"/>
      <c r="FJO20" s="130"/>
      <c r="FJY20" s="130"/>
      <c r="FKI20" s="130"/>
      <c r="FKS20" s="130"/>
      <c r="FLC20" s="130"/>
      <c r="FLM20" s="130"/>
      <c r="FLW20" s="130"/>
      <c r="FMG20" s="130"/>
      <c r="FMQ20" s="130"/>
      <c r="FNA20" s="130"/>
      <c r="FNK20" s="130"/>
      <c r="FNU20" s="130"/>
      <c r="FOE20" s="130"/>
      <c r="FOO20" s="130"/>
      <c r="FOY20" s="130"/>
      <c r="FPI20" s="130"/>
      <c r="FPS20" s="130"/>
      <c r="FQC20" s="130"/>
      <c r="FQM20" s="130"/>
      <c r="FQW20" s="130"/>
      <c r="FRG20" s="130"/>
      <c r="FRQ20" s="130"/>
      <c r="FSA20" s="130"/>
      <c r="FSK20" s="130"/>
      <c r="FSU20" s="130"/>
      <c r="FTE20" s="130"/>
      <c r="FTO20" s="130"/>
      <c r="FTY20" s="130"/>
      <c r="FUI20" s="130"/>
      <c r="FUS20" s="130"/>
      <c r="FVC20" s="130"/>
      <c r="FVM20" s="130"/>
      <c r="FVW20" s="130"/>
      <c r="FWG20" s="130"/>
      <c r="FWQ20" s="130"/>
      <c r="FXA20" s="130"/>
      <c r="FXK20" s="130"/>
      <c r="FXU20" s="130"/>
      <c r="FYE20" s="130"/>
      <c r="FYO20" s="130"/>
      <c r="FYY20" s="130"/>
      <c r="FZI20" s="130"/>
      <c r="FZS20" s="130"/>
      <c r="GAC20" s="130"/>
      <c r="GAM20" s="130"/>
      <c r="GAW20" s="130"/>
      <c r="GBG20" s="130"/>
      <c r="GBQ20" s="130"/>
      <c r="GCA20" s="130"/>
      <c r="GCK20" s="130"/>
      <c r="GCU20" s="130"/>
      <c r="GDE20" s="130"/>
      <c r="GDO20" s="130"/>
      <c r="GDY20" s="130"/>
      <c r="GEI20" s="130"/>
      <c r="GES20" s="130"/>
      <c r="GFC20" s="130"/>
      <c r="GFM20" s="130"/>
      <c r="GFW20" s="130"/>
      <c r="GGG20" s="130"/>
      <c r="GGQ20" s="130"/>
      <c r="GHA20" s="130"/>
      <c r="GHK20" s="130"/>
      <c r="GHU20" s="130"/>
      <c r="GIE20" s="130"/>
      <c r="GIO20" s="130"/>
      <c r="GIY20" s="130"/>
      <c r="GJI20" s="130"/>
      <c r="GJS20" s="130"/>
      <c r="GKC20" s="130"/>
      <c r="GKM20" s="130"/>
      <c r="GKW20" s="130"/>
      <c r="GLG20" s="130"/>
      <c r="GLQ20" s="130"/>
      <c r="GMA20" s="130"/>
      <c r="GMK20" s="130"/>
      <c r="GMU20" s="130"/>
      <c r="GNE20" s="130"/>
      <c r="GNO20" s="130"/>
      <c r="GNY20" s="130"/>
      <c r="GOI20" s="130"/>
      <c r="GOS20" s="130"/>
      <c r="GPC20" s="130"/>
      <c r="GPM20" s="130"/>
      <c r="GPW20" s="130"/>
      <c r="GQG20" s="130"/>
      <c r="GQQ20" s="130"/>
      <c r="GRA20" s="130"/>
      <c r="GRK20" s="130"/>
      <c r="GRU20" s="130"/>
      <c r="GSE20" s="130"/>
      <c r="GSO20" s="130"/>
      <c r="GSY20" s="130"/>
      <c r="GTI20" s="130"/>
      <c r="GTS20" s="130"/>
      <c r="GUC20" s="130"/>
      <c r="GUM20" s="130"/>
      <c r="GUW20" s="130"/>
      <c r="GVG20" s="130"/>
      <c r="GVQ20" s="130"/>
      <c r="GWA20" s="130"/>
      <c r="GWK20" s="130"/>
      <c r="GWU20" s="130"/>
      <c r="GXE20" s="130"/>
      <c r="GXO20" s="130"/>
      <c r="GXY20" s="130"/>
      <c r="GYI20" s="130"/>
      <c r="GYS20" s="130"/>
      <c r="GZC20" s="130"/>
      <c r="GZM20" s="130"/>
      <c r="GZW20" s="130"/>
      <c r="HAG20" s="130"/>
      <c r="HAQ20" s="130"/>
      <c r="HBA20" s="130"/>
      <c r="HBK20" s="130"/>
      <c r="HBU20" s="130"/>
      <c r="HCE20" s="130"/>
      <c r="HCO20" s="130"/>
      <c r="HCY20" s="130"/>
      <c r="HDI20" s="130"/>
      <c r="HDS20" s="130"/>
      <c r="HEC20" s="130"/>
      <c r="HEM20" s="130"/>
      <c r="HEW20" s="130"/>
      <c r="HFG20" s="130"/>
      <c r="HFQ20" s="130"/>
      <c r="HGA20" s="130"/>
      <c r="HGK20" s="130"/>
      <c r="HGU20" s="130"/>
      <c r="HHE20" s="130"/>
      <c r="HHO20" s="130"/>
      <c r="HHY20" s="130"/>
      <c r="HII20" s="130"/>
      <c r="HIS20" s="130"/>
      <c r="HJC20" s="130"/>
      <c r="HJM20" s="130"/>
      <c r="HJW20" s="130"/>
      <c r="HKG20" s="130"/>
      <c r="HKQ20" s="130"/>
      <c r="HLA20" s="130"/>
      <c r="HLK20" s="130"/>
      <c r="HLU20" s="130"/>
      <c r="HME20" s="130"/>
      <c r="HMO20" s="130"/>
      <c r="HMY20" s="130"/>
      <c r="HNI20" s="130"/>
      <c r="HNS20" s="130"/>
      <c r="HOC20" s="130"/>
      <c r="HOM20" s="130"/>
      <c r="HOW20" s="130"/>
      <c r="HPG20" s="130"/>
      <c r="HPQ20" s="130"/>
      <c r="HQA20" s="130"/>
      <c r="HQK20" s="130"/>
      <c r="HQU20" s="130"/>
      <c r="HRE20" s="130"/>
      <c r="HRO20" s="130"/>
      <c r="HRY20" s="130"/>
      <c r="HSI20" s="130"/>
      <c r="HSS20" s="130"/>
      <c r="HTC20" s="130"/>
      <c r="HTM20" s="130"/>
      <c r="HTW20" s="130"/>
      <c r="HUG20" s="130"/>
      <c r="HUQ20" s="130"/>
      <c r="HVA20" s="130"/>
      <c r="HVK20" s="130"/>
      <c r="HVU20" s="130"/>
      <c r="HWE20" s="130"/>
      <c r="HWO20" s="130"/>
      <c r="HWY20" s="130"/>
      <c r="HXI20" s="130"/>
      <c r="HXS20" s="130"/>
      <c r="HYC20" s="130"/>
      <c r="HYM20" s="130"/>
      <c r="HYW20" s="130"/>
      <c r="HZG20" s="130"/>
      <c r="HZQ20" s="130"/>
      <c r="IAA20" s="130"/>
      <c r="IAK20" s="130"/>
      <c r="IAU20" s="130"/>
      <c r="IBE20" s="130"/>
      <c r="IBO20" s="130"/>
      <c r="IBY20" s="130"/>
      <c r="ICI20" s="130"/>
      <c r="ICS20" s="130"/>
      <c r="IDC20" s="130"/>
      <c r="IDM20" s="130"/>
      <c r="IDW20" s="130"/>
      <c r="IEG20" s="130"/>
      <c r="IEQ20" s="130"/>
      <c r="IFA20" s="130"/>
      <c r="IFK20" s="130"/>
      <c r="IFU20" s="130"/>
      <c r="IGE20" s="130"/>
      <c r="IGO20" s="130"/>
      <c r="IGY20" s="130"/>
      <c r="IHI20" s="130"/>
      <c r="IHS20" s="130"/>
      <c r="IIC20" s="130"/>
      <c r="IIM20" s="130"/>
      <c r="IIW20" s="130"/>
      <c r="IJG20" s="130"/>
      <c r="IJQ20" s="130"/>
      <c r="IKA20" s="130"/>
      <c r="IKK20" s="130"/>
      <c r="IKU20" s="130"/>
      <c r="ILE20" s="130"/>
      <c r="ILO20" s="130"/>
      <c r="ILY20" s="130"/>
      <c r="IMI20" s="130"/>
      <c r="IMS20" s="130"/>
      <c r="INC20" s="130"/>
      <c r="INM20" s="130"/>
      <c r="INW20" s="130"/>
      <c r="IOG20" s="130"/>
      <c r="IOQ20" s="130"/>
      <c r="IPA20" s="130"/>
      <c r="IPK20" s="130"/>
      <c r="IPU20" s="130"/>
      <c r="IQE20" s="130"/>
      <c r="IQO20" s="130"/>
      <c r="IQY20" s="130"/>
      <c r="IRI20" s="130"/>
      <c r="IRS20" s="130"/>
      <c r="ISC20" s="130"/>
      <c r="ISM20" s="130"/>
      <c r="ISW20" s="130"/>
      <c r="ITG20" s="130"/>
      <c r="ITQ20" s="130"/>
      <c r="IUA20" s="130"/>
      <c r="IUK20" s="130"/>
      <c r="IUU20" s="130"/>
      <c r="IVE20" s="130"/>
      <c r="IVO20" s="130"/>
      <c r="IVY20" s="130"/>
      <c r="IWI20" s="130"/>
      <c r="IWS20" s="130"/>
      <c r="IXC20" s="130"/>
      <c r="IXM20" s="130"/>
      <c r="IXW20" s="130"/>
      <c r="IYG20" s="130"/>
      <c r="IYQ20" s="130"/>
      <c r="IZA20" s="130"/>
      <c r="IZK20" s="130"/>
      <c r="IZU20" s="130"/>
      <c r="JAE20" s="130"/>
      <c r="JAO20" s="130"/>
      <c r="JAY20" s="130"/>
      <c r="JBI20" s="130"/>
      <c r="JBS20" s="130"/>
      <c r="JCC20" s="130"/>
      <c r="JCM20" s="130"/>
      <c r="JCW20" s="130"/>
      <c r="JDG20" s="130"/>
      <c r="JDQ20" s="130"/>
      <c r="JEA20" s="130"/>
      <c r="JEK20" s="130"/>
      <c r="JEU20" s="130"/>
      <c r="JFE20" s="130"/>
      <c r="JFO20" s="130"/>
      <c r="JFY20" s="130"/>
      <c r="JGI20" s="130"/>
      <c r="JGS20" s="130"/>
      <c r="JHC20" s="130"/>
      <c r="JHM20" s="130"/>
      <c r="JHW20" s="130"/>
      <c r="JIG20" s="130"/>
      <c r="JIQ20" s="130"/>
      <c r="JJA20" s="130"/>
      <c r="JJK20" s="130"/>
      <c r="JJU20" s="130"/>
      <c r="JKE20" s="130"/>
      <c r="JKO20" s="130"/>
      <c r="JKY20" s="130"/>
      <c r="JLI20" s="130"/>
      <c r="JLS20" s="130"/>
      <c r="JMC20" s="130"/>
      <c r="JMM20" s="130"/>
      <c r="JMW20" s="130"/>
      <c r="JNG20" s="130"/>
      <c r="JNQ20" s="130"/>
      <c r="JOA20" s="130"/>
      <c r="JOK20" s="130"/>
      <c r="JOU20" s="130"/>
      <c r="JPE20" s="130"/>
      <c r="JPO20" s="130"/>
      <c r="JPY20" s="130"/>
      <c r="JQI20" s="130"/>
      <c r="JQS20" s="130"/>
      <c r="JRC20" s="130"/>
      <c r="JRM20" s="130"/>
      <c r="JRW20" s="130"/>
      <c r="JSG20" s="130"/>
      <c r="JSQ20" s="130"/>
      <c r="JTA20" s="130"/>
      <c r="JTK20" s="130"/>
      <c r="JTU20" s="130"/>
      <c r="JUE20" s="130"/>
      <c r="JUO20" s="130"/>
      <c r="JUY20" s="130"/>
      <c r="JVI20" s="130"/>
      <c r="JVS20" s="130"/>
      <c r="JWC20" s="130"/>
      <c r="JWM20" s="130"/>
      <c r="JWW20" s="130"/>
      <c r="JXG20" s="130"/>
      <c r="JXQ20" s="130"/>
      <c r="JYA20" s="130"/>
      <c r="JYK20" s="130"/>
      <c r="JYU20" s="130"/>
      <c r="JZE20" s="130"/>
      <c r="JZO20" s="130"/>
      <c r="JZY20" s="130"/>
      <c r="KAI20" s="130"/>
      <c r="KAS20" s="130"/>
      <c r="KBC20" s="130"/>
      <c r="KBM20" s="130"/>
      <c r="KBW20" s="130"/>
      <c r="KCG20" s="130"/>
      <c r="KCQ20" s="130"/>
      <c r="KDA20" s="130"/>
      <c r="KDK20" s="130"/>
      <c r="KDU20" s="130"/>
      <c r="KEE20" s="130"/>
      <c r="KEO20" s="130"/>
      <c r="KEY20" s="130"/>
      <c r="KFI20" s="130"/>
      <c r="KFS20" s="130"/>
      <c r="KGC20" s="130"/>
      <c r="KGM20" s="130"/>
      <c r="KGW20" s="130"/>
      <c r="KHG20" s="130"/>
      <c r="KHQ20" s="130"/>
      <c r="KIA20" s="130"/>
      <c r="KIK20" s="130"/>
      <c r="KIU20" s="130"/>
      <c r="KJE20" s="130"/>
      <c r="KJO20" s="130"/>
      <c r="KJY20" s="130"/>
      <c r="KKI20" s="130"/>
      <c r="KKS20" s="130"/>
      <c r="KLC20" s="130"/>
      <c r="KLM20" s="130"/>
      <c r="KLW20" s="130"/>
      <c r="KMG20" s="130"/>
      <c r="KMQ20" s="130"/>
      <c r="KNA20" s="130"/>
      <c r="KNK20" s="130"/>
      <c r="KNU20" s="130"/>
      <c r="KOE20" s="130"/>
      <c r="KOO20" s="130"/>
      <c r="KOY20" s="130"/>
      <c r="KPI20" s="130"/>
      <c r="KPS20" s="130"/>
      <c r="KQC20" s="130"/>
      <c r="KQM20" s="130"/>
      <c r="KQW20" s="130"/>
      <c r="KRG20" s="130"/>
      <c r="KRQ20" s="130"/>
      <c r="KSA20" s="130"/>
      <c r="KSK20" s="130"/>
      <c r="KSU20" s="130"/>
      <c r="KTE20" s="130"/>
      <c r="KTO20" s="130"/>
      <c r="KTY20" s="130"/>
      <c r="KUI20" s="130"/>
      <c r="KUS20" s="130"/>
      <c r="KVC20" s="130"/>
      <c r="KVM20" s="130"/>
      <c r="KVW20" s="130"/>
      <c r="KWG20" s="130"/>
      <c r="KWQ20" s="130"/>
      <c r="KXA20" s="130"/>
      <c r="KXK20" s="130"/>
      <c r="KXU20" s="130"/>
      <c r="KYE20" s="130"/>
      <c r="KYO20" s="130"/>
      <c r="KYY20" s="130"/>
      <c r="KZI20" s="130"/>
      <c r="KZS20" s="130"/>
      <c r="LAC20" s="130"/>
      <c r="LAM20" s="130"/>
      <c r="LAW20" s="130"/>
      <c r="LBG20" s="130"/>
      <c r="LBQ20" s="130"/>
      <c r="LCA20" s="130"/>
      <c r="LCK20" s="130"/>
      <c r="LCU20" s="130"/>
      <c r="LDE20" s="130"/>
      <c r="LDO20" s="130"/>
      <c r="LDY20" s="130"/>
      <c r="LEI20" s="130"/>
      <c r="LES20" s="130"/>
      <c r="LFC20" s="130"/>
      <c r="LFM20" s="130"/>
      <c r="LFW20" s="130"/>
      <c r="LGG20" s="130"/>
      <c r="LGQ20" s="130"/>
      <c r="LHA20" s="130"/>
      <c r="LHK20" s="130"/>
      <c r="LHU20" s="130"/>
      <c r="LIE20" s="130"/>
      <c r="LIO20" s="130"/>
      <c r="LIY20" s="130"/>
      <c r="LJI20" s="130"/>
      <c r="LJS20" s="130"/>
      <c r="LKC20" s="130"/>
      <c r="LKM20" s="130"/>
      <c r="LKW20" s="130"/>
      <c r="LLG20" s="130"/>
      <c r="LLQ20" s="130"/>
      <c r="LMA20" s="130"/>
      <c r="LMK20" s="130"/>
      <c r="LMU20" s="130"/>
      <c r="LNE20" s="130"/>
      <c r="LNO20" s="130"/>
      <c r="LNY20" s="130"/>
      <c r="LOI20" s="130"/>
      <c r="LOS20" s="130"/>
      <c r="LPC20" s="130"/>
      <c r="LPM20" s="130"/>
      <c r="LPW20" s="130"/>
      <c r="LQG20" s="130"/>
      <c r="LQQ20" s="130"/>
      <c r="LRA20" s="130"/>
      <c r="LRK20" s="130"/>
      <c r="LRU20" s="130"/>
      <c r="LSE20" s="130"/>
      <c r="LSO20" s="130"/>
      <c r="LSY20" s="130"/>
      <c r="LTI20" s="130"/>
      <c r="LTS20" s="130"/>
      <c r="LUC20" s="130"/>
      <c r="LUM20" s="130"/>
      <c r="LUW20" s="130"/>
      <c r="LVG20" s="130"/>
      <c r="LVQ20" s="130"/>
      <c r="LWA20" s="130"/>
      <c r="LWK20" s="130"/>
      <c r="LWU20" s="130"/>
      <c r="LXE20" s="130"/>
      <c r="LXO20" s="130"/>
      <c r="LXY20" s="130"/>
      <c r="LYI20" s="130"/>
      <c r="LYS20" s="130"/>
      <c r="LZC20" s="130"/>
      <c r="LZM20" s="130"/>
      <c r="LZW20" s="130"/>
      <c r="MAG20" s="130"/>
      <c r="MAQ20" s="130"/>
      <c r="MBA20" s="130"/>
      <c r="MBK20" s="130"/>
      <c r="MBU20" s="130"/>
      <c r="MCE20" s="130"/>
      <c r="MCO20" s="130"/>
      <c r="MCY20" s="130"/>
      <c r="MDI20" s="130"/>
      <c r="MDS20" s="130"/>
      <c r="MEC20" s="130"/>
      <c r="MEM20" s="130"/>
      <c r="MEW20" s="130"/>
      <c r="MFG20" s="130"/>
      <c r="MFQ20" s="130"/>
      <c r="MGA20" s="130"/>
      <c r="MGK20" s="130"/>
      <c r="MGU20" s="130"/>
      <c r="MHE20" s="130"/>
      <c r="MHO20" s="130"/>
      <c r="MHY20" s="130"/>
      <c r="MII20" s="130"/>
      <c r="MIS20" s="130"/>
      <c r="MJC20" s="130"/>
      <c r="MJM20" s="130"/>
      <c r="MJW20" s="130"/>
      <c r="MKG20" s="130"/>
      <c r="MKQ20" s="130"/>
      <c r="MLA20" s="130"/>
      <c r="MLK20" s="130"/>
      <c r="MLU20" s="130"/>
      <c r="MME20" s="130"/>
      <c r="MMO20" s="130"/>
      <c r="MMY20" s="130"/>
      <c r="MNI20" s="130"/>
      <c r="MNS20" s="130"/>
      <c r="MOC20" s="130"/>
      <c r="MOM20" s="130"/>
      <c r="MOW20" s="130"/>
      <c r="MPG20" s="130"/>
      <c r="MPQ20" s="130"/>
      <c r="MQA20" s="130"/>
      <c r="MQK20" s="130"/>
      <c r="MQU20" s="130"/>
      <c r="MRE20" s="130"/>
      <c r="MRO20" s="130"/>
      <c r="MRY20" s="130"/>
      <c r="MSI20" s="130"/>
      <c r="MSS20" s="130"/>
      <c r="MTC20" s="130"/>
      <c r="MTM20" s="130"/>
      <c r="MTW20" s="130"/>
      <c r="MUG20" s="130"/>
      <c r="MUQ20" s="130"/>
      <c r="MVA20" s="130"/>
      <c r="MVK20" s="130"/>
      <c r="MVU20" s="130"/>
      <c r="MWE20" s="130"/>
      <c r="MWO20" s="130"/>
      <c r="MWY20" s="130"/>
      <c r="MXI20" s="130"/>
      <c r="MXS20" s="130"/>
      <c r="MYC20" s="130"/>
      <c r="MYM20" s="130"/>
      <c r="MYW20" s="130"/>
      <c r="MZG20" s="130"/>
      <c r="MZQ20" s="130"/>
      <c r="NAA20" s="130"/>
      <c r="NAK20" s="130"/>
      <c r="NAU20" s="130"/>
      <c r="NBE20" s="130"/>
      <c r="NBO20" s="130"/>
      <c r="NBY20" s="130"/>
      <c r="NCI20" s="130"/>
      <c r="NCS20" s="130"/>
      <c r="NDC20" s="130"/>
      <c r="NDM20" s="130"/>
      <c r="NDW20" s="130"/>
      <c r="NEG20" s="130"/>
      <c r="NEQ20" s="130"/>
      <c r="NFA20" s="130"/>
      <c r="NFK20" s="130"/>
      <c r="NFU20" s="130"/>
      <c r="NGE20" s="130"/>
      <c r="NGO20" s="130"/>
      <c r="NGY20" s="130"/>
      <c r="NHI20" s="130"/>
      <c r="NHS20" s="130"/>
      <c r="NIC20" s="130"/>
      <c r="NIM20" s="130"/>
      <c r="NIW20" s="130"/>
      <c r="NJG20" s="130"/>
      <c r="NJQ20" s="130"/>
      <c r="NKA20" s="130"/>
      <c r="NKK20" s="130"/>
      <c r="NKU20" s="130"/>
      <c r="NLE20" s="130"/>
      <c r="NLO20" s="130"/>
      <c r="NLY20" s="130"/>
      <c r="NMI20" s="130"/>
      <c r="NMS20" s="130"/>
      <c r="NNC20" s="130"/>
      <c r="NNM20" s="130"/>
      <c r="NNW20" s="130"/>
      <c r="NOG20" s="130"/>
      <c r="NOQ20" s="130"/>
      <c r="NPA20" s="130"/>
      <c r="NPK20" s="130"/>
      <c r="NPU20" s="130"/>
      <c r="NQE20" s="130"/>
      <c r="NQO20" s="130"/>
      <c r="NQY20" s="130"/>
      <c r="NRI20" s="130"/>
      <c r="NRS20" s="130"/>
      <c r="NSC20" s="130"/>
      <c r="NSM20" s="130"/>
      <c r="NSW20" s="130"/>
      <c r="NTG20" s="130"/>
      <c r="NTQ20" s="130"/>
      <c r="NUA20" s="130"/>
      <c r="NUK20" s="130"/>
      <c r="NUU20" s="130"/>
      <c r="NVE20" s="130"/>
      <c r="NVO20" s="130"/>
      <c r="NVY20" s="130"/>
      <c r="NWI20" s="130"/>
      <c r="NWS20" s="130"/>
      <c r="NXC20" s="130"/>
      <c r="NXM20" s="130"/>
      <c r="NXW20" s="130"/>
      <c r="NYG20" s="130"/>
      <c r="NYQ20" s="130"/>
      <c r="NZA20" s="130"/>
      <c r="NZK20" s="130"/>
      <c r="NZU20" s="130"/>
      <c r="OAE20" s="130"/>
      <c r="OAO20" s="130"/>
      <c r="OAY20" s="130"/>
      <c r="OBI20" s="130"/>
      <c r="OBS20" s="130"/>
      <c r="OCC20" s="130"/>
      <c r="OCM20" s="130"/>
      <c r="OCW20" s="130"/>
      <c r="ODG20" s="130"/>
      <c r="ODQ20" s="130"/>
      <c r="OEA20" s="130"/>
      <c r="OEK20" s="130"/>
      <c r="OEU20" s="130"/>
      <c r="OFE20" s="130"/>
      <c r="OFO20" s="130"/>
      <c r="OFY20" s="130"/>
      <c r="OGI20" s="130"/>
      <c r="OGS20" s="130"/>
      <c r="OHC20" s="130"/>
      <c r="OHM20" s="130"/>
      <c r="OHW20" s="130"/>
      <c r="OIG20" s="130"/>
      <c r="OIQ20" s="130"/>
      <c r="OJA20" s="130"/>
      <c r="OJK20" s="130"/>
      <c r="OJU20" s="130"/>
      <c r="OKE20" s="130"/>
      <c r="OKO20" s="130"/>
      <c r="OKY20" s="130"/>
      <c r="OLI20" s="130"/>
      <c r="OLS20" s="130"/>
      <c r="OMC20" s="130"/>
      <c r="OMM20" s="130"/>
      <c r="OMW20" s="130"/>
      <c r="ONG20" s="130"/>
      <c r="ONQ20" s="130"/>
      <c r="OOA20" s="130"/>
      <c r="OOK20" s="130"/>
      <c r="OOU20" s="130"/>
      <c r="OPE20" s="130"/>
      <c r="OPO20" s="130"/>
      <c r="OPY20" s="130"/>
      <c r="OQI20" s="130"/>
      <c r="OQS20" s="130"/>
      <c r="ORC20" s="130"/>
      <c r="ORM20" s="130"/>
      <c r="ORW20" s="130"/>
      <c r="OSG20" s="130"/>
      <c r="OSQ20" s="130"/>
      <c r="OTA20" s="130"/>
      <c r="OTK20" s="130"/>
      <c r="OTU20" s="130"/>
      <c r="OUE20" s="130"/>
      <c r="OUO20" s="130"/>
      <c r="OUY20" s="130"/>
      <c r="OVI20" s="130"/>
      <c r="OVS20" s="130"/>
      <c r="OWC20" s="130"/>
      <c r="OWM20" s="130"/>
      <c r="OWW20" s="130"/>
      <c r="OXG20" s="130"/>
      <c r="OXQ20" s="130"/>
      <c r="OYA20" s="130"/>
      <c r="OYK20" s="130"/>
      <c r="OYU20" s="130"/>
      <c r="OZE20" s="130"/>
      <c r="OZO20" s="130"/>
      <c r="OZY20" s="130"/>
      <c r="PAI20" s="130"/>
      <c r="PAS20" s="130"/>
      <c r="PBC20" s="130"/>
      <c r="PBM20" s="130"/>
      <c r="PBW20" s="130"/>
      <c r="PCG20" s="130"/>
      <c r="PCQ20" s="130"/>
      <c r="PDA20" s="130"/>
      <c r="PDK20" s="130"/>
      <c r="PDU20" s="130"/>
      <c r="PEE20" s="130"/>
      <c r="PEO20" s="130"/>
      <c r="PEY20" s="130"/>
      <c r="PFI20" s="130"/>
      <c r="PFS20" s="130"/>
      <c r="PGC20" s="130"/>
      <c r="PGM20" s="130"/>
      <c r="PGW20" s="130"/>
      <c r="PHG20" s="130"/>
      <c r="PHQ20" s="130"/>
      <c r="PIA20" s="130"/>
      <c r="PIK20" s="130"/>
      <c r="PIU20" s="130"/>
      <c r="PJE20" s="130"/>
      <c r="PJO20" s="130"/>
      <c r="PJY20" s="130"/>
      <c r="PKI20" s="130"/>
      <c r="PKS20" s="130"/>
      <c r="PLC20" s="130"/>
      <c r="PLM20" s="130"/>
      <c r="PLW20" s="130"/>
      <c r="PMG20" s="130"/>
      <c r="PMQ20" s="130"/>
      <c r="PNA20" s="130"/>
      <c r="PNK20" s="130"/>
      <c r="PNU20" s="130"/>
      <c r="POE20" s="130"/>
      <c r="POO20" s="130"/>
      <c r="POY20" s="130"/>
      <c r="PPI20" s="130"/>
      <c r="PPS20" s="130"/>
      <c r="PQC20" s="130"/>
      <c r="PQM20" s="130"/>
      <c r="PQW20" s="130"/>
      <c r="PRG20" s="130"/>
      <c r="PRQ20" s="130"/>
      <c r="PSA20" s="130"/>
      <c r="PSK20" s="130"/>
      <c r="PSU20" s="130"/>
      <c r="PTE20" s="130"/>
      <c r="PTO20" s="130"/>
      <c r="PTY20" s="130"/>
      <c r="PUI20" s="130"/>
      <c r="PUS20" s="130"/>
      <c r="PVC20" s="130"/>
      <c r="PVM20" s="130"/>
      <c r="PVW20" s="130"/>
      <c r="PWG20" s="130"/>
      <c r="PWQ20" s="130"/>
      <c r="PXA20" s="130"/>
      <c r="PXK20" s="130"/>
      <c r="PXU20" s="130"/>
      <c r="PYE20" s="130"/>
      <c r="PYO20" s="130"/>
      <c r="PYY20" s="130"/>
      <c r="PZI20" s="130"/>
      <c r="PZS20" s="130"/>
      <c r="QAC20" s="130"/>
      <c r="QAM20" s="130"/>
      <c r="QAW20" s="130"/>
      <c r="QBG20" s="130"/>
      <c r="QBQ20" s="130"/>
      <c r="QCA20" s="130"/>
      <c r="QCK20" s="130"/>
      <c r="QCU20" s="130"/>
      <c r="QDE20" s="130"/>
      <c r="QDO20" s="130"/>
      <c r="QDY20" s="130"/>
      <c r="QEI20" s="130"/>
      <c r="QES20" s="130"/>
      <c r="QFC20" s="130"/>
      <c r="QFM20" s="130"/>
      <c r="QFW20" s="130"/>
      <c r="QGG20" s="130"/>
      <c r="QGQ20" s="130"/>
      <c r="QHA20" s="130"/>
      <c r="QHK20" s="130"/>
      <c r="QHU20" s="130"/>
      <c r="QIE20" s="130"/>
      <c r="QIO20" s="130"/>
      <c r="QIY20" s="130"/>
      <c r="QJI20" s="130"/>
      <c r="QJS20" s="130"/>
      <c r="QKC20" s="130"/>
      <c r="QKM20" s="130"/>
      <c r="QKW20" s="130"/>
      <c r="QLG20" s="130"/>
      <c r="QLQ20" s="130"/>
      <c r="QMA20" s="130"/>
      <c r="QMK20" s="130"/>
      <c r="QMU20" s="130"/>
      <c r="QNE20" s="130"/>
      <c r="QNO20" s="130"/>
      <c r="QNY20" s="130"/>
      <c r="QOI20" s="130"/>
      <c r="QOS20" s="130"/>
      <c r="QPC20" s="130"/>
      <c r="QPM20" s="130"/>
      <c r="QPW20" s="130"/>
      <c r="QQG20" s="130"/>
      <c r="QQQ20" s="130"/>
      <c r="QRA20" s="130"/>
      <c r="QRK20" s="130"/>
      <c r="QRU20" s="130"/>
      <c r="QSE20" s="130"/>
      <c r="QSO20" s="130"/>
      <c r="QSY20" s="130"/>
      <c r="QTI20" s="130"/>
      <c r="QTS20" s="130"/>
      <c r="QUC20" s="130"/>
      <c r="QUM20" s="130"/>
      <c r="QUW20" s="130"/>
      <c r="QVG20" s="130"/>
      <c r="QVQ20" s="130"/>
      <c r="QWA20" s="130"/>
      <c r="QWK20" s="130"/>
      <c r="QWU20" s="130"/>
      <c r="QXE20" s="130"/>
      <c r="QXO20" s="130"/>
      <c r="QXY20" s="130"/>
      <c r="QYI20" s="130"/>
      <c r="QYS20" s="130"/>
      <c r="QZC20" s="130"/>
      <c r="QZM20" s="130"/>
      <c r="QZW20" s="130"/>
      <c r="RAG20" s="130"/>
      <c r="RAQ20" s="130"/>
      <c r="RBA20" s="130"/>
      <c r="RBK20" s="130"/>
      <c r="RBU20" s="130"/>
      <c r="RCE20" s="130"/>
      <c r="RCO20" s="130"/>
      <c r="RCY20" s="130"/>
      <c r="RDI20" s="130"/>
      <c r="RDS20" s="130"/>
      <c r="REC20" s="130"/>
      <c r="REM20" s="130"/>
      <c r="REW20" s="130"/>
      <c r="RFG20" s="130"/>
      <c r="RFQ20" s="130"/>
      <c r="RGA20" s="130"/>
      <c r="RGK20" s="130"/>
      <c r="RGU20" s="130"/>
      <c r="RHE20" s="130"/>
      <c r="RHO20" s="130"/>
      <c r="RHY20" s="130"/>
      <c r="RII20" s="130"/>
      <c r="RIS20" s="130"/>
      <c r="RJC20" s="130"/>
      <c r="RJM20" s="130"/>
      <c r="RJW20" s="130"/>
      <c r="RKG20" s="130"/>
      <c r="RKQ20" s="130"/>
      <c r="RLA20" s="130"/>
      <c r="RLK20" s="130"/>
      <c r="RLU20" s="130"/>
      <c r="RME20" s="130"/>
      <c r="RMO20" s="130"/>
      <c r="RMY20" s="130"/>
      <c r="RNI20" s="130"/>
      <c r="RNS20" s="130"/>
      <c r="ROC20" s="130"/>
      <c r="ROM20" s="130"/>
      <c r="ROW20" s="130"/>
      <c r="RPG20" s="130"/>
      <c r="RPQ20" s="130"/>
      <c r="RQA20" s="130"/>
      <c r="RQK20" s="130"/>
      <c r="RQU20" s="130"/>
      <c r="RRE20" s="130"/>
      <c r="RRO20" s="130"/>
      <c r="RRY20" s="130"/>
      <c r="RSI20" s="130"/>
      <c r="RSS20" s="130"/>
      <c r="RTC20" s="130"/>
      <c r="RTM20" s="130"/>
      <c r="RTW20" s="130"/>
      <c r="RUG20" s="130"/>
      <c r="RUQ20" s="130"/>
      <c r="RVA20" s="130"/>
      <c r="RVK20" s="130"/>
      <c r="RVU20" s="130"/>
      <c r="RWE20" s="130"/>
      <c r="RWO20" s="130"/>
      <c r="RWY20" s="130"/>
      <c r="RXI20" s="130"/>
      <c r="RXS20" s="130"/>
      <c r="RYC20" s="130"/>
      <c r="RYM20" s="130"/>
      <c r="RYW20" s="130"/>
      <c r="RZG20" s="130"/>
      <c r="RZQ20" s="130"/>
      <c r="SAA20" s="130"/>
      <c r="SAK20" s="130"/>
      <c r="SAU20" s="130"/>
      <c r="SBE20" s="130"/>
      <c r="SBO20" s="130"/>
      <c r="SBY20" s="130"/>
      <c r="SCI20" s="130"/>
      <c r="SCS20" s="130"/>
      <c r="SDC20" s="130"/>
      <c r="SDM20" s="130"/>
      <c r="SDW20" s="130"/>
      <c r="SEG20" s="130"/>
      <c r="SEQ20" s="130"/>
      <c r="SFA20" s="130"/>
      <c r="SFK20" s="130"/>
      <c r="SFU20" s="130"/>
      <c r="SGE20" s="130"/>
      <c r="SGO20" s="130"/>
      <c r="SGY20" s="130"/>
      <c r="SHI20" s="130"/>
      <c r="SHS20" s="130"/>
      <c r="SIC20" s="130"/>
      <c r="SIM20" s="130"/>
      <c r="SIW20" s="130"/>
      <c r="SJG20" s="130"/>
      <c r="SJQ20" s="130"/>
      <c r="SKA20" s="130"/>
      <c r="SKK20" s="130"/>
      <c r="SKU20" s="130"/>
      <c r="SLE20" s="130"/>
      <c r="SLO20" s="130"/>
      <c r="SLY20" s="130"/>
      <c r="SMI20" s="130"/>
      <c r="SMS20" s="130"/>
      <c r="SNC20" s="130"/>
      <c r="SNM20" s="130"/>
      <c r="SNW20" s="130"/>
      <c r="SOG20" s="130"/>
      <c r="SOQ20" s="130"/>
      <c r="SPA20" s="130"/>
      <c r="SPK20" s="130"/>
      <c r="SPU20" s="130"/>
      <c r="SQE20" s="130"/>
      <c r="SQO20" s="130"/>
      <c r="SQY20" s="130"/>
      <c r="SRI20" s="130"/>
      <c r="SRS20" s="130"/>
      <c r="SSC20" s="130"/>
      <c r="SSM20" s="130"/>
      <c r="SSW20" s="130"/>
      <c r="STG20" s="130"/>
      <c r="STQ20" s="130"/>
      <c r="SUA20" s="130"/>
      <c r="SUK20" s="130"/>
      <c r="SUU20" s="130"/>
      <c r="SVE20" s="130"/>
      <c r="SVO20" s="130"/>
      <c r="SVY20" s="130"/>
      <c r="SWI20" s="130"/>
      <c r="SWS20" s="130"/>
      <c r="SXC20" s="130"/>
      <c r="SXM20" s="130"/>
      <c r="SXW20" s="130"/>
      <c r="SYG20" s="130"/>
      <c r="SYQ20" s="130"/>
      <c r="SZA20" s="130"/>
      <c r="SZK20" s="130"/>
      <c r="SZU20" s="130"/>
      <c r="TAE20" s="130"/>
      <c r="TAO20" s="130"/>
      <c r="TAY20" s="130"/>
      <c r="TBI20" s="130"/>
      <c r="TBS20" s="130"/>
      <c r="TCC20" s="130"/>
      <c r="TCM20" s="130"/>
      <c r="TCW20" s="130"/>
      <c r="TDG20" s="130"/>
      <c r="TDQ20" s="130"/>
      <c r="TEA20" s="130"/>
      <c r="TEK20" s="130"/>
      <c r="TEU20" s="130"/>
      <c r="TFE20" s="130"/>
      <c r="TFO20" s="130"/>
      <c r="TFY20" s="130"/>
      <c r="TGI20" s="130"/>
      <c r="TGS20" s="130"/>
      <c r="THC20" s="130"/>
      <c r="THM20" s="130"/>
      <c r="THW20" s="130"/>
      <c r="TIG20" s="130"/>
      <c r="TIQ20" s="130"/>
      <c r="TJA20" s="130"/>
      <c r="TJK20" s="130"/>
      <c r="TJU20" s="130"/>
      <c r="TKE20" s="130"/>
      <c r="TKO20" s="130"/>
      <c r="TKY20" s="130"/>
      <c r="TLI20" s="130"/>
      <c r="TLS20" s="130"/>
      <c r="TMC20" s="130"/>
      <c r="TMM20" s="130"/>
      <c r="TMW20" s="130"/>
      <c r="TNG20" s="130"/>
      <c r="TNQ20" s="130"/>
      <c r="TOA20" s="130"/>
      <c r="TOK20" s="130"/>
      <c r="TOU20" s="130"/>
      <c r="TPE20" s="130"/>
      <c r="TPO20" s="130"/>
      <c r="TPY20" s="130"/>
      <c r="TQI20" s="130"/>
      <c r="TQS20" s="130"/>
      <c r="TRC20" s="130"/>
      <c r="TRM20" s="130"/>
      <c r="TRW20" s="130"/>
      <c r="TSG20" s="130"/>
      <c r="TSQ20" s="130"/>
      <c r="TTA20" s="130"/>
      <c r="TTK20" s="130"/>
      <c r="TTU20" s="130"/>
      <c r="TUE20" s="130"/>
      <c r="TUO20" s="130"/>
      <c r="TUY20" s="130"/>
      <c r="TVI20" s="130"/>
      <c r="TVS20" s="130"/>
      <c r="TWC20" s="130"/>
      <c r="TWM20" s="130"/>
      <c r="TWW20" s="130"/>
      <c r="TXG20" s="130"/>
      <c r="TXQ20" s="130"/>
      <c r="TYA20" s="130"/>
      <c r="TYK20" s="130"/>
      <c r="TYU20" s="130"/>
      <c r="TZE20" s="130"/>
      <c r="TZO20" s="130"/>
      <c r="TZY20" s="130"/>
      <c r="UAI20" s="130"/>
      <c r="UAS20" s="130"/>
      <c r="UBC20" s="130"/>
      <c r="UBM20" s="130"/>
      <c r="UBW20" s="130"/>
      <c r="UCG20" s="130"/>
      <c r="UCQ20" s="130"/>
      <c r="UDA20" s="130"/>
      <c r="UDK20" s="130"/>
      <c r="UDU20" s="130"/>
      <c r="UEE20" s="130"/>
      <c r="UEO20" s="130"/>
      <c r="UEY20" s="130"/>
      <c r="UFI20" s="130"/>
      <c r="UFS20" s="130"/>
      <c r="UGC20" s="130"/>
      <c r="UGM20" s="130"/>
      <c r="UGW20" s="130"/>
      <c r="UHG20" s="130"/>
      <c r="UHQ20" s="130"/>
      <c r="UIA20" s="130"/>
      <c r="UIK20" s="130"/>
      <c r="UIU20" s="130"/>
      <c r="UJE20" s="130"/>
      <c r="UJO20" s="130"/>
      <c r="UJY20" s="130"/>
      <c r="UKI20" s="130"/>
      <c r="UKS20" s="130"/>
      <c r="ULC20" s="130"/>
      <c r="ULM20" s="130"/>
      <c r="ULW20" s="130"/>
      <c r="UMG20" s="130"/>
      <c r="UMQ20" s="130"/>
      <c r="UNA20" s="130"/>
      <c r="UNK20" s="130"/>
      <c r="UNU20" s="130"/>
      <c r="UOE20" s="130"/>
      <c r="UOO20" s="130"/>
      <c r="UOY20" s="130"/>
      <c r="UPI20" s="130"/>
      <c r="UPS20" s="130"/>
      <c r="UQC20" s="130"/>
      <c r="UQM20" s="130"/>
      <c r="UQW20" s="130"/>
      <c r="URG20" s="130"/>
      <c r="URQ20" s="130"/>
      <c r="USA20" s="130"/>
      <c r="USK20" s="130"/>
      <c r="USU20" s="130"/>
      <c r="UTE20" s="130"/>
      <c r="UTO20" s="130"/>
      <c r="UTY20" s="130"/>
      <c r="UUI20" s="130"/>
      <c r="UUS20" s="130"/>
      <c r="UVC20" s="130"/>
      <c r="UVM20" s="130"/>
      <c r="UVW20" s="130"/>
      <c r="UWG20" s="130"/>
      <c r="UWQ20" s="130"/>
      <c r="UXA20" s="130"/>
      <c r="UXK20" s="130"/>
      <c r="UXU20" s="130"/>
      <c r="UYE20" s="130"/>
      <c r="UYO20" s="130"/>
      <c r="UYY20" s="130"/>
      <c r="UZI20" s="130"/>
      <c r="UZS20" s="130"/>
      <c r="VAC20" s="130"/>
      <c r="VAM20" s="130"/>
      <c r="VAW20" s="130"/>
      <c r="VBG20" s="130"/>
      <c r="VBQ20" s="130"/>
      <c r="VCA20" s="130"/>
      <c r="VCK20" s="130"/>
      <c r="VCU20" s="130"/>
      <c r="VDE20" s="130"/>
      <c r="VDO20" s="130"/>
      <c r="VDY20" s="130"/>
      <c r="VEI20" s="130"/>
      <c r="VES20" s="130"/>
      <c r="VFC20" s="130"/>
      <c r="VFM20" s="130"/>
      <c r="VFW20" s="130"/>
      <c r="VGG20" s="130"/>
      <c r="VGQ20" s="130"/>
      <c r="VHA20" s="130"/>
      <c r="VHK20" s="130"/>
      <c r="VHU20" s="130"/>
      <c r="VIE20" s="130"/>
      <c r="VIO20" s="130"/>
      <c r="VIY20" s="130"/>
      <c r="VJI20" s="130"/>
      <c r="VJS20" s="130"/>
      <c r="VKC20" s="130"/>
      <c r="VKM20" s="130"/>
      <c r="VKW20" s="130"/>
      <c r="VLG20" s="130"/>
      <c r="VLQ20" s="130"/>
      <c r="VMA20" s="130"/>
      <c r="VMK20" s="130"/>
      <c r="VMU20" s="130"/>
      <c r="VNE20" s="130"/>
      <c r="VNO20" s="130"/>
      <c r="VNY20" s="130"/>
      <c r="VOI20" s="130"/>
      <c r="VOS20" s="130"/>
      <c r="VPC20" s="130"/>
      <c r="VPM20" s="130"/>
      <c r="VPW20" s="130"/>
      <c r="VQG20" s="130"/>
      <c r="VQQ20" s="130"/>
      <c r="VRA20" s="130"/>
      <c r="VRK20" s="130"/>
      <c r="VRU20" s="130"/>
      <c r="VSE20" s="130"/>
      <c r="VSO20" s="130"/>
      <c r="VSY20" s="130"/>
      <c r="VTI20" s="130"/>
      <c r="VTS20" s="130"/>
      <c r="VUC20" s="130"/>
      <c r="VUM20" s="130"/>
      <c r="VUW20" s="130"/>
      <c r="VVG20" s="130"/>
      <c r="VVQ20" s="130"/>
      <c r="VWA20" s="130"/>
      <c r="VWK20" s="130"/>
      <c r="VWU20" s="130"/>
      <c r="VXE20" s="130"/>
      <c r="VXO20" s="130"/>
      <c r="VXY20" s="130"/>
      <c r="VYI20" s="130"/>
      <c r="VYS20" s="130"/>
      <c r="VZC20" s="130"/>
      <c r="VZM20" s="130"/>
      <c r="VZW20" s="130"/>
      <c r="WAG20" s="130"/>
      <c r="WAQ20" s="130"/>
      <c r="WBA20" s="130"/>
      <c r="WBK20" s="130"/>
      <c r="WBU20" s="130"/>
      <c r="WCE20" s="130"/>
      <c r="WCO20" s="130"/>
      <c r="WCY20" s="130"/>
      <c r="WDI20" s="130"/>
      <c r="WDS20" s="130"/>
      <c r="WEC20" s="130"/>
      <c r="WEM20" s="130"/>
      <c r="WEW20" s="130"/>
      <c r="WFG20" s="130"/>
      <c r="WFQ20" s="130"/>
      <c r="WGA20" s="130"/>
      <c r="WGK20" s="130"/>
      <c r="WGU20" s="130"/>
      <c r="WHE20" s="130"/>
      <c r="WHO20" s="130"/>
      <c r="WHY20" s="130"/>
      <c r="WII20" s="130"/>
      <c r="WIS20" s="130"/>
      <c r="WJC20" s="130"/>
      <c r="WJM20" s="130"/>
      <c r="WJW20" s="130"/>
      <c r="WKG20" s="130"/>
      <c r="WKQ20" s="130"/>
      <c r="WLA20" s="130"/>
      <c r="WLK20" s="130"/>
      <c r="WLU20" s="130"/>
      <c r="WME20" s="130"/>
      <c r="WMO20" s="130"/>
      <c r="WMY20" s="130"/>
      <c r="WNI20" s="130"/>
      <c r="WNS20" s="130"/>
      <c r="WOC20" s="130"/>
      <c r="WOM20" s="130"/>
      <c r="WOW20" s="130"/>
      <c r="WPG20" s="130"/>
      <c r="WPQ20" s="130"/>
      <c r="WQA20" s="130"/>
      <c r="WQK20" s="130"/>
      <c r="WQU20" s="130"/>
      <c r="WRE20" s="130"/>
      <c r="WRO20" s="130"/>
      <c r="WRY20" s="130"/>
      <c r="WSI20" s="130"/>
      <c r="WSS20" s="130"/>
      <c r="WTC20" s="130"/>
      <c r="WTM20" s="130"/>
      <c r="WTW20" s="130"/>
      <c r="WUG20" s="130"/>
      <c r="WUQ20" s="130"/>
      <c r="WVA20" s="130"/>
      <c r="WVK20" s="130"/>
      <c r="WVU20" s="130"/>
      <c r="WWE20" s="130"/>
      <c r="WWO20" s="130"/>
      <c r="WWY20" s="130"/>
      <c r="WXI20" s="130"/>
      <c r="WXS20" s="130"/>
      <c r="WYC20" s="130"/>
      <c r="WYM20" s="130"/>
      <c r="WYW20" s="130"/>
      <c r="WZG20" s="130"/>
      <c r="WZQ20" s="130"/>
      <c r="XAA20" s="130"/>
      <c r="XAK20" s="130"/>
      <c r="XAU20" s="130"/>
      <c r="XBE20" s="130"/>
      <c r="XBO20" s="130"/>
      <c r="XBY20" s="130"/>
      <c r="XCI20" s="130"/>
      <c r="XCS20" s="130"/>
      <c r="XDC20" s="130"/>
      <c r="XDM20" s="130"/>
      <c r="XDW20" s="130"/>
      <c r="XEG20" s="130"/>
      <c r="XEQ20" s="130"/>
      <c r="XFA20" s="130"/>
    </row>
    <row r="21" s="383" customFormat="1" ht="13.2" spans="1:16381">
      <c r="A21" s="130" t="s">
        <v>60</v>
      </c>
      <c r="B21" s="383">
        <v>2025</v>
      </c>
      <c r="C21" s="607" t="s">
        <v>833</v>
      </c>
      <c r="D21" s="383">
        <v>81.9</v>
      </c>
      <c r="E21" s="383">
        <v>9323.4</v>
      </c>
      <c r="F21" s="383">
        <v>25.72</v>
      </c>
      <c r="G21" s="383">
        <v>-358.95</v>
      </c>
      <c r="H21" s="383">
        <v>178.78</v>
      </c>
      <c r="I21" s="383">
        <v>0</v>
      </c>
      <c r="J21" s="383">
        <v>-154.45</v>
      </c>
      <c r="K21" s="130"/>
      <c r="U21" s="130"/>
      <c r="AE21" s="130"/>
      <c r="AO21" s="130"/>
      <c r="AY21" s="130"/>
      <c r="BI21" s="130"/>
      <c r="BS21" s="130"/>
      <c r="CC21" s="130"/>
      <c r="CM21" s="130"/>
      <c r="CW21" s="130"/>
      <c r="DG21" s="130"/>
      <c r="DQ21" s="130"/>
      <c r="EA21" s="130"/>
      <c r="EK21" s="130"/>
      <c r="EU21" s="130"/>
      <c r="FE21" s="130"/>
      <c r="FO21" s="130"/>
      <c r="FY21" s="130"/>
      <c r="GI21" s="130"/>
      <c r="GS21" s="130"/>
      <c r="HC21" s="130"/>
      <c r="HM21" s="130"/>
      <c r="HW21" s="130"/>
      <c r="IG21" s="130"/>
      <c r="IQ21" s="130"/>
      <c r="JA21" s="130"/>
      <c r="JK21" s="130"/>
      <c r="JU21" s="130"/>
      <c r="KE21" s="130"/>
      <c r="KO21" s="130"/>
      <c r="KY21" s="130"/>
      <c r="LI21" s="130"/>
      <c r="LS21" s="130"/>
      <c r="MC21" s="130"/>
      <c r="MM21" s="130"/>
      <c r="MW21" s="130"/>
      <c r="NG21" s="130"/>
      <c r="NQ21" s="130"/>
      <c r="OA21" s="130"/>
      <c r="OK21" s="130"/>
      <c r="OU21" s="130"/>
      <c r="PE21" s="130"/>
      <c r="PO21" s="130"/>
      <c r="PY21" s="130"/>
      <c r="QI21" s="130"/>
      <c r="QS21" s="130"/>
      <c r="RC21" s="130"/>
      <c r="RM21" s="130"/>
      <c r="RW21" s="130"/>
      <c r="SG21" s="130"/>
      <c r="SQ21" s="130"/>
      <c r="TA21" s="130"/>
      <c r="TK21" s="130"/>
      <c r="TU21" s="130"/>
      <c r="UE21" s="130"/>
      <c r="UO21" s="130"/>
      <c r="UY21" s="130"/>
      <c r="VI21" s="130"/>
      <c r="VS21" s="130"/>
      <c r="WC21" s="130"/>
      <c r="WM21" s="130"/>
      <c r="WW21" s="130"/>
      <c r="XG21" s="130"/>
      <c r="XQ21" s="130"/>
      <c r="YA21" s="130"/>
      <c r="YK21" s="130"/>
      <c r="YU21" s="130"/>
      <c r="ZE21" s="130"/>
      <c r="ZO21" s="130"/>
      <c r="ZY21" s="130"/>
      <c r="AAI21" s="130"/>
      <c r="AAS21" s="130"/>
      <c r="ABC21" s="130"/>
      <c r="ABM21" s="130"/>
      <c r="ABW21" s="130"/>
      <c r="ACG21" s="130"/>
      <c r="ACQ21" s="130"/>
      <c r="ADA21" s="130"/>
      <c r="ADK21" s="130"/>
      <c r="ADU21" s="130"/>
      <c r="AEE21" s="130"/>
      <c r="AEO21" s="130"/>
      <c r="AEY21" s="130"/>
      <c r="AFI21" s="130"/>
      <c r="AFS21" s="130"/>
      <c r="AGC21" s="130"/>
      <c r="AGM21" s="130"/>
      <c r="AGW21" s="130"/>
      <c r="AHG21" s="130"/>
      <c r="AHQ21" s="130"/>
      <c r="AIA21" s="130"/>
      <c r="AIK21" s="130"/>
      <c r="AIU21" s="130"/>
      <c r="AJE21" s="130"/>
      <c r="AJO21" s="130"/>
      <c r="AJY21" s="130"/>
      <c r="AKI21" s="130"/>
      <c r="AKS21" s="130"/>
      <c r="ALC21" s="130"/>
      <c r="ALM21" s="130"/>
      <c r="ALW21" s="130"/>
      <c r="AMG21" s="130"/>
      <c r="AMQ21" s="130"/>
      <c r="ANA21" s="130"/>
      <c r="ANK21" s="130"/>
      <c r="ANU21" s="130"/>
      <c r="AOE21" s="130"/>
      <c r="AOO21" s="130"/>
      <c r="AOY21" s="130"/>
      <c r="API21" s="130"/>
      <c r="APS21" s="130"/>
      <c r="AQC21" s="130"/>
      <c r="AQM21" s="130"/>
      <c r="AQW21" s="130"/>
      <c r="ARG21" s="130"/>
      <c r="ARQ21" s="130"/>
      <c r="ASA21" s="130"/>
      <c r="ASK21" s="130"/>
      <c r="ASU21" s="130"/>
      <c r="ATE21" s="130"/>
      <c r="ATO21" s="130"/>
      <c r="ATY21" s="130"/>
      <c r="AUI21" s="130"/>
      <c r="AUS21" s="130"/>
      <c r="AVC21" s="130"/>
      <c r="AVM21" s="130"/>
      <c r="AVW21" s="130"/>
      <c r="AWG21" s="130"/>
      <c r="AWQ21" s="130"/>
      <c r="AXA21" s="130"/>
      <c r="AXK21" s="130"/>
      <c r="AXU21" s="130"/>
      <c r="AYE21" s="130"/>
      <c r="AYO21" s="130"/>
      <c r="AYY21" s="130"/>
      <c r="AZI21" s="130"/>
      <c r="AZS21" s="130"/>
      <c r="BAC21" s="130"/>
      <c r="BAM21" s="130"/>
      <c r="BAW21" s="130"/>
      <c r="BBG21" s="130"/>
      <c r="BBQ21" s="130"/>
      <c r="BCA21" s="130"/>
      <c r="BCK21" s="130"/>
      <c r="BCU21" s="130"/>
      <c r="BDE21" s="130"/>
      <c r="BDO21" s="130"/>
      <c r="BDY21" s="130"/>
      <c r="BEI21" s="130"/>
      <c r="BES21" s="130"/>
      <c r="BFC21" s="130"/>
      <c r="BFM21" s="130"/>
      <c r="BFW21" s="130"/>
      <c r="BGG21" s="130"/>
      <c r="BGQ21" s="130"/>
      <c r="BHA21" s="130"/>
      <c r="BHK21" s="130"/>
      <c r="BHU21" s="130"/>
      <c r="BIE21" s="130"/>
      <c r="BIO21" s="130"/>
      <c r="BIY21" s="130"/>
      <c r="BJI21" s="130"/>
      <c r="BJS21" s="130"/>
      <c r="BKC21" s="130"/>
      <c r="BKM21" s="130"/>
      <c r="BKW21" s="130"/>
      <c r="BLG21" s="130"/>
      <c r="BLQ21" s="130"/>
      <c r="BMA21" s="130"/>
      <c r="BMK21" s="130"/>
      <c r="BMU21" s="130"/>
      <c r="BNE21" s="130"/>
      <c r="BNO21" s="130"/>
      <c r="BNY21" s="130"/>
      <c r="BOI21" s="130"/>
      <c r="BOS21" s="130"/>
      <c r="BPC21" s="130"/>
      <c r="BPM21" s="130"/>
      <c r="BPW21" s="130"/>
      <c r="BQG21" s="130"/>
      <c r="BQQ21" s="130"/>
      <c r="BRA21" s="130"/>
      <c r="BRK21" s="130"/>
      <c r="BRU21" s="130"/>
      <c r="BSE21" s="130"/>
      <c r="BSO21" s="130"/>
      <c r="BSY21" s="130"/>
      <c r="BTI21" s="130"/>
      <c r="BTS21" s="130"/>
      <c r="BUC21" s="130"/>
      <c r="BUM21" s="130"/>
      <c r="BUW21" s="130"/>
      <c r="BVG21" s="130"/>
      <c r="BVQ21" s="130"/>
      <c r="BWA21" s="130"/>
      <c r="BWK21" s="130"/>
      <c r="BWU21" s="130"/>
      <c r="BXE21" s="130"/>
      <c r="BXO21" s="130"/>
      <c r="BXY21" s="130"/>
      <c r="BYI21" s="130"/>
      <c r="BYS21" s="130"/>
      <c r="BZC21" s="130"/>
      <c r="BZM21" s="130"/>
      <c r="BZW21" s="130"/>
      <c r="CAG21" s="130"/>
      <c r="CAQ21" s="130"/>
      <c r="CBA21" s="130"/>
      <c r="CBK21" s="130"/>
      <c r="CBU21" s="130"/>
      <c r="CCE21" s="130"/>
      <c r="CCO21" s="130"/>
      <c r="CCY21" s="130"/>
      <c r="CDI21" s="130"/>
      <c r="CDS21" s="130"/>
      <c r="CEC21" s="130"/>
      <c r="CEM21" s="130"/>
      <c r="CEW21" s="130"/>
      <c r="CFG21" s="130"/>
      <c r="CFQ21" s="130"/>
      <c r="CGA21" s="130"/>
      <c r="CGK21" s="130"/>
      <c r="CGU21" s="130"/>
      <c r="CHE21" s="130"/>
      <c r="CHO21" s="130"/>
      <c r="CHY21" s="130"/>
      <c r="CII21" s="130"/>
      <c r="CIS21" s="130"/>
      <c r="CJC21" s="130"/>
      <c r="CJM21" s="130"/>
      <c r="CJW21" s="130"/>
      <c r="CKG21" s="130"/>
      <c r="CKQ21" s="130"/>
      <c r="CLA21" s="130"/>
      <c r="CLK21" s="130"/>
      <c r="CLU21" s="130"/>
      <c r="CME21" s="130"/>
      <c r="CMO21" s="130"/>
      <c r="CMY21" s="130"/>
      <c r="CNI21" s="130"/>
      <c r="CNS21" s="130"/>
      <c r="COC21" s="130"/>
      <c r="COM21" s="130"/>
      <c r="COW21" s="130"/>
      <c r="CPG21" s="130"/>
      <c r="CPQ21" s="130"/>
      <c r="CQA21" s="130"/>
      <c r="CQK21" s="130"/>
      <c r="CQU21" s="130"/>
      <c r="CRE21" s="130"/>
      <c r="CRO21" s="130"/>
      <c r="CRY21" s="130"/>
      <c r="CSI21" s="130"/>
      <c r="CSS21" s="130"/>
      <c r="CTC21" s="130"/>
      <c r="CTM21" s="130"/>
      <c r="CTW21" s="130"/>
      <c r="CUG21" s="130"/>
      <c r="CUQ21" s="130"/>
      <c r="CVA21" s="130"/>
      <c r="CVK21" s="130"/>
      <c r="CVU21" s="130"/>
      <c r="CWE21" s="130"/>
      <c r="CWO21" s="130"/>
      <c r="CWY21" s="130"/>
      <c r="CXI21" s="130"/>
      <c r="CXS21" s="130"/>
      <c r="CYC21" s="130"/>
      <c r="CYM21" s="130"/>
      <c r="CYW21" s="130"/>
      <c r="CZG21" s="130"/>
      <c r="CZQ21" s="130"/>
      <c r="DAA21" s="130"/>
      <c r="DAK21" s="130"/>
      <c r="DAU21" s="130"/>
      <c r="DBE21" s="130"/>
      <c r="DBO21" s="130"/>
      <c r="DBY21" s="130"/>
      <c r="DCI21" s="130"/>
      <c r="DCS21" s="130"/>
      <c r="DDC21" s="130"/>
      <c r="DDM21" s="130"/>
      <c r="DDW21" s="130"/>
      <c r="DEG21" s="130"/>
      <c r="DEQ21" s="130"/>
      <c r="DFA21" s="130"/>
      <c r="DFK21" s="130"/>
      <c r="DFU21" s="130"/>
      <c r="DGE21" s="130"/>
      <c r="DGO21" s="130"/>
      <c r="DGY21" s="130"/>
      <c r="DHI21" s="130"/>
      <c r="DHS21" s="130"/>
      <c r="DIC21" s="130"/>
      <c r="DIM21" s="130"/>
      <c r="DIW21" s="130"/>
      <c r="DJG21" s="130"/>
      <c r="DJQ21" s="130"/>
      <c r="DKA21" s="130"/>
      <c r="DKK21" s="130"/>
      <c r="DKU21" s="130"/>
      <c r="DLE21" s="130"/>
      <c r="DLO21" s="130"/>
      <c r="DLY21" s="130"/>
      <c r="DMI21" s="130"/>
      <c r="DMS21" s="130"/>
      <c r="DNC21" s="130"/>
      <c r="DNM21" s="130"/>
      <c r="DNW21" s="130"/>
      <c r="DOG21" s="130"/>
      <c r="DOQ21" s="130"/>
      <c r="DPA21" s="130"/>
      <c r="DPK21" s="130"/>
      <c r="DPU21" s="130"/>
      <c r="DQE21" s="130"/>
      <c r="DQO21" s="130"/>
      <c r="DQY21" s="130"/>
      <c r="DRI21" s="130"/>
      <c r="DRS21" s="130"/>
      <c r="DSC21" s="130"/>
      <c r="DSM21" s="130"/>
      <c r="DSW21" s="130"/>
      <c r="DTG21" s="130"/>
      <c r="DTQ21" s="130"/>
      <c r="DUA21" s="130"/>
      <c r="DUK21" s="130"/>
      <c r="DUU21" s="130"/>
      <c r="DVE21" s="130"/>
      <c r="DVO21" s="130"/>
      <c r="DVY21" s="130"/>
      <c r="DWI21" s="130"/>
      <c r="DWS21" s="130"/>
      <c r="DXC21" s="130"/>
      <c r="DXM21" s="130"/>
      <c r="DXW21" s="130"/>
      <c r="DYG21" s="130"/>
      <c r="DYQ21" s="130"/>
      <c r="DZA21" s="130"/>
      <c r="DZK21" s="130"/>
      <c r="DZU21" s="130"/>
      <c r="EAE21" s="130"/>
      <c r="EAO21" s="130"/>
      <c r="EAY21" s="130"/>
      <c r="EBI21" s="130"/>
      <c r="EBS21" s="130"/>
      <c r="ECC21" s="130"/>
      <c r="ECM21" s="130"/>
      <c r="ECW21" s="130"/>
      <c r="EDG21" s="130"/>
      <c r="EDQ21" s="130"/>
      <c r="EEA21" s="130"/>
      <c r="EEK21" s="130"/>
      <c r="EEU21" s="130"/>
      <c r="EFE21" s="130"/>
      <c r="EFO21" s="130"/>
      <c r="EFY21" s="130"/>
      <c r="EGI21" s="130"/>
      <c r="EGS21" s="130"/>
      <c r="EHC21" s="130"/>
      <c r="EHM21" s="130"/>
      <c r="EHW21" s="130"/>
      <c r="EIG21" s="130"/>
      <c r="EIQ21" s="130"/>
      <c r="EJA21" s="130"/>
      <c r="EJK21" s="130"/>
      <c r="EJU21" s="130"/>
      <c r="EKE21" s="130"/>
      <c r="EKO21" s="130"/>
      <c r="EKY21" s="130"/>
      <c r="ELI21" s="130"/>
      <c r="ELS21" s="130"/>
      <c r="EMC21" s="130"/>
      <c r="EMM21" s="130"/>
      <c r="EMW21" s="130"/>
      <c r="ENG21" s="130"/>
      <c r="ENQ21" s="130"/>
      <c r="EOA21" s="130"/>
      <c r="EOK21" s="130"/>
      <c r="EOU21" s="130"/>
      <c r="EPE21" s="130"/>
      <c r="EPO21" s="130"/>
      <c r="EPY21" s="130"/>
      <c r="EQI21" s="130"/>
      <c r="EQS21" s="130"/>
      <c r="ERC21" s="130"/>
      <c r="ERM21" s="130"/>
      <c r="ERW21" s="130"/>
      <c r="ESG21" s="130"/>
      <c r="ESQ21" s="130"/>
      <c r="ETA21" s="130"/>
      <c r="ETK21" s="130"/>
      <c r="ETU21" s="130"/>
      <c r="EUE21" s="130"/>
      <c r="EUO21" s="130"/>
      <c r="EUY21" s="130"/>
      <c r="EVI21" s="130"/>
      <c r="EVS21" s="130"/>
      <c r="EWC21" s="130"/>
      <c r="EWM21" s="130"/>
      <c r="EWW21" s="130"/>
      <c r="EXG21" s="130"/>
      <c r="EXQ21" s="130"/>
      <c r="EYA21" s="130"/>
      <c r="EYK21" s="130"/>
      <c r="EYU21" s="130"/>
      <c r="EZE21" s="130"/>
      <c r="EZO21" s="130"/>
      <c r="EZY21" s="130"/>
      <c r="FAI21" s="130"/>
      <c r="FAS21" s="130"/>
      <c r="FBC21" s="130"/>
      <c r="FBM21" s="130"/>
      <c r="FBW21" s="130"/>
      <c r="FCG21" s="130"/>
      <c r="FCQ21" s="130"/>
      <c r="FDA21" s="130"/>
      <c r="FDK21" s="130"/>
      <c r="FDU21" s="130"/>
      <c r="FEE21" s="130"/>
      <c r="FEO21" s="130"/>
      <c r="FEY21" s="130"/>
      <c r="FFI21" s="130"/>
      <c r="FFS21" s="130"/>
      <c r="FGC21" s="130"/>
      <c r="FGM21" s="130"/>
      <c r="FGW21" s="130"/>
      <c r="FHG21" s="130"/>
      <c r="FHQ21" s="130"/>
      <c r="FIA21" s="130"/>
      <c r="FIK21" s="130"/>
      <c r="FIU21" s="130"/>
      <c r="FJE21" s="130"/>
      <c r="FJO21" s="130"/>
      <c r="FJY21" s="130"/>
      <c r="FKI21" s="130"/>
      <c r="FKS21" s="130"/>
      <c r="FLC21" s="130"/>
      <c r="FLM21" s="130"/>
      <c r="FLW21" s="130"/>
      <c r="FMG21" s="130"/>
      <c r="FMQ21" s="130"/>
      <c r="FNA21" s="130"/>
      <c r="FNK21" s="130"/>
      <c r="FNU21" s="130"/>
      <c r="FOE21" s="130"/>
      <c r="FOO21" s="130"/>
      <c r="FOY21" s="130"/>
      <c r="FPI21" s="130"/>
      <c r="FPS21" s="130"/>
      <c r="FQC21" s="130"/>
      <c r="FQM21" s="130"/>
      <c r="FQW21" s="130"/>
      <c r="FRG21" s="130"/>
      <c r="FRQ21" s="130"/>
      <c r="FSA21" s="130"/>
      <c r="FSK21" s="130"/>
      <c r="FSU21" s="130"/>
      <c r="FTE21" s="130"/>
      <c r="FTO21" s="130"/>
      <c r="FTY21" s="130"/>
      <c r="FUI21" s="130"/>
      <c r="FUS21" s="130"/>
      <c r="FVC21" s="130"/>
      <c r="FVM21" s="130"/>
      <c r="FVW21" s="130"/>
      <c r="FWG21" s="130"/>
      <c r="FWQ21" s="130"/>
      <c r="FXA21" s="130"/>
      <c r="FXK21" s="130"/>
      <c r="FXU21" s="130"/>
      <c r="FYE21" s="130"/>
      <c r="FYO21" s="130"/>
      <c r="FYY21" s="130"/>
      <c r="FZI21" s="130"/>
      <c r="FZS21" s="130"/>
      <c r="GAC21" s="130"/>
      <c r="GAM21" s="130"/>
      <c r="GAW21" s="130"/>
      <c r="GBG21" s="130"/>
      <c r="GBQ21" s="130"/>
      <c r="GCA21" s="130"/>
      <c r="GCK21" s="130"/>
      <c r="GCU21" s="130"/>
      <c r="GDE21" s="130"/>
      <c r="GDO21" s="130"/>
      <c r="GDY21" s="130"/>
      <c r="GEI21" s="130"/>
      <c r="GES21" s="130"/>
      <c r="GFC21" s="130"/>
      <c r="GFM21" s="130"/>
      <c r="GFW21" s="130"/>
      <c r="GGG21" s="130"/>
      <c r="GGQ21" s="130"/>
      <c r="GHA21" s="130"/>
      <c r="GHK21" s="130"/>
      <c r="GHU21" s="130"/>
      <c r="GIE21" s="130"/>
      <c r="GIO21" s="130"/>
      <c r="GIY21" s="130"/>
      <c r="GJI21" s="130"/>
      <c r="GJS21" s="130"/>
      <c r="GKC21" s="130"/>
      <c r="GKM21" s="130"/>
      <c r="GKW21" s="130"/>
      <c r="GLG21" s="130"/>
      <c r="GLQ21" s="130"/>
      <c r="GMA21" s="130"/>
      <c r="GMK21" s="130"/>
      <c r="GMU21" s="130"/>
      <c r="GNE21" s="130"/>
      <c r="GNO21" s="130"/>
      <c r="GNY21" s="130"/>
      <c r="GOI21" s="130"/>
      <c r="GOS21" s="130"/>
      <c r="GPC21" s="130"/>
      <c r="GPM21" s="130"/>
      <c r="GPW21" s="130"/>
      <c r="GQG21" s="130"/>
      <c r="GQQ21" s="130"/>
      <c r="GRA21" s="130"/>
      <c r="GRK21" s="130"/>
      <c r="GRU21" s="130"/>
      <c r="GSE21" s="130"/>
      <c r="GSO21" s="130"/>
      <c r="GSY21" s="130"/>
      <c r="GTI21" s="130"/>
      <c r="GTS21" s="130"/>
      <c r="GUC21" s="130"/>
      <c r="GUM21" s="130"/>
      <c r="GUW21" s="130"/>
      <c r="GVG21" s="130"/>
      <c r="GVQ21" s="130"/>
      <c r="GWA21" s="130"/>
      <c r="GWK21" s="130"/>
      <c r="GWU21" s="130"/>
      <c r="GXE21" s="130"/>
      <c r="GXO21" s="130"/>
      <c r="GXY21" s="130"/>
      <c r="GYI21" s="130"/>
      <c r="GYS21" s="130"/>
      <c r="GZC21" s="130"/>
      <c r="GZM21" s="130"/>
      <c r="GZW21" s="130"/>
      <c r="HAG21" s="130"/>
      <c r="HAQ21" s="130"/>
      <c r="HBA21" s="130"/>
      <c r="HBK21" s="130"/>
      <c r="HBU21" s="130"/>
      <c r="HCE21" s="130"/>
      <c r="HCO21" s="130"/>
      <c r="HCY21" s="130"/>
      <c r="HDI21" s="130"/>
      <c r="HDS21" s="130"/>
      <c r="HEC21" s="130"/>
      <c r="HEM21" s="130"/>
      <c r="HEW21" s="130"/>
      <c r="HFG21" s="130"/>
      <c r="HFQ21" s="130"/>
      <c r="HGA21" s="130"/>
      <c r="HGK21" s="130"/>
      <c r="HGU21" s="130"/>
      <c r="HHE21" s="130"/>
      <c r="HHO21" s="130"/>
      <c r="HHY21" s="130"/>
      <c r="HII21" s="130"/>
      <c r="HIS21" s="130"/>
      <c r="HJC21" s="130"/>
      <c r="HJM21" s="130"/>
      <c r="HJW21" s="130"/>
      <c r="HKG21" s="130"/>
      <c r="HKQ21" s="130"/>
      <c r="HLA21" s="130"/>
      <c r="HLK21" s="130"/>
      <c r="HLU21" s="130"/>
      <c r="HME21" s="130"/>
      <c r="HMO21" s="130"/>
      <c r="HMY21" s="130"/>
      <c r="HNI21" s="130"/>
      <c r="HNS21" s="130"/>
      <c r="HOC21" s="130"/>
      <c r="HOM21" s="130"/>
      <c r="HOW21" s="130"/>
      <c r="HPG21" s="130"/>
      <c r="HPQ21" s="130"/>
      <c r="HQA21" s="130"/>
      <c r="HQK21" s="130"/>
      <c r="HQU21" s="130"/>
      <c r="HRE21" s="130"/>
      <c r="HRO21" s="130"/>
      <c r="HRY21" s="130"/>
      <c r="HSI21" s="130"/>
      <c r="HSS21" s="130"/>
      <c r="HTC21" s="130"/>
      <c r="HTM21" s="130"/>
      <c r="HTW21" s="130"/>
      <c r="HUG21" s="130"/>
      <c r="HUQ21" s="130"/>
      <c r="HVA21" s="130"/>
      <c r="HVK21" s="130"/>
      <c r="HVU21" s="130"/>
      <c r="HWE21" s="130"/>
      <c r="HWO21" s="130"/>
      <c r="HWY21" s="130"/>
      <c r="HXI21" s="130"/>
      <c r="HXS21" s="130"/>
      <c r="HYC21" s="130"/>
      <c r="HYM21" s="130"/>
      <c r="HYW21" s="130"/>
      <c r="HZG21" s="130"/>
      <c r="HZQ21" s="130"/>
      <c r="IAA21" s="130"/>
      <c r="IAK21" s="130"/>
      <c r="IAU21" s="130"/>
      <c r="IBE21" s="130"/>
      <c r="IBO21" s="130"/>
      <c r="IBY21" s="130"/>
      <c r="ICI21" s="130"/>
      <c r="ICS21" s="130"/>
      <c r="IDC21" s="130"/>
      <c r="IDM21" s="130"/>
      <c r="IDW21" s="130"/>
      <c r="IEG21" s="130"/>
      <c r="IEQ21" s="130"/>
      <c r="IFA21" s="130"/>
      <c r="IFK21" s="130"/>
      <c r="IFU21" s="130"/>
      <c r="IGE21" s="130"/>
      <c r="IGO21" s="130"/>
      <c r="IGY21" s="130"/>
      <c r="IHI21" s="130"/>
      <c r="IHS21" s="130"/>
      <c r="IIC21" s="130"/>
      <c r="IIM21" s="130"/>
      <c r="IIW21" s="130"/>
      <c r="IJG21" s="130"/>
      <c r="IJQ21" s="130"/>
      <c r="IKA21" s="130"/>
      <c r="IKK21" s="130"/>
      <c r="IKU21" s="130"/>
      <c r="ILE21" s="130"/>
      <c r="ILO21" s="130"/>
      <c r="ILY21" s="130"/>
      <c r="IMI21" s="130"/>
      <c r="IMS21" s="130"/>
      <c r="INC21" s="130"/>
      <c r="INM21" s="130"/>
      <c r="INW21" s="130"/>
      <c r="IOG21" s="130"/>
      <c r="IOQ21" s="130"/>
      <c r="IPA21" s="130"/>
      <c r="IPK21" s="130"/>
      <c r="IPU21" s="130"/>
      <c r="IQE21" s="130"/>
      <c r="IQO21" s="130"/>
      <c r="IQY21" s="130"/>
      <c r="IRI21" s="130"/>
      <c r="IRS21" s="130"/>
      <c r="ISC21" s="130"/>
      <c r="ISM21" s="130"/>
      <c r="ISW21" s="130"/>
      <c r="ITG21" s="130"/>
      <c r="ITQ21" s="130"/>
      <c r="IUA21" s="130"/>
      <c r="IUK21" s="130"/>
      <c r="IUU21" s="130"/>
      <c r="IVE21" s="130"/>
      <c r="IVO21" s="130"/>
      <c r="IVY21" s="130"/>
      <c r="IWI21" s="130"/>
      <c r="IWS21" s="130"/>
      <c r="IXC21" s="130"/>
      <c r="IXM21" s="130"/>
      <c r="IXW21" s="130"/>
      <c r="IYG21" s="130"/>
      <c r="IYQ21" s="130"/>
      <c r="IZA21" s="130"/>
      <c r="IZK21" s="130"/>
      <c r="IZU21" s="130"/>
      <c r="JAE21" s="130"/>
      <c r="JAO21" s="130"/>
      <c r="JAY21" s="130"/>
      <c r="JBI21" s="130"/>
      <c r="JBS21" s="130"/>
      <c r="JCC21" s="130"/>
      <c r="JCM21" s="130"/>
      <c r="JCW21" s="130"/>
      <c r="JDG21" s="130"/>
      <c r="JDQ21" s="130"/>
      <c r="JEA21" s="130"/>
      <c r="JEK21" s="130"/>
      <c r="JEU21" s="130"/>
      <c r="JFE21" s="130"/>
      <c r="JFO21" s="130"/>
      <c r="JFY21" s="130"/>
      <c r="JGI21" s="130"/>
      <c r="JGS21" s="130"/>
      <c r="JHC21" s="130"/>
      <c r="JHM21" s="130"/>
      <c r="JHW21" s="130"/>
      <c r="JIG21" s="130"/>
      <c r="JIQ21" s="130"/>
      <c r="JJA21" s="130"/>
      <c r="JJK21" s="130"/>
      <c r="JJU21" s="130"/>
      <c r="JKE21" s="130"/>
      <c r="JKO21" s="130"/>
      <c r="JKY21" s="130"/>
      <c r="JLI21" s="130"/>
      <c r="JLS21" s="130"/>
      <c r="JMC21" s="130"/>
      <c r="JMM21" s="130"/>
      <c r="JMW21" s="130"/>
      <c r="JNG21" s="130"/>
      <c r="JNQ21" s="130"/>
      <c r="JOA21" s="130"/>
      <c r="JOK21" s="130"/>
      <c r="JOU21" s="130"/>
      <c r="JPE21" s="130"/>
      <c r="JPO21" s="130"/>
      <c r="JPY21" s="130"/>
      <c r="JQI21" s="130"/>
      <c r="JQS21" s="130"/>
      <c r="JRC21" s="130"/>
      <c r="JRM21" s="130"/>
      <c r="JRW21" s="130"/>
      <c r="JSG21" s="130"/>
      <c r="JSQ21" s="130"/>
      <c r="JTA21" s="130"/>
      <c r="JTK21" s="130"/>
      <c r="JTU21" s="130"/>
      <c r="JUE21" s="130"/>
      <c r="JUO21" s="130"/>
      <c r="JUY21" s="130"/>
      <c r="JVI21" s="130"/>
      <c r="JVS21" s="130"/>
      <c r="JWC21" s="130"/>
      <c r="JWM21" s="130"/>
      <c r="JWW21" s="130"/>
      <c r="JXG21" s="130"/>
      <c r="JXQ21" s="130"/>
      <c r="JYA21" s="130"/>
      <c r="JYK21" s="130"/>
      <c r="JYU21" s="130"/>
      <c r="JZE21" s="130"/>
      <c r="JZO21" s="130"/>
      <c r="JZY21" s="130"/>
      <c r="KAI21" s="130"/>
      <c r="KAS21" s="130"/>
      <c r="KBC21" s="130"/>
      <c r="KBM21" s="130"/>
      <c r="KBW21" s="130"/>
      <c r="KCG21" s="130"/>
      <c r="KCQ21" s="130"/>
      <c r="KDA21" s="130"/>
      <c r="KDK21" s="130"/>
      <c r="KDU21" s="130"/>
      <c r="KEE21" s="130"/>
      <c r="KEO21" s="130"/>
      <c r="KEY21" s="130"/>
      <c r="KFI21" s="130"/>
      <c r="KFS21" s="130"/>
      <c r="KGC21" s="130"/>
      <c r="KGM21" s="130"/>
      <c r="KGW21" s="130"/>
      <c r="KHG21" s="130"/>
      <c r="KHQ21" s="130"/>
      <c r="KIA21" s="130"/>
      <c r="KIK21" s="130"/>
      <c r="KIU21" s="130"/>
      <c r="KJE21" s="130"/>
      <c r="KJO21" s="130"/>
      <c r="KJY21" s="130"/>
      <c r="KKI21" s="130"/>
      <c r="KKS21" s="130"/>
      <c r="KLC21" s="130"/>
      <c r="KLM21" s="130"/>
      <c r="KLW21" s="130"/>
      <c r="KMG21" s="130"/>
      <c r="KMQ21" s="130"/>
      <c r="KNA21" s="130"/>
      <c r="KNK21" s="130"/>
      <c r="KNU21" s="130"/>
      <c r="KOE21" s="130"/>
      <c r="KOO21" s="130"/>
      <c r="KOY21" s="130"/>
      <c r="KPI21" s="130"/>
      <c r="KPS21" s="130"/>
      <c r="KQC21" s="130"/>
      <c r="KQM21" s="130"/>
      <c r="KQW21" s="130"/>
      <c r="KRG21" s="130"/>
      <c r="KRQ21" s="130"/>
      <c r="KSA21" s="130"/>
      <c r="KSK21" s="130"/>
      <c r="KSU21" s="130"/>
      <c r="KTE21" s="130"/>
      <c r="KTO21" s="130"/>
      <c r="KTY21" s="130"/>
      <c r="KUI21" s="130"/>
      <c r="KUS21" s="130"/>
      <c r="KVC21" s="130"/>
      <c r="KVM21" s="130"/>
      <c r="KVW21" s="130"/>
      <c r="KWG21" s="130"/>
      <c r="KWQ21" s="130"/>
      <c r="KXA21" s="130"/>
      <c r="KXK21" s="130"/>
      <c r="KXU21" s="130"/>
      <c r="KYE21" s="130"/>
      <c r="KYO21" s="130"/>
      <c r="KYY21" s="130"/>
      <c r="KZI21" s="130"/>
      <c r="KZS21" s="130"/>
      <c r="LAC21" s="130"/>
      <c r="LAM21" s="130"/>
      <c r="LAW21" s="130"/>
      <c r="LBG21" s="130"/>
      <c r="LBQ21" s="130"/>
      <c r="LCA21" s="130"/>
      <c r="LCK21" s="130"/>
      <c r="LCU21" s="130"/>
      <c r="LDE21" s="130"/>
      <c r="LDO21" s="130"/>
      <c r="LDY21" s="130"/>
      <c r="LEI21" s="130"/>
      <c r="LES21" s="130"/>
      <c r="LFC21" s="130"/>
      <c r="LFM21" s="130"/>
      <c r="LFW21" s="130"/>
      <c r="LGG21" s="130"/>
      <c r="LGQ21" s="130"/>
      <c r="LHA21" s="130"/>
      <c r="LHK21" s="130"/>
      <c r="LHU21" s="130"/>
      <c r="LIE21" s="130"/>
      <c r="LIO21" s="130"/>
      <c r="LIY21" s="130"/>
      <c r="LJI21" s="130"/>
      <c r="LJS21" s="130"/>
      <c r="LKC21" s="130"/>
      <c r="LKM21" s="130"/>
      <c r="LKW21" s="130"/>
      <c r="LLG21" s="130"/>
      <c r="LLQ21" s="130"/>
      <c r="LMA21" s="130"/>
      <c r="LMK21" s="130"/>
      <c r="LMU21" s="130"/>
      <c r="LNE21" s="130"/>
      <c r="LNO21" s="130"/>
      <c r="LNY21" s="130"/>
      <c r="LOI21" s="130"/>
      <c r="LOS21" s="130"/>
      <c r="LPC21" s="130"/>
      <c r="LPM21" s="130"/>
      <c r="LPW21" s="130"/>
      <c r="LQG21" s="130"/>
      <c r="LQQ21" s="130"/>
      <c r="LRA21" s="130"/>
      <c r="LRK21" s="130"/>
      <c r="LRU21" s="130"/>
      <c r="LSE21" s="130"/>
      <c r="LSO21" s="130"/>
      <c r="LSY21" s="130"/>
      <c r="LTI21" s="130"/>
      <c r="LTS21" s="130"/>
      <c r="LUC21" s="130"/>
      <c r="LUM21" s="130"/>
      <c r="LUW21" s="130"/>
      <c r="LVG21" s="130"/>
      <c r="LVQ21" s="130"/>
      <c r="LWA21" s="130"/>
      <c r="LWK21" s="130"/>
      <c r="LWU21" s="130"/>
      <c r="LXE21" s="130"/>
      <c r="LXO21" s="130"/>
      <c r="LXY21" s="130"/>
      <c r="LYI21" s="130"/>
      <c r="LYS21" s="130"/>
      <c r="LZC21" s="130"/>
      <c r="LZM21" s="130"/>
      <c r="LZW21" s="130"/>
      <c r="MAG21" s="130"/>
      <c r="MAQ21" s="130"/>
      <c r="MBA21" s="130"/>
      <c r="MBK21" s="130"/>
      <c r="MBU21" s="130"/>
      <c r="MCE21" s="130"/>
      <c r="MCO21" s="130"/>
      <c r="MCY21" s="130"/>
      <c r="MDI21" s="130"/>
      <c r="MDS21" s="130"/>
      <c r="MEC21" s="130"/>
      <c r="MEM21" s="130"/>
      <c r="MEW21" s="130"/>
      <c r="MFG21" s="130"/>
      <c r="MFQ21" s="130"/>
      <c r="MGA21" s="130"/>
      <c r="MGK21" s="130"/>
      <c r="MGU21" s="130"/>
      <c r="MHE21" s="130"/>
      <c r="MHO21" s="130"/>
      <c r="MHY21" s="130"/>
      <c r="MII21" s="130"/>
      <c r="MIS21" s="130"/>
      <c r="MJC21" s="130"/>
      <c r="MJM21" s="130"/>
      <c r="MJW21" s="130"/>
      <c r="MKG21" s="130"/>
      <c r="MKQ21" s="130"/>
      <c r="MLA21" s="130"/>
      <c r="MLK21" s="130"/>
      <c r="MLU21" s="130"/>
      <c r="MME21" s="130"/>
      <c r="MMO21" s="130"/>
      <c r="MMY21" s="130"/>
      <c r="MNI21" s="130"/>
      <c r="MNS21" s="130"/>
      <c r="MOC21" s="130"/>
      <c r="MOM21" s="130"/>
      <c r="MOW21" s="130"/>
      <c r="MPG21" s="130"/>
      <c r="MPQ21" s="130"/>
      <c r="MQA21" s="130"/>
      <c r="MQK21" s="130"/>
      <c r="MQU21" s="130"/>
      <c r="MRE21" s="130"/>
      <c r="MRO21" s="130"/>
      <c r="MRY21" s="130"/>
      <c r="MSI21" s="130"/>
      <c r="MSS21" s="130"/>
      <c r="MTC21" s="130"/>
      <c r="MTM21" s="130"/>
      <c r="MTW21" s="130"/>
      <c r="MUG21" s="130"/>
      <c r="MUQ21" s="130"/>
      <c r="MVA21" s="130"/>
      <c r="MVK21" s="130"/>
      <c r="MVU21" s="130"/>
      <c r="MWE21" s="130"/>
      <c r="MWO21" s="130"/>
      <c r="MWY21" s="130"/>
      <c r="MXI21" s="130"/>
      <c r="MXS21" s="130"/>
      <c r="MYC21" s="130"/>
      <c r="MYM21" s="130"/>
      <c r="MYW21" s="130"/>
      <c r="MZG21" s="130"/>
      <c r="MZQ21" s="130"/>
      <c r="NAA21" s="130"/>
      <c r="NAK21" s="130"/>
      <c r="NAU21" s="130"/>
      <c r="NBE21" s="130"/>
      <c r="NBO21" s="130"/>
      <c r="NBY21" s="130"/>
      <c r="NCI21" s="130"/>
      <c r="NCS21" s="130"/>
      <c r="NDC21" s="130"/>
      <c r="NDM21" s="130"/>
      <c r="NDW21" s="130"/>
      <c r="NEG21" s="130"/>
      <c r="NEQ21" s="130"/>
      <c r="NFA21" s="130"/>
      <c r="NFK21" s="130"/>
      <c r="NFU21" s="130"/>
      <c r="NGE21" s="130"/>
      <c r="NGO21" s="130"/>
      <c r="NGY21" s="130"/>
      <c r="NHI21" s="130"/>
      <c r="NHS21" s="130"/>
      <c r="NIC21" s="130"/>
      <c r="NIM21" s="130"/>
      <c r="NIW21" s="130"/>
      <c r="NJG21" s="130"/>
      <c r="NJQ21" s="130"/>
      <c r="NKA21" s="130"/>
      <c r="NKK21" s="130"/>
      <c r="NKU21" s="130"/>
      <c r="NLE21" s="130"/>
      <c r="NLO21" s="130"/>
      <c r="NLY21" s="130"/>
      <c r="NMI21" s="130"/>
      <c r="NMS21" s="130"/>
      <c r="NNC21" s="130"/>
      <c r="NNM21" s="130"/>
      <c r="NNW21" s="130"/>
      <c r="NOG21" s="130"/>
      <c r="NOQ21" s="130"/>
      <c r="NPA21" s="130"/>
      <c r="NPK21" s="130"/>
      <c r="NPU21" s="130"/>
      <c r="NQE21" s="130"/>
      <c r="NQO21" s="130"/>
      <c r="NQY21" s="130"/>
      <c r="NRI21" s="130"/>
      <c r="NRS21" s="130"/>
      <c r="NSC21" s="130"/>
      <c r="NSM21" s="130"/>
      <c r="NSW21" s="130"/>
      <c r="NTG21" s="130"/>
      <c r="NTQ21" s="130"/>
      <c r="NUA21" s="130"/>
      <c r="NUK21" s="130"/>
      <c r="NUU21" s="130"/>
      <c r="NVE21" s="130"/>
      <c r="NVO21" s="130"/>
      <c r="NVY21" s="130"/>
      <c r="NWI21" s="130"/>
      <c r="NWS21" s="130"/>
      <c r="NXC21" s="130"/>
      <c r="NXM21" s="130"/>
      <c r="NXW21" s="130"/>
      <c r="NYG21" s="130"/>
      <c r="NYQ21" s="130"/>
      <c r="NZA21" s="130"/>
      <c r="NZK21" s="130"/>
      <c r="NZU21" s="130"/>
      <c r="OAE21" s="130"/>
      <c r="OAO21" s="130"/>
      <c r="OAY21" s="130"/>
      <c r="OBI21" s="130"/>
      <c r="OBS21" s="130"/>
      <c r="OCC21" s="130"/>
      <c r="OCM21" s="130"/>
      <c r="OCW21" s="130"/>
      <c r="ODG21" s="130"/>
      <c r="ODQ21" s="130"/>
      <c r="OEA21" s="130"/>
      <c r="OEK21" s="130"/>
      <c r="OEU21" s="130"/>
      <c r="OFE21" s="130"/>
      <c r="OFO21" s="130"/>
      <c r="OFY21" s="130"/>
      <c r="OGI21" s="130"/>
      <c r="OGS21" s="130"/>
      <c r="OHC21" s="130"/>
      <c r="OHM21" s="130"/>
      <c r="OHW21" s="130"/>
      <c r="OIG21" s="130"/>
      <c r="OIQ21" s="130"/>
      <c r="OJA21" s="130"/>
      <c r="OJK21" s="130"/>
      <c r="OJU21" s="130"/>
      <c r="OKE21" s="130"/>
      <c r="OKO21" s="130"/>
      <c r="OKY21" s="130"/>
      <c r="OLI21" s="130"/>
      <c r="OLS21" s="130"/>
      <c r="OMC21" s="130"/>
      <c r="OMM21" s="130"/>
      <c r="OMW21" s="130"/>
      <c r="ONG21" s="130"/>
      <c r="ONQ21" s="130"/>
      <c r="OOA21" s="130"/>
      <c r="OOK21" s="130"/>
      <c r="OOU21" s="130"/>
      <c r="OPE21" s="130"/>
      <c r="OPO21" s="130"/>
      <c r="OPY21" s="130"/>
      <c r="OQI21" s="130"/>
      <c r="OQS21" s="130"/>
      <c r="ORC21" s="130"/>
      <c r="ORM21" s="130"/>
      <c r="ORW21" s="130"/>
      <c r="OSG21" s="130"/>
      <c r="OSQ21" s="130"/>
      <c r="OTA21" s="130"/>
      <c r="OTK21" s="130"/>
      <c r="OTU21" s="130"/>
      <c r="OUE21" s="130"/>
      <c r="OUO21" s="130"/>
      <c r="OUY21" s="130"/>
      <c r="OVI21" s="130"/>
      <c r="OVS21" s="130"/>
      <c r="OWC21" s="130"/>
      <c r="OWM21" s="130"/>
      <c r="OWW21" s="130"/>
      <c r="OXG21" s="130"/>
      <c r="OXQ21" s="130"/>
      <c r="OYA21" s="130"/>
      <c r="OYK21" s="130"/>
      <c r="OYU21" s="130"/>
      <c r="OZE21" s="130"/>
      <c r="OZO21" s="130"/>
      <c r="OZY21" s="130"/>
      <c r="PAI21" s="130"/>
      <c r="PAS21" s="130"/>
      <c r="PBC21" s="130"/>
      <c r="PBM21" s="130"/>
      <c r="PBW21" s="130"/>
      <c r="PCG21" s="130"/>
      <c r="PCQ21" s="130"/>
      <c r="PDA21" s="130"/>
      <c r="PDK21" s="130"/>
      <c r="PDU21" s="130"/>
      <c r="PEE21" s="130"/>
      <c r="PEO21" s="130"/>
      <c r="PEY21" s="130"/>
      <c r="PFI21" s="130"/>
      <c r="PFS21" s="130"/>
      <c r="PGC21" s="130"/>
      <c r="PGM21" s="130"/>
      <c r="PGW21" s="130"/>
      <c r="PHG21" s="130"/>
      <c r="PHQ21" s="130"/>
      <c r="PIA21" s="130"/>
      <c r="PIK21" s="130"/>
      <c r="PIU21" s="130"/>
      <c r="PJE21" s="130"/>
      <c r="PJO21" s="130"/>
      <c r="PJY21" s="130"/>
      <c r="PKI21" s="130"/>
      <c r="PKS21" s="130"/>
      <c r="PLC21" s="130"/>
      <c r="PLM21" s="130"/>
      <c r="PLW21" s="130"/>
      <c r="PMG21" s="130"/>
      <c r="PMQ21" s="130"/>
      <c r="PNA21" s="130"/>
      <c r="PNK21" s="130"/>
      <c r="PNU21" s="130"/>
      <c r="POE21" s="130"/>
      <c r="POO21" s="130"/>
      <c r="POY21" s="130"/>
      <c r="PPI21" s="130"/>
      <c r="PPS21" s="130"/>
      <c r="PQC21" s="130"/>
      <c r="PQM21" s="130"/>
      <c r="PQW21" s="130"/>
      <c r="PRG21" s="130"/>
      <c r="PRQ21" s="130"/>
      <c r="PSA21" s="130"/>
      <c r="PSK21" s="130"/>
      <c r="PSU21" s="130"/>
      <c r="PTE21" s="130"/>
      <c r="PTO21" s="130"/>
      <c r="PTY21" s="130"/>
      <c r="PUI21" s="130"/>
      <c r="PUS21" s="130"/>
      <c r="PVC21" s="130"/>
      <c r="PVM21" s="130"/>
      <c r="PVW21" s="130"/>
      <c r="PWG21" s="130"/>
      <c r="PWQ21" s="130"/>
      <c r="PXA21" s="130"/>
      <c r="PXK21" s="130"/>
      <c r="PXU21" s="130"/>
      <c r="PYE21" s="130"/>
      <c r="PYO21" s="130"/>
      <c r="PYY21" s="130"/>
      <c r="PZI21" s="130"/>
      <c r="PZS21" s="130"/>
      <c r="QAC21" s="130"/>
      <c r="QAM21" s="130"/>
      <c r="QAW21" s="130"/>
      <c r="QBG21" s="130"/>
      <c r="QBQ21" s="130"/>
      <c r="QCA21" s="130"/>
      <c r="QCK21" s="130"/>
      <c r="QCU21" s="130"/>
      <c r="QDE21" s="130"/>
      <c r="QDO21" s="130"/>
      <c r="QDY21" s="130"/>
      <c r="QEI21" s="130"/>
      <c r="QES21" s="130"/>
      <c r="QFC21" s="130"/>
      <c r="QFM21" s="130"/>
      <c r="QFW21" s="130"/>
      <c r="QGG21" s="130"/>
      <c r="QGQ21" s="130"/>
      <c r="QHA21" s="130"/>
      <c r="QHK21" s="130"/>
      <c r="QHU21" s="130"/>
      <c r="QIE21" s="130"/>
      <c r="QIO21" s="130"/>
      <c r="QIY21" s="130"/>
      <c r="QJI21" s="130"/>
      <c r="QJS21" s="130"/>
      <c r="QKC21" s="130"/>
      <c r="QKM21" s="130"/>
      <c r="QKW21" s="130"/>
      <c r="QLG21" s="130"/>
      <c r="QLQ21" s="130"/>
      <c r="QMA21" s="130"/>
      <c r="QMK21" s="130"/>
      <c r="QMU21" s="130"/>
      <c r="QNE21" s="130"/>
      <c r="QNO21" s="130"/>
      <c r="QNY21" s="130"/>
      <c r="QOI21" s="130"/>
      <c r="QOS21" s="130"/>
      <c r="QPC21" s="130"/>
      <c r="QPM21" s="130"/>
      <c r="QPW21" s="130"/>
      <c r="QQG21" s="130"/>
      <c r="QQQ21" s="130"/>
      <c r="QRA21" s="130"/>
      <c r="QRK21" s="130"/>
      <c r="QRU21" s="130"/>
      <c r="QSE21" s="130"/>
      <c r="QSO21" s="130"/>
      <c r="QSY21" s="130"/>
      <c r="QTI21" s="130"/>
      <c r="QTS21" s="130"/>
      <c r="QUC21" s="130"/>
      <c r="QUM21" s="130"/>
      <c r="QUW21" s="130"/>
      <c r="QVG21" s="130"/>
      <c r="QVQ21" s="130"/>
      <c r="QWA21" s="130"/>
      <c r="QWK21" s="130"/>
      <c r="QWU21" s="130"/>
      <c r="QXE21" s="130"/>
      <c r="QXO21" s="130"/>
      <c r="QXY21" s="130"/>
      <c r="QYI21" s="130"/>
      <c r="QYS21" s="130"/>
      <c r="QZC21" s="130"/>
      <c r="QZM21" s="130"/>
      <c r="QZW21" s="130"/>
      <c r="RAG21" s="130"/>
      <c r="RAQ21" s="130"/>
      <c r="RBA21" s="130"/>
      <c r="RBK21" s="130"/>
      <c r="RBU21" s="130"/>
      <c r="RCE21" s="130"/>
      <c r="RCO21" s="130"/>
      <c r="RCY21" s="130"/>
      <c r="RDI21" s="130"/>
      <c r="RDS21" s="130"/>
      <c r="REC21" s="130"/>
      <c r="REM21" s="130"/>
      <c r="REW21" s="130"/>
      <c r="RFG21" s="130"/>
      <c r="RFQ21" s="130"/>
      <c r="RGA21" s="130"/>
      <c r="RGK21" s="130"/>
      <c r="RGU21" s="130"/>
      <c r="RHE21" s="130"/>
      <c r="RHO21" s="130"/>
      <c r="RHY21" s="130"/>
      <c r="RII21" s="130"/>
      <c r="RIS21" s="130"/>
      <c r="RJC21" s="130"/>
      <c r="RJM21" s="130"/>
      <c r="RJW21" s="130"/>
      <c r="RKG21" s="130"/>
      <c r="RKQ21" s="130"/>
      <c r="RLA21" s="130"/>
      <c r="RLK21" s="130"/>
      <c r="RLU21" s="130"/>
      <c r="RME21" s="130"/>
      <c r="RMO21" s="130"/>
      <c r="RMY21" s="130"/>
      <c r="RNI21" s="130"/>
      <c r="RNS21" s="130"/>
      <c r="ROC21" s="130"/>
      <c r="ROM21" s="130"/>
      <c r="ROW21" s="130"/>
      <c r="RPG21" s="130"/>
      <c r="RPQ21" s="130"/>
      <c r="RQA21" s="130"/>
      <c r="RQK21" s="130"/>
      <c r="RQU21" s="130"/>
      <c r="RRE21" s="130"/>
      <c r="RRO21" s="130"/>
      <c r="RRY21" s="130"/>
      <c r="RSI21" s="130"/>
      <c r="RSS21" s="130"/>
      <c r="RTC21" s="130"/>
      <c r="RTM21" s="130"/>
      <c r="RTW21" s="130"/>
      <c r="RUG21" s="130"/>
      <c r="RUQ21" s="130"/>
      <c r="RVA21" s="130"/>
      <c r="RVK21" s="130"/>
      <c r="RVU21" s="130"/>
      <c r="RWE21" s="130"/>
      <c r="RWO21" s="130"/>
      <c r="RWY21" s="130"/>
      <c r="RXI21" s="130"/>
      <c r="RXS21" s="130"/>
      <c r="RYC21" s="130"/>
      <c r="RYM21" s="130"/>
      <c r="RYW21" s="130"/>
      <c r="RZG21" s="130"/>
      <c r="RZQ21" s="130"/>
      <c r="SAA21" s="130"/>
      <c r="SAK21" s="130"/>
      <c r="SAU21" s="130"/>
      <c r="SBE21" s="130"/>
      <c r="SBO21" s="130"/>
      <c r="SBY21" s="130"/>
      <c r="SCI21" s="130"/>
      <c r="SCS21" s="130"/>
      <c r="SDC21" s="130"/>
      <c r="SDM21" s="130"/>
      <c r="SDW21" s="130"/>
      <c r="SEG21" s="130"/>
      <c r="SEQ21" s="130"/>
      <c r="SFA21" s="130"/>
      <c r="SFK21" s="130"/>
      <c r="SFU21" s="130"/>
      <c r="SGE21" s="130"/>
      <c r="SGO21" s="130"/>
      <c r="SGY21" s="130"/>
      <c r="SHI21" s="130"/>
      <c r="SHS21" s="130"/>
      <c r="SIC21" s="130"/>
      <c r="SIM21" s="130"/>
      <c r="SIW21" s="130"/>
      <c r="SJG21" s="130"/>
      <c r="SJQ21" s="130"/>
      <c r="SKA21" s="130"/>
      <c r="SKK21" s="130"/>
      <c r="SKU21" s="130"/>
      <c r="SLE21" s="130"/>
      <c r="SLO21" s="130"/>
      <c r="SLY21" s="130"/>
      <c r="SMI21" s="130"/>
      <c r="SMS21" s="130"/>
      <c r="SNC21" s="130"/>
      <c r="SNM21" s="130"/>
      <c r="SNW21" s="130"/>
      <c r="SOG21" s="130"/>
      <c r="SOQ21" s="130"/>
      <c r="SPA21" s="130"/>
      <c r="SPK21" s="130"/>
      <c r="SPU21" s="130"/>
      <c r="SQE21" s="130"/>
      <c r="SQO21" s="130"/>
      <c r="SQY21" s="130"/>
      <c r="SRI21" s="130"/>
      <c r="SRS21" s="130"/>
      <c r="SSC21" s="130"/>
      <c r="SSM21" s="130"/>
      <c r="SSW21" s="130"/>
      <c r="STG21" s="130"/>
      <c r="STQ21" s="130"/>
      <c r="SUA21" s="130"/>
      <c r="SUK21" s="130"/>
      <c r="SUU21" s="130"/>
      <c r="SVE21" s="130"/>
      <c r="SVO21" s="130"/>
      <c r="SVY21" s="130"/>
      <c r="SWI21" s="130"/>
      <c r="SWS21" s="130"/>
      <c r="SXC21" s="130"/>
      <c r="SXM21" s="130"/>
      <c r="SXW21" s="130"/>
      <c r="SYG21" s="130"/>
      <c r="SYQ21" s="130"/>
      <c r="SZA21" s="130"/>
      <c r="SZK21" s="130"/>
      <c r="SZU21" s="130"/>
      <c r="TAE21" s="130"/>
      <c r="TAO21" s="130"/>
      <c r="TAY21" s="130"/>
      <c r="TBI21" s="130"/>
      <c r="TBS21" s="130"/>
      <c r="TCC21" s="130"/>
      <c r="TCM21" s="130"/>
      <c r="TCW21" s="130"/>
      <c r="TDG21" s="130"/>
      <c r="TDQ21" s="130"/>
      <c r="TEA21" s="130"/>
      <c r="TEK21" s="130"/>
      <c r="TEU21" s="130"/>
      <c r="TFE21" s="130"/>
      <c r="TFO21" s="130"/>
      <c r="TFY21" s="130"/>
      <c r="TGI21" s="130"/>
      <c r="TGS21" s="130"/>
      <c r="THC21" s="130"/>
      <c r="THM21" s="130"/>
      <c r="THW21" s="130"/>
      <c r="TIG21" s="130"/>
      <c r="TIQ21" s="130"/>
      <c r="TJA21" s="130"/>
      <c r="TJK21" s="130"/>
      <c r="TJU21" s="130"/>
      <c r="TKE21" s="130"/>
      <c r="TKO21" s="130"/>
      <c r="TKY21" s="130"/>
      <c r="TLI21" s="130"/>
      <c r="TLS21" s="130"/>
      <c r="TMC21" s="130"/>
      <c r="TMM21" s="130"/>
      <c r="TMW21" s="130"/>
      <c r="TNG21" s="130"/>
      <c r="TNQ21" s="130"/>
      <c r="TOA21" s="130"/>
      <c r="TOK21" s="130"/>
      <c r="TOU21" s="130"/>
      <c r="TPE21" s="130"/>
      <c r="TPO21" s="130"/>
      <c r="TPY21" s="130"/>
      <c r="TQI21" s="130"/>
      <c r="TQS21" s="130"/>
      <c r="TRC21" s="130"/>
      <c r="TRM21" s="130"/>
      <c r="TRW21" s="130"/>
      <c r="TSG21" s="130"/>
      <c r="TSQ21" s="130"/>
      <c r="TTA21" s="130"/>
      <c r="TTK21" s="130"/>
      <c r="TTU21" s="130"/>
      <c r="TUE21" s="130"/>
      <c r="TUO21" s="130"/>
      <c r="TUY21" s="130"/>
      <c r="TVI21" s="130"/>
      <c r="TVS21" s="130"/>
      <c r="TWC21" s="130"/>
      <c r="TWM21" s="130"/>
      <c r="TWW21" s="130"/>
      <c r="TXG21" s="130"/>
      <c r="TXQ21" s="130"/>
      <c r="TYA21" s="130"/>
      <c r="TYK21" s="130"/>
      <c r="TYU21" s="130"/>
      <c r="TZE21" s="130"/>
      <c r="TZO21" s="130"/>
      <c r="TZY21" s="130"/>
      <c r="UAI21" s="130"/>
      <c r="UAS21" s="130"/>
      <c r="UBC21" s="130"/>
      <c r="UBM21" s="130"/>
      <c r="UBW21" s="130"/>
      <c r="UCG21" s="130"/>
      <c r="UCQ21" s="130"/>
      <c r="UDA21" s="130"/>
      <c r="UDK21" s="130"/>
      <c r="UDU21" s="130"/>
      <c r="UEE21" s="130"/>
      <c r="UEO21" s="130"/>
      <c r="UEY21" s="130"/>
      <c r="UFI21" s="130"/>
      <c r="UFS21" s="130"/>
      <c r="UGC21" s="130"/>
      <c r="UGM21" s="130"/>
      <c r="UGW21" s="130"/>
      <c r="UHG21" s="130"/>
      <c r="UHQ21" s="130"/>
      <c r="UIA21" s="130"/>
      <c r="UIK21" s="130"/>
      <c r="UIU21" s="130"/>
      <c r="UJE21" s="130"/>
      <c r="UJO21" s="130"/>
      <c r="UJY21" s="130"/>
      <c r="UKI21" s="130"/>
      <c r="UKS21" s="130"/>
      <c r="ULC21" s="130"/>
      <c r="ULM21" s="130"/>
      <c r="ULW21" s="130"/>
      <c r="UMG21" s="130"/>
      <c r="UMQ21" s="130"/>
      <c r="UNA21" s="130"/>
      <c r="UNK21" s="130"/>
      <c r="UNU21" s="130"/>
      <c r="UOE21" s="130"/>
      <c r="UOO21" s="130"/>
      <c r="UOY21" s="130"/>
      <c r="UPI21" s="130"/>
      <c r="UPS21" s="130"/>
      <c r="UQC21" s="130"/>
      <c r="UQM21" s="130"/>
      <c r="UQW21" s="130"/>
      <c r="URG21" s="130"/>
      <c r="URQ21" s="130"/>
      <c r="USA21" s="130"/>
      <c r="USK21" s="130"/>
      <c r="USU21" s="130"/>
      <c r="UTE21" s="130"/>
      <c r="UTO21" s="130"/>
      <c r="UTY21" s="130"/>
      <c r="UUI21" s="130"/>
      <c r="UUS21" s="130"/>
      <c r="UVC21" s="130"/>
      <c r="UVM21" s="130"/>
      <c r="UVW21" s="130"/>
      <c r="UWG21" s="130"/>
      <c r="UWQ21" s="130"/>
      <c r="UXA21" s="130"/>
      <c r="UXK21" s="130"/>
      <c r="UXU21" s="130"/>
      <c r="UYE21" s="130"/>
      <c r="UYO21" s="130"/>
      <c r="UYY21" s="130"/>
      <c r="UZI21" s="130"/>
      <c r="UZS21" s="130"/>
      <c r="VAC21" s="130"/>
      <c r="VAM21" s="130"/>
      <c r="VAW21" s="130"/>
      <c r="VBG21" s="130"/>
      <c r="VBQ21" s="130"/>
      <c r="VCA21" s="130"/>
      <c r="VCK21" s="130"/>
      <c r="VCU21" s="130"/>
      <c r="VDE21" s="130"/>
      <c r="VDO21" s="130"/>
      <c r="VDY21" s="130"/>
      <c r="VEI21" s="130"/>
      <c r="VES21" s="130"/>
      <c r="VFC21" s="130"/>
      <c r="VFM21" s="130"/>
      <c r="VFW21" s="130"/>
      <c r="VGG21" s="130"/>
      <c r="VGQ21" s="130"/>
      <c r="VHA21" s="130"/>
      <c r="VHK21" s="130"/>
      <c r="VHU21" s="130"/>
      <c r="VIE21" s="130"/>
      <c r="VIO21" s="130"/>
      <c r="VIY21" s="130"/>
      <c r="VJI21" s="130"/>
      <c r="VJS21" s="130"/>
      <c r="VKC21" s="130"/>
      <c r="VKM21" s="130"/>
      <c r="VKW21" s="130"/>
      <c r="VLG21" s="130"/>
      <c r="VLQ21" s="130"/>
      <c r="VMA21" s="130"/>
      <c r="VMK21" s="130"/>
      <c r="VMU21" s="130"/>
      <c r="VNE21" s="130"/>
      <c r="VNO21" s="130"/>
      <c r="VNY21" s="130"/>
      <c r="VOI21" s="130"/>
      <c r="VOS21" s="130"/>
      <c r="VPC21" s="130"/>
      <c r="VPM21" s="130"/>
      <c r="VPW21" s="130"/>
      <c r="VQG21" s="130"/>
      <c r="VQQ21" s="130"/>
      <c r="VRA21" s="130"/>
      <c r="VRK21" s="130"/>
      <c r="VRU21" s="130"/>
      <c r="VSE21" s="130"/>
      <c r="VSO21" s="130"/>
      <c r="VSY21" s="130"/>
      <c r="VTI21" s="130"/>
      <c r="VTS21" s="130"/>
      <c r="VUC21" s="130"/>
      <c r="VUM21" s="130"/>
      <c r="VUW21" s="130"/>
      <c r="VVG21" s="130"/>
      <c r="VVQ21" s="130"/>
      <c r="VWA21" s="130"/>
      <c r="VWK21" s="130"/>
      <c r="VWU21" s="130"/>
      <c r="VXE21" s="130"/>
      <c r="VXO21" s="130"/>
      <c r="VXY21" s="130"/>
      <c r="VYI21" s="130"/>
      <c r="VYS21" s="130"/>
      <c r="VZC21" s="130"/>
      <c r="VZM21" s="130"/>
      <c r="VZW21" s="130"/>
      <c r="WAG21" s="130"/>
      <c r="WAQ21" s="130"/>
      <c r="WBA21" s="130"/>
      <c r="WBK21" s="130"/>
      <c r="WBU21" s="130"/>
      <c r="WCE21" s="130"/>
      <c r="WCO21" s="130"/>
      <c r="WCY21" s="130"/>
      <c r="WDI21" s="130"/>
      <c r="WDS21" s="130"/>
      <c r="WEC21" s="130"/>
      <c r="WEM21" s="130"/>
      <c r="WEW21" s="130"/>
      <c r="WFG21" s="130"/>
      <c r="WFQ21" s="130"/>
      <c r="WGA21" s="130"/>
      <c r="WGK21" s="130"/>
      <c r="WGU21" s="130"/>
      <c r="WHE21" s="130"/>
      <c r="WHO21" s="130"/>
      <c r="WHY21" s="130"/>
      <c r="WII21" s="130"/>
      <c r="WIS21" s="130"/>
      <c r="WJC21" s="130"/>
      <c r="WJM21" s="130"/>
      <c r="WJW21" s="130"/>
      <c r="WKG21" s="130"/>
      <c r="WKQ21" s="130"/>
      <c r="WLA21" s="130"/>
      <c r="WLK21" s="130"/>
      <c r="WLU21" s="130"/>
      <c r="WME21" s="130"/>
      <c r="WMO21" s="130"/>
      <c r="WMY21" s="130"/>
      <c r="WNI21" s="130"/>
      <c r="WNS21" s="130"/>
      <c r="WOC21" s="130"/>
      <c r="WOM21" s="130"/>
      <c r="WOW21" s="130"/>
      <c r="WPG21" s="130"/>
      <c r="WPQ21" s="130"/>
      <c r="WQA21" s="130"/>
      <c r="WQK21" s="130"/>
      <c r="WQU21" s="130"/>
      <c r="WRE21" s="130"/>
      <c r="WRO21" s="130"/>
      <c r="WRY21" s="130"/>
      <c r="WSI21" s="130"/>
      <c r="WSS21" s="130"/>
      <c r="WTC21" s="130"/>
      <c r="WTM21" s="130"/>
      <c r="WTW21" s="130"/>
      <c r="WUG21" s="130"/>
      <c r="WUQ21" s="130"/>
      <c r="WVA21" s="130"/>
      <c r="WVK21" s="130"/>
      <c r="WVU21" s="130"/>
      <c r="WWE21" s="130"/>
      <c r="WWO21" s="130"/>
      <c r="WWY21" s="130"/>
      <c r="WXI21" s="130"/>
      <c r="WXS21" s="130"/>
      <c r="WYC21" s="130"/>
      <c r="WYM21" s="130"/>
      <c r="WYW21" s="130"/>
      <c r="WZG21" s="130"/>
      <c r="WZQ21" s="130"/>
      <c r="XAA21" s="130"/>
      <c r="XAK21" s="130"/>
      <c r="XAU21" s="130"/>
      <c r="XBE21" s="130"/>
      <c r="XBO21" s="130"/>
      <c r="XBY21" s="130"/>
      <c r="XCI21" s="130"/>
      <c r="XCS21" s="130"/>
      <c r="XDC21" s="130"/>
      <c r="XDM21" s="130"/>
      <c r="XDW21" s="130"/>
      <c r="XEG21" s="130"/>
      <c r="XEQ21" s="130"/>
      <c r="XFA21" s="130"/>
    </row>
    <row r="22" s="383" customFormat="1" ht="13.2" spans="1:16381">
      <c r="A22" s="130" t="s">
        <v>834</v>
      </c>
      <c r="B22" s="383">
        <v>2025</v>
      </c>
      <c r="C22" s="607" t="s">
        <v>831</v>
      </c>
      <c r="D22" s="383">
        <v>317</v>
      </c>
      <c r="E22" s="383">
        <v>4859.91</v>
      </c>
      <c r="F22" s="383">
        <v>99.52</v>
      </c>
      <c r="G22" s="383">
        <v>-187.11</v>
      </c>
      <c r="H22" s="383">
        <v>178.78</v>
      </c>
      <c r="I22" s="383">
        <v>0</v>
      </c>
      <c r="J22" s="383">
        <v>91.19</v>
      </c>
      <c r="K22" s="130"/>
      <c r="U22" s="130"/>
      <c r="AE22" s="130"/>
      <c r="AO22" s="130"/>
      <c r="AY22" s="130"/>
      <c r="BI22" s="130"/>
      <c r="BS22" s="130"/>
      <c r="CC22" s="130"/>
      <c r="CM22" s="130"/>
      <c r="CW22" s="130"/>
      <c r="DG22" s="130"/>
      <c r="DQ22" s="130"/>
      <c r="EA22" s="130"/>
      <c r="EK22" s="130"/>
      <c r="EU22" s="130"/>
      <c r="FE22" s="130"/>
      <c r="FO22" s="130"/>
      <c r="FY22" s="130"/>
      <c r="GI22" s="130"/>
      <c r="GS22" s="130"/>
      <c r="HC22" s="130"/>
      <c r="HM22" s="130"/>
      <c r="HW22" s="130"/>
      <c r="IG22" s="130"/>
      <c r="IQ22" s="130"/>
      <c r="JA22" s="130"/>
      <c r="JK22" s="130"/>
      <c r="JU22" s="130"/>
      <c r="KE22" s="130"/>
      <c r="KO22" s="130"/>
      <c r="KY22" s="130"/>
      <c r="LI22" s="130"/>
      <c r="LS22" s="130"/>
      <c r="MC22" s="130"/>
      <c r="MM22" s="130"/>
      <c r="MW22" s="130"/>
      <c r="NG22" s="130"/>
      <c r="NQ22" s="130"/>
      <c r="OA22" s="130"/>
      <c r="OK22" s="130"/>
      <c r="OU22" s="130"/>
      <c r="PE22" s="130"/>
      <c r="PO22" s="130"/>
      <c r="PY22" s="130"/>
      <c r="QI22" s="130"/>
      <c r="QS22" s="130"/>
      <c r="RC22" s="130"/>
      <c r="RM22" s="130"/>
      <c r="RW22" s="130"/>
      <c r="SG22" s="130"/>
      <c r="SQ22" s="130"/>
      <c r="TA22" s="130"/>
      <c r="TK22" s="130"/>
      <c r="TU22" s="130"/>
      <c r="UE22" s="130"/>
      <c r="UO22" s="130"/>
      <c r="UY22" s="130"/>
      <c r="VI22" s="130"/>
      <c r="VS22" s="130"/>
      <c r="WC22" s="130"/>
      <c r="WM22" s="130"/>
      <c r="WW22" s="130"/>
      <c r="XG22" s="130"/>
      <c r="XQ22" s="130"/>
      <c r="YA22" s="130"/>
      <c r="YK22" s="130"/>
      <c r="YU22" s="130"/>
      <c r="ZE22" s="130"/>
      <c r="ZO22" s="130"/>
      <c r="ZY22" s="130"/>
      <c r="AAI22" s="130"/>
      <c r="AAS22" s="130"/>
      <c r="ABC22" s="130"/>
      <c r="ABM22" s="130"/>
      <c r="ABW22" s="130"/>
      <c r="ACG22" s="130"/>
      <c r="ACQ22" s="130"/>
      <c r="ADA22" s="130"/>
      <c r="ADK22" s="130"/>
      <c r="ADU22" s="130"/>
      <c r="AEE22" s="130"/>
      <c r="AEO22" s="130"/>
      <c r="AEY22" s="130"/>
      <c r="AFI22" s="130"/>
      <c r="AFS22" s="130"/>
      <c r="AGC22" s="130"/>
      <c r="AGM22" s="130"/>
      <c r="AGW22" s="130"/>
      <c r="AHG22" s="130"/>
      <c r="AHQ22" s="130"/>
      <c r="AIA22" s="130"/>
      <c r="AIK22" s="130"/>
      <c r="AIU22" s="130"/>
      <c r="AJE22" s="130"/>
      <c r="AJO22" s="130"/>
      <c r="AJY22" s="130"/>
      <c r="AKI22" s="130"/>
      <c r="AKS22" s="130"/>
      <c r="ALC22" s="130"/>
      <c r="ALM22" s="130"/>
      <c r="ALW22" s="130"/>
      <c r="AMG22" s="130"/>
      <c r="AMQ22" s="130"/>
      <c r="ANA22" s="130"/>
      <c r="ANK22" s="130"/>
      <c r="ANU22" s="130"/>
      <c r="AOE22" s="130"/>
      <c r="AOO22" s="130"/>
      <c r="AOY22" s="130"/>
      <c r="API22" s="130"/>
      <c r="APS22" s="130"/>
      <c r="AQC22" s="130"/>
      <c r="AQM22" s="130"/>
      <c r="AQW22" s="130"/>
      <c r="ARG22" s="130"/>
      <c r="ARQ22" s="130"/>
      <c r="ASA22" s="130"/>
      <c r="ASK22" s="130"/>
      <c r="ASU22" s="130"/>
      <c r="ATE22" s="130"/>
      <c r="ATO22" s="130"/>
      <c r="ATY22" s="130"/>
      <c r="AUI22" s="130"/>
      <c r="AUS22" s="130"/>
      <c r="AVC22" s="130"/>
      <c r="AVM22" s="130"/>
      <c r="AVW22" s="130"/>
      <c r="AWG22" s="130"/>
      <c r="AWQ22" s="130"/>
      <c r="AXA22" s="130"/>
      <c r="AXK22" s="130"/>
      <c r="AXU22" s="130"/>
      <c r="AYE22" s="130"/>
      <c r="AYO22" s="130"/>
      <c r="AYY22" s="130"/>
      <c r="AZI22" s="130"/>
      <c r="AZS22" s="130"/>
      <c r="BAC22" s="130"/>
      <c r="BAM22" s="130"/>
      <c r="BAW22" s="130"/>
      <c r="BBG22" s="130"/>
      <c r="BBQ22" s="130"/>
      <c r="BCA22" s="130"/>
      <c r="BCK22" s="130"/>
      <c r="BCU22" s="130"/>
      <c r="BDE22" s="130"/>
      <c r="BDO22" s="130"/>
      <c r="BDY22" s="130"/>
      <c r="BEI22" s="130"/>
      <c r="BES22" s="130"/>
      <c r="BFC22" s="130"/>
      <c r="BFM22" s="130"/>
      <c r="BFW22" s="130"/>
      <c r="BGG22" s="130"/>
      <c r="BGQ22" s="130"/>
      <c r="BHA22" s="130"/>
      <c r="BHK22" s="130"/>
      <c r="BHU22" s="130"/>
      <c r="BIE22" s="130"/>
      <c r="BIO22" s="130"/>
      <c r="BIY22" s="130"/>
      <c r="BJI22" s="130"/>
      <c r="BJS22" s="130"/>
      <c r="BKC22" s="130"/>
      <c r="BKM22" s="130"/>
      <c r="BKW22" s="130"/>
      <c r="BLG22" s="130"/>
      <c r="BLQ22" s="130"/>
      <c r="BMA22" s="130"/>
      <c r="BMK22" s="130"/>
      <c r="BMU22" s="130"/>
      <c r="BNE22" s="130"/>
      <c r="BNO22" s="130"/>
      <c r="BNY22" s="130"/>
      <c r="BOI22" s="130"/>
      <c r="BOS22" s="130"/>
      <c r="BPC22" s="130"/>
      <c r="BPM22" s="130"/>
      <c r="BPW22" s="130"/>
      <c r="BQG22" s="130"/>
      <c r="BQQ22" s="130"/>
      <c r="BRA22" s="130"/>
      <c r="BRK22" s="130"/>
      <c r="BRU22" s="130"/>
      <c r="BSE22" s="130"/>
      <c r="BSO22" s="130"/>
      <c r="BSY22" s="130"/>
      <c r="BTI22" s="130"/>
      <c r="BTS22" s="130"/>
      <c r="BUC22" s="130"/>
      <c r="BUM22" s="130"/>
      <c r="BUW22" s="130"/>
      <c r="BVG22" s="130"/>
      <c r="BVQ22" s="130"/>
      <c r="BWA22" s="130"/>
      <c r="BWK22" s="130"/>
      <c r="BWU22" s="130"/>
      <c r="BXE22" s="130"/>
      <c r="BXO22" s="130"/>
      <c r="BXY22" s="130"/>
      <c r="BYI22" s="130"/>
      <c r="BYS22" s="130"/>
      <c r="BZC22" s="130"/>
      <c r="BZM22" s="130"/>
      <c r="BZW22" s="130"/>
      <c r="CAG22" s="130"/>
      <c r="CAQ22" s="130"/>
      <c r="CBA22" s="130"/>
      <c r="CBK22" s="130"/>
      <c r="CBU22" s="130"/>
      <c r="CCE22" s="130"/>
      <c r="CCO22" s="130"/>
      <c r="CCY22" s="130"/>
      <c r="CDI22" s="130"/>
      <c r="CDS22" s="130"/>
      <c r="CEC22" s="130"/>
      <c r="CEM22" s="130"/>
      <c r="CEW22" s="130"/>
      <c r="CFG22" s="130"/>
      <c r="CFQ22" s="130"/>
      <c r="CGA22" s="130"/>
      <c r="CGK22" s="130"/>
      <c r="CGU22" s="130"/>
      <c r="CHE22" s="130"/>
      <c r="CHO22" s="130"/>
      <c r="CHY22" s="130"/>
      <c r="CII22" s="130"/>
      <c r="CIS22" s="130"/>
      <c r="CJC22" s="130"/>
      <c r="CJM22" s="130"/>
      <c r="CJW22" s="130"/>
      <c r="CKG22" s="130"/>
      <c r="CKQ22" s="130"/>
      <c r="CLA22" s="130"/>
      <c r="CLK22" s="130"/>
      <c r="CLU22" s="130"/>
      <c r="CME22" s="130"/>
      <c r="CMO22" s="130"/>
      <c r="CMY22" s="130"/>
      <c r="CNI22" s="130"/>
      <c r="CNS22" s="130"/>
      <c r="COC22" s="130"/>
      <c r="COM22" s="130"/>
      <c r="COW22" s="130"/>
      <c r="CPG22" s="130"/>
      <c r="CPQ22" s="130"/>
      <c r="CQA22" s="130"/>
      <c r="CQK22" s="130"/>
      <c r="CQU22" s="130"/>
      <c r="CRE22" s="130"/>
      <c r="CRO22" s="130"/>
      <c r="CRY22" s="130"/>
      <c r="CSI22" s="130"/>
      <c r="CSS22" s="130"/>
      <c r="CTC22" s="130"/>
      <c r="CTM22" s="130"/>
      <c r="CTW22" s="130"/>
      <c r="CUG22" s="130"/>
      <c r="CUQ22" s="130"/>
      <c r="CVA22" s="130"/>
      <c r="CVK22" s="130"/>
      <c r="CVU22" s="130"/>
      <c r="CWE22" s="130"/>
      <c r="CWO22" s="130"/>
      <c r="CWY22" s="130"/>
      <c r="CXI22" s="130"/>
      <c r="CXS22" s="130"/>
      <c r="CYC22" s="130"/>
      <c r="CYM22" s="130"/>
      <c r="CYW22" s="130"/>
      <c r="CZG22" s="130"/>
      <c r="CZQ22" s="130"/>
      <c r="DAA22" s="130"/>
      <c r="DAK22" s="130"/>
      <c r="DAU22" s="130"/>
      <c r="DBE22" s="130"/>
      <c r="DBO22" s="130"/>
      <c r="DBY22" s="130"/>
      <c r="DCI22" s="130"/>
      <c r="DCS22" s="130"/>
      <c r="DDC22" s="130"/>
      <c r="DDM22" s="130"/>
      <c r="DDW22" s="130"/>
      <c r="DEG22" s="130"/>
      <c r="DEQ22" s="130"/>
      <c r="DFA22" s="130"/>
      <c r="DFK22" s="130"/>
      <c r="DFU22" s="130"/>
      <c r="DGE22" s="130"/>
      <c r="DGO22" s="130"/>
      <c r="DGY22" s="130"/>
      <c r="DHI22" s="130"/>
      <c r="DHS22" s="130"/>
      <c r="DIC22" s="130"/>
      <c r="DIM22" s="130"/>
      <c r="DIW22" s="130"/>
      <c r="DJG22" s="130"/>
      <c r="DJQ22" s="130"/>
      <c r="DKA22" s="130"/>
      <c r="DKK22" s="130"/>
      <c r="DKU22" s="130"/>
      <c r="DLE22" s="130"/>
      <c r="DLO22" s="130"/>
      <c r="DLY22" s="130"/>
      <c r="DMI22" s="130"/>
      <c r="DMS22" s="130"/>
      <c r="DNC22" s="130"/>
      <c r="DNM22" s="130"/>
      <c r="DNW22" s="130"/>
      <c r="DOG22" s="130"/>
      <c r="DOQ22" s="130"/>
      <c r="DPA22" s="130"/>
      <c r="DPK22" s="130"/>
      <c r="DPU22" s="130"/>
      <c r="DQE22" s="130"/>
      <c r="DQO22" s="130"/>
      <c r="DQY22" s="130"/>
      <c r="DRI22" s="130"/>
      <c r="DRS22" s="130"/>
      <c r="DSC22" s="130"/>
      <c r="DSM22" s="130"/>
      <c r="DSW22" s="130"/>
      <c r="DTG22" s="130"/>
      <c r="DTQ22" s="130"/>
      <c r="DUA22" s="130"/>
      <c r="DUK22" s="130"/>
      <c r="DUU22" s="130"/>
      <c r="DVE22" s="130"/>
      <c r="DVO22" s="130"/>
      <c r="DVY22" s="130"/>
      <c r="DWI22" s="130"/>
      <c r="DWS22" s="130"/>
      <c r="DXC22" s="130"/>
      <c r="DXM22" s="130"/>
      <c r="DXW22" s="130"/>
      <c r="DYG22" s="130"/>
      <c r="DYQ22" s="130"/>
      <c r="DZA22" s="130"/>
      <c r="DZK22" s="130"/>
      <c r="DZU22" s="130"/>
      <c r="EAE22" s="130"/>
      <c r="EAO22" s="130"/>
      <c r="EAY22" s="130"/>
      <c r="EBI22" s="130"/>
      <c r="EBS22" s="130"/>
      <c r="ECC22" s="130"/>
      <c r="ECM22" s="130"/>
      <c r="ECW22" s="130"/>
      <c r="EDG22" s="130"/>
      <c r="EDQ22" s="130"/>
      <c r="EEA22" s="130"/>
      <c r="EEK22" s="130"/>
      <c r="EEU22" s="130"/>
      <c r="EFE22" s="130"/>
      <c r="EFO22" s="130"/>
      <c r="EFY22" s="130"/>
      <c r="EGI22" s="130"/>
      <c r="EGS22" s="130"/>
      <c r="EHC22" s="130"/>
      <c r="EHM22" s="130"/>
      <c r="EHW22" s="130"/>
      <c r="EIG22" s="130"/>
      <c r="EIQ22" s="130"/>
      <c r="EJA22" s="130"/>
      <c r="EJK22" s="130"/>
      <c r="EJU22" s="130"/>
      <c r="EKE22" s="130"/>
      <c r="EKO22" s="130"/>
      <c r="EKY22" s="130"/>
      <c r="ELI22" s="130"/>
      <c r="ELS22" s="130"/>
      <c r="EMC22" s="130"/>
      <c r="EMM22" s="130"/>
      <c r="EMW22" s="130"/>
      <c r="ENG22" s="130"/>
      <c r="ENQ22" s="130"/>
      <c r="EOA22" s="130"/>
      <c r="EOK22" s="130"/>
      <c r="EOU22" s="130"/>
      <c r="EPE22" s="130"/>
      <c r="EPO22" s="130"/>
      <c r="EPY22" s="130"/>
      <c r="EQI22" s="130"/>
      <c r="EQS22" s="130"/>
      <c r="ERC22" s="130"/>
      <c r="ERM22" s="130"/>
      <c r="ERW22" s="130"/>
      <c r="ESG22" s="130"/>
      <c r="ESQ22" s="130"/>
      <c r="ETA22" s="130"/>
      <c r="ETK22" s="130"/>
      <c r="ETU22" s="130"/>
      <c r="EUE22" s="130"/>
      <c r="EUO22" s="130"/>
      <c r="EUY22" s="130"/>
      <c r="EVI22" s="130"/>
      <c r="EVS22" s="130"/>
      <c r="EWC22" s="130"/>
      <c r="EWM22" s="130"/>
      <c r="EWW22" s="130"/>
      <c r="EXG22" s="130"/>
      <c r="EXQ22" s="130"/>
      <c r="EYA22" s="130"/>
      <c r="EYK22" s="130"/>
      <c r="EYU22" s="130"/>
      <c r="EZE22" s="130"/>
      <c r="EZO22" s="130"/>
      <c r="EZY22" s="130"/>
      <c r="FAI22" s="130"/>
      <c r="FAS22" s="130"/>
      <c r="FBC22" s="130"/>
      <c r="FBM22" s="130"/>
      <c r="FBW22" s="130"/>
      <c r="FCG22" s="130"/>
      <c r="FCQ22" s="130"/>
      <c r="FDA22" s="130"/>
      <c r="FDK22" s="130"/>
      <c r="FDU22" s="130"/>
      <c r="FEE22" s="130"/>
      <c r="FEO22" s="130"/>
      <c r="FEY22" s="130"/>
      <c r="FFI22" s="130"/>
      <c r="FFS22" s="130"/>
      <c r="FGC22" s="130"/>
      <c r="FGM22" s="130"/>
      <c r="FGW22" s="130"/>
      <c r="FHG22" s="130"/>
      <c r="FHQ22" s="130"/>
      <c r="FIA22" s="130"/>
      <c r="FIK22" s="130"/>
      <c r="FIU22" s="130"/>
      <c r="FJE22" s="130"/>
      <c r="FJO22" s="130"/>
      <c r="FJY22" s="130"/>
      <c r="FKI22" s="130"/>
      <c r="FKS22" s="130"/>
      <c r="FLC22" s="130"/>
      <c r="FLM22" s="130"/>
      <c r="FLW22" s="130"/>
      <c r="FMG22" s="130"/>
      <c r="FMQ22" s="130"/>
      <c r="FNA22" s="130"/>
      <c r="FNK22" s="130"/>
      <c r="FNU22" s="130"/>
      <c r="FOE22" s="130"/>
      <c r="FOO22" s="130"/>
      <c r="FOY22" s="130"/>
      <c r="FPI22" s="130"/>
      <c r="FPS22" s="130"/>
      <c r="FQC22" s="130"/>
      <c r="FQM22" s="130"/>
      <c r="FQW22" s="130"/>
      <c r="FRG22" s="130"/>
      <c r="FRQ22" s="130"/>
      <c r="FSA22" s="130"/>
      <c r="FSK22" s="130"/>
      <c r="FSU22" s="130"/>
      <c r="FTE22" s="130"/>
      <c r="FTO22" s="130"/>
      <c r="FTY22" s="130"/>
      <c r="FUI22" s="130"/>
      <c r="FUS22" s="130"/>
      <c r="FVC22" s="130"/>
      <c r="FVM22" s="130"/>
      <c r="FVW22" s="130"/>
      <c r="FWG22" s="130"/>
      <c r="FWQ22" s="130"/>
      <c r="FXA22" s="130"/>
      <c r="FXK22" s="130"/>
      <c r="FXU22" s="130"/>
      <c r="FYE22" s="130"/>
      <c r="FYO22" s="130"/>
      <c r="FYY22" s="130"/>
      <c r="FZI22" s="130"/>
      <c r="FZS22" s="130"/>
      <c r="GAC22" s="130"/>
      <c r="GAM22" s="130"/>
      <c r="GAW22" s="130"/>
      <c r="GBG22" s="130"/>
      <c r="GBQ22" s="130"/>
      <c r="GCA22" s="130"/>
      <c r="GCK22" s="130"/>
      <c r="GCU22" s="130"/>
      <c r="GDE22" s="130"/>
      <c r="GDO22" s="130"/>
      <c r="GDY22" s="130"/>
      <c r="GEI22" s="130"/>
      <c r="GES22" s="130"/>
      <c r="GFC22" s="130"/>
      <c r="GFM22" s="130"/>
      <c r="GFW22" s="130"/>
      <c r="GGG22" s="130"/>
      <c r="GGQ22" s="130"/>
      <c r="GHA22" s="130"/>
      <c r="GHK22" s="130"/>
      <c r="GHU22" s="130"/>
      <c r="GIE22" s="130"/>
      <c r="GIO22" s="130"/>
      <c r="GIY22" s="130"/>
      <c r="GJI22" s="130"/>
      <c r="GJS22" s="130"/>
      <c r="GKC22" s="130"/>
      <c r="GKM22" s="130"/>
      <c r="GKW22" s="130"/>
      <c r="GLG22" s="130"/>
      <c r="GLQ22" s="130"/>
      <c r="GMA22" s="130"/>
      <c r="GMK22" s="130"/>
      <c r="GMU22" s="130"/>
      <c r="GNE22" s="130"/>
      <c r="GNO22" s="130"/>
      <c r="GNY22" s="130"/>
      <c r="GOI22" s="130"/>
      <c r="GOS22" s="130"/>
      <c r="GPC22" s="130"/>
      <c r="GPM22" s="130"/>
      <c r="GPW22" s="130"/>
      <c r="GQG22" s="130"/>
      <c r="GQQ22" s="130"/>
      <c r="GRA22" s="130"/>
      <c r="GRK22" s="130"/>
      <c r="GRU22" s="130"/>
      <c r="GSE22" s="130"/>
      <c r="GSO22" s="130"/>
      <c r="GSY22" s="130"/>
      <c r="GTI22" s="130"/>
      <c r="GTS22" s="130"/>
      <c r="GUC22" s="130"/>
      <c r="GUM22" s="130"/>
      <c r="GUW22" s="130"/>
      <c r="GVG22" s="130"/>
      <c r="GVQ22" s="130"/>
      <c r="GWA22" s="130"/>
      <c r="GWK22" s="130"/>
      <c r="GWU22" s="130"/>
      <c r="GXE22" s="130"/>
      <c r="GXO22" s="130"/>
      <c r="GXY22" s="130"/>
      <c r="GYI22" s="130"/>
      <c r="GYS22" s="130"/>
      <c r="GZC22" s="130"/>
      <c r="GZM22" s="130"/>
      <c r="GZW22" s="130"/>
      <c r="HAG22" s="130"/>
      <c r="HAQ22" s="130"/>
      <c r="HBA22" s="130"/>
      <c r="HBK22" s="130"/>
      <c r="HBU22" s="130"/>
      <c r="HCE22" s="130"/>
      <c r="HCO22" s="130"/>
      <c r="HCY22" s="130"/>
      <c r="HDI22" s="130"/>
      <c r="HDS22" s="130"/>
      <c r="HEC22" s="130"/>
      <c r="HEM22" s="130"/>
      <c r="HEW22" s="130"/>
      <c r="HFG22" s="130"/>
      <c r="HFQ22" s="130"/>
      <c r="HGA22" s="130"/>
      <c r="HGK22" s="130"/>
      <c r="HGU22" s="130"/>
      <c r="HHE22" s="130"/>
      <c r="HHO22" s="130"/>
      <c r="HHY22" s="130"/>
      <c r="HII22" s="130"/>
      <c r="HIS22" s="130"/>
      <c r="HJC22" s="130"/>
      <c r="HJM22" s="130"/>
      <c r="HJW22" s="130"/>
      <c r="HKG22" s="130"/>
      <c r="HKQ22" s="130"/>
      <c r="HLA22" s="130"/>
      <c r="HLK22" s="130"/>
      <c r="HLU22" s="130"/>
      <c r="HME22" s="130"/>
      <c r="HMO22" s="130"/>
      <c r="HMY22" s="130"/>
      <c r="HNI22" s="130"/>
      <c r="HNS22" s="130"/>
      <c r="HOC22" s="130"/>
      <c r="HOM22" s="130"/>
      <c r="HOW22" s="130"/>
      <c r="HPG22" s="130"/>
      <c r="HPQ22" s="130"/>
      <c r="HQA22" s="130"/>
      <c r="HQK22" s="130"/>
      <c r="HQU22" s="130"/>
      <c r="HRE22" s="130"/>
      <c r="HRO22" s="130"/>
      <c r="HRY22" s="130"/>
      <c r="HSI22" s="130"/>
      <c r="HSS22" s="130"/>
      <c r="HTC22" s="130"/>
      <c r="HTM22" s="130"/>
      <c r="HTW22" s="130"/>
      <c r="HUG22" s="130"/>
      <c r="HUQ22" s="130"/>
      <c r="HVA22" s="130"/>
      <c r="HVK22" s="130"/>
      <c r="HVU22" s="130"/>
      <c r="HWE22" s="130"/>
      <c r="HWO22" s="130"/>
      <c r="HWY22" s="130"/>
      <c r="HXI22" s="130"/>
      <c r="HXS22" s="130"/>
      <c r="HYC22" s="130"/>
      <c r="HYM22" s="130"/>
      <c r="HYW22" s="130"/>
      <c r="HZG22" s="130"/>
      <c r="HZQ22" s="130"/>
      <c r="IAA22" s="130"/>
      <c r="IAK22" s="130"/>
      <c r="IAU22" s="130"/>
      <c r="IBE22" s="130"/>
      <c r="IBO22" s="130"/>
      <c r="IBY22" s="130"/>
      <c r="ICI22" s="130"/>
      <c r="ICS22" s="130"/>
      <c r="IDC22" s="130"/>
      <c r="IDM22" s="130"/>
      <c r="IDW22" s="130"/>
      <c r="IEG22" s="130"/>
      <c r="IEQ22" s="130"/>
      <c r="IFA22" s="130"/>
      <c r="IFK22" s="130"/>
      <c r="IFU22" s="130"/>
      <c r="IGE22" s="130"/>
      <c r="IGO22" s="130"/>
      <c r="IGY22" s="130"/>
      <c r="IHI22" s="130"/>
      <c r="IHS22" s="130"/>
      <c r="IIC22" s="130"/>
      <c r="IIM22" s="130"/>
      <c r="IIW22" s="130"/>
      <c r="IJG22" s="130"/>
      <c r="IJQ22" s="130"/>
      <c r="IKA22" s="130"/>
      <c r="IKK22" s="130"/>
      <c r="IKU22" s="130"/>
      <c r="ILE22" s="130"/>
      <c r="ILO22" s="130"/>
      <c r="ILY22" s="130"/>
      <c r="IMI22" s="130"/>
      <c r="IMS22" s="130"/>
      <c r="INC22" s="130"/>
      <c r="INM22" s="130"/>
      <c r="INW22" s="130"/>
      <c r="IOG22" s="130"/>
      <c r="IOQ22" s="130"/>
      <c r="IPA22" s="130"/>
      <c r="IPK22" s="130"/>
      <c r="IPU22" s="130"/>
      <c r="IQE22" s="130"/>
      <c r="IQO22" s="130"/>
      <c r="IQY22" s="130"/>
      <c r="IRI22" s="130"/>
      <c r="IRS22" s="130"/>
      <c r="ISC22" s="130"/>
      <c r="ISM22" s="130"/>
      <c r="ISW22" s="130"/>
      <c r="ITG22" s="130"/>
      <c r="ITQ22" s="130"/>
      <c r="IUA22" s="130"/>
      <c r="IUK22" s="130"/>
      <c r="IUU22" s="130"/>
      <c r="IVE22" s="130"/>
      <c r="IVO22" s="130"/>
      <c r="IVY22" s="130"/>
      <c r="IWI22" s="130"/>
      <c r="IWS22" s="130"/>
      <c r="IXC22" s="130"/>
      <c r="IXM22" s="130"/>
      <c r="IXW22" s="130"/>
      <c r="IYG22" s="130"/>
      <c r="IYQ22" s="130"/>
      <c r="IZA22" s="130"/>
      <c r="IZK22" s="130"/>
      <c r="IZU22" s="130"/>
      <c r="JAE22" s="130"/>
      <c r="JAO22" s="130"/>
      <c r="JAY22" s="130"/>
      <c r="JBI22" s="130"/>
      <c r="JBS22" s="130"/>
      <c r="JCC22" s="130"/>
      <c r="JCM22" s="130"/>
      <c r="JCW22" s="130"/>
      <c r="JDG22" s="130"/>
      <c r="JDQ22" s="130"/>
      <c r="JEA22" s="130"/>
      <c r="JEK22" s="130"/>
      <c r="JEU22" s="130"/>
      <c r="JFE22" s="130"/>
      <c r="JFO22" s="130"/>
      <c r="JFY22" s="130"/>
      <c r="JGI22" s="130"/>
      <c r="JGS22" s="130"/>
      <c r="JHC22" s="130"/>
      <c r="JHM22" s="130"/>
      <c r="JHW22" s="130"/>
      <c r="JIG22" s="130"/>
      <c r="JIQ22" s="130"/>
      <c r="JJA22" s="130"/>
      <c r="JJK22" s="130"/>
      <c r="JJU22" s="130"/>
      <c r="JKE22" s="130"/>
      <c r="JKO22" s="130"/>
      <c r="JKY22" s="130"/>
      <c r="JLI22" s="130"/>
      <c r="JLS22" s="130"/>
      <c r="JMC22" s="130"/>
      <c r="JMM22" s="130"/>
      <c r="JMW22" s="130"/>
      <c r="JNG22" s="130"/>
      <c r="JNQ22" s="130"/>
      <c r="JOA22" s="130"/>
      <c r="JOK22" s="130"/>
      <c r="JOU22" s="130"/>
      <c r="JPE22" s="130"/>
      <c r="JPO22" s="130"/>
      <c r="JPY22" s="130"/>
      <c r="JQI22" s="130"/>
      <c r="JQS22" s="130"/>
      <c r="JRC22" s="130"/>
      <c r="JRM22" s="130"/>
      <c r="JRW22" s="130"/>
      <c r="JSG22" s="130"/>
      <c r="JSQ22" s="130"/>
      <c r="JTA22" s="130"/>
      <c r="JTK22" s="130"/>
      <c r="JTU22" s="130"/>
      <c r="JUE22" s="130"/>
      <c r="JUO22" s="130"/>
      <c r="JUY22" s="130"/>
      <c r="JVI22" s="130"/>
      <c r="JVS22" s="130"/>
      <c r="JWC22" s="130"/>
      <c r="JWM22" s="130"/>
      <c r="JWW22" s="130"/>
      <c r="JXG22" s="130"/>
      <c r="JXQ22" s="130"/>
      <c r="JYA22" s="130"/>
      <c r="JYK22" s="130"/>
      <c r="JYU22" s="130"/>
      <c r="JZE22" s="130"/>
      <c r="JZO22" s="130"/>
      <c r="JZY22" s="130"/>
      <c r="KAI22" s="130"/>
      <c r="KAS22" s="130"/>
      <c r="KBC22" s="130"/>
      <c r="KBM22" s="130"/>
      <c r="KBW22" s="130"/>
      <c r="KCG22" s="130"/>
      <c r="KCQ22" s="130"/>
      <c r="KDA22" s="130"/>
      <c r="KDK22" s="130"/>
      <c r="KDU22" s="130"/>
      <c r="KEE22" s="130"/>
      <c r="KEO22" s="130"/>
      <c r="KEY22" s="130"/>
      <c r="KFI22" s="130"/>
      <c r="KFS22" s="130"/>
      <c r="KGC22" s="130"/>
      <c r="KGM22" s="130"/>
      <c r="KGW22" s="130"/>
      <c r="KHG22" s="130"/>
      <c r="KHQ22" s="130"/>
      <c r="KIA22" s="130"/>
      <c r="KIK22" s="130"/>
      <c r="KIU22" s="130"/>
      <c r="KJE22" s="130"/>
      <c r="KJO22" s="130"/>
      <c r="KJY22" s="130"/>
      <c r="KKI22" s="130"/>
      <c r="KKS22" s="130"/>
      <c r="KLC22" s="130"/>
      <c r="KLM22" s="130"/>
      <c r="KLW22" s="130"/>
      <c r="KMG22" s="130"/>
      <c r="KMQ22" s="130"/>
      <c r="KNA22" s="130"/>
      <c r="KNK22" s="130"/>
      <c r="KNU22" s="130"/>
      <c r="KOE22" s="130"/>
      <c r="KOO22" s="130"/>
      <c r="KOY22" s="130"/>
      <c r="KPI22" s="130"/>
      <c r="KPS22" s="130"/>
      <c r="KQC22" s="130"/>
      <c r="KQM22" s="130"/>
      <c r="KQW22" s="130"/>
      <c r="KRG22" s="130"/>
      <c r="KRQ22" s="130"/>
      <c r="KSA22" s="130"/>
      <c r="KSK22" s="130"/>
      <c r="KSU22" s="130"/>
      <c r="KTE22" s="130"/>
      <c r="KTO22" s="130"/>
      <c r="KTY22" s="130"/>
      <c r="KUI22" s="130"/>
      <c r="KUS22" s="130"/>
      <c r="KVC22" s="130"/>
      <c r="KVM22" s="130"/>
      <c r="KVW22" s="130"/>
      <c r="KWG22" s="130"/>
      <c r="KWQ22" s="130"/>
      <c r="KXA22" s="130"/>
      <c r="KXK22" s="130"/>
      <c r="KXU22" s="130"/>
      <c r="KYE22" s="130"/>
      <c r="KYO22" s="130"/>
      <c r="KYY22" s="130"/>
      <c r="KZI22" s="130"/>
      <c r="KZS22" s="130"/>
      <c r="LAC22" s="130"/>
      <c r="LAM22" s="130"/>
      <c r="LAW22" s="130"/>
      <c r="LBG22" s="130"/>
      <c r="LBQ22" s="130"/>
      <c r="LCA22" s="130"/>
      <c r="LCK22" s="130"/>
      <c r="LCU22" s="130"/>
      <c r="LDE22" s="130"/>
      <c r="LDO22" s="130"/>
      <c r="LDY22" s="130"/>
      <c r="LEI22" s="130"/>
      <c r="LES22" s="130"/>
      <c r="LFC22" s="130"/>
      <c r="LFM22" s="130"/>
      <c r="LFW22" s="130"/>
      <c r="LGG22" s="130"/>
      <c r="LGQ22" s="130"/>
      <c r="LHA22" s="130"/>
      <c r="LHK22" s="130"/>
      <c r="LHU22" s="130"/>
      <c r="LIE22" s="130"/>
      <c r="LIO22" s="130"/>
      <c r="LIY22" s="130"/>
      <c r="LJI22" s="130"/>
      <c r="LJS22" s="130"/>
      <c r="LKC22" s="130"/>
      <c r="LKM22" s="130"/>
      <c r="LKW22" s="130"/>
      <c r="LLG22" s="130"/>
      <c r="LLQ22" s="130"/>
      <c r="LMA22" s="130"/>
      <c r="LMK22" s="130"/>
      <c r="LMU22" s="130"/>
      <c r="LNE22" s="130"/>
      <c r="LNO22" s="130"/>
      <c r="LNY22" s="130"/>
      <c r="LOI22" s="130"/>
      <c r="LOS22" s="130"/>
      <c r="LPC22" s="130"/>
      <c r="LPM22" s="130"/>
      <c r="LPW22" s="130"/>
      <c r="LQG22" s="130"/>
      <c r="LQQ22" s="130"/>
      <c r="LRA22" s="130"/>
      <c r="LRK22" s="130"/>
      <c r="LRU22" s="130"/>
      <c r="LSE22" s="130"/>
      <c r="LSO22" s="130"/>
      <c r="LSY22" s="130"/>
      <c r="LTI22" s="130"/>
      <c r="LTS22" s="130"/>
      <c r="LUC22" s="130"/>
      <c r="LUM22" s="130"/>
      <c r="LUW22" s="130"/>
      <c r="LVG22" s="130"/>
      <c r="LVQ22" s="130"/>
      <c r="LWA22" s="130"/>
      <c r="LWK22" s="130"/>
      <c r="LWU22" s="130"/>
      <c r="LXE22" s="130"/>
      <c r="LXO22" s="130"/>
      <c r="LXY22" s="130"/>
      <c r="LYI22" s="130"/>
      <c r="LYS22" s="130"/>
      <c r="LZC22" s="130"/>
      <c r="LZM22" s="130"/>
      <c r="LZW22" s="130"/>
      <c r="MAG22" s="130"/>
      <c r="MAQ22" s="130"/>
      <c r="MBA22" s="130"/>
      <c r="MBK22" s="130"/>
      <c r="MBU22" s="130"/>
      <c r="MCE22" s="130"/>
      <c r="MCO22" s="130"/>
      <c r="MCY22" s="130"/>
      <c r="MDI22" s="130"/>
      <c r="MDS22" s="130"/>
      <c r="MEC22" s="130"/>
      <c r="MEM22" s="130"/>
      <c r="MEW22" s="130"/>
      <c r="MFG22" s="130"/>
      <c r="MFQ22" s="130"/>
      <c r="MGA22" s="130"/>
      <c r="MGK22" s="130"/>
      <c r="MGU22" s="130"/>
      <c r="MHE22" s="130"/>
      <c r="MHO22" s="130"/>
      <c r="MHY22" s="130"/>
      <c r="MII22" s="130"/>
      <c r="MIS22" s="130"/>
      <c r="MJC22" s="130"/>
      <c r="MJM22" s="130"/>
      <c r="MJW22" s="130"/>
      <c r="MKG22" s="130"/>
      <c r="MKQ22" s="130"/>
      <c r="MLA22" s="130"/>
      <c r="MLK22" s="130"/>
      <c r="MLU22" s="130"/>
      <c r="MME22" s="130"/>
      <c r="MMO22" s="130"/>
      <c r="MMY22" s="130"/>
      <c r="MNI22" s="130"/>
      <c r="MNS22" s="130"/>
      <c r="MOC22" s="130"/>
      <c r="MOM22" s="130"/>
      <c r="MOW22" s="130"/>
      <c r="MPG22" s="130"/>
      <c r="MPQ22" s="130"/>
      <c r="MQA22" s="130"/>
      <c r="MQK22" s="130"/>
      <c r="MQU22" s="130"/>
      <c r="MRE22" s="130"/>
      <c r="MRO22" s="130"/>
      <c r="MRY22" s="130"/>
      <c r="MSI22" s="130"/>
      <c r="MSS22" s="130"/>
      <c r="MTC22" s="130"/>
      <c r="MTM22" s="130"/>
      <c r="MTW22" s="130"/>
      <c r="MUG22" s="130"/>
      <c r="MUQ22" s="130"/>
      <c r="MVA22" s="130"/>
      <c r="MVK22" s="130"/>
      <c r="MVU22" s="130"/>
      <c r="MWE22" s="130"/>
      <c r="MWO22" s="130"/>
      <c r="MWY22" s="130"/>
      <c r="MXI22" s="130"/>
      <c r="MXS22" s="130"/>
      <c r="MYC22" s="130"/>
      <c r="MYM22" s="130"/>
      <c r="MYW22" s="130"/>
      <c r="MZG22" s="130"/>
      <c r="MZQ22" s="130"/>
      <c r="NAA22" s="130"/>
      <c r="NAK22" s="130"/>
      <c r="NAU22" s="130"/>
      <c r="NBE22" s="130"/>
      <c r="NBO22" s="130"/>
      <c r="NBY22" s="130"/>
      <c r="NCI22" s="130"/>
      <c r="NCS22" s="130"/>
      <c r="NDC22" s="130"/>
      <c r="NDM22" s="130"/>
      <c r="NDW22" s="130"/>
      <c r="NEG22" s="130"/>
      <c r="NEQ22" s="130"/>
      <c r="NFA22" s="130"/>
      <c r="NFK22" s="130"/>
      <c r="NFU22" s="130"/>
      <c r="NGE22" s="130"/>
      <c r="NGO22" s="130"/>
      <c r="NGY22" s="130"/>
      <c r="NHI22" s="130"/>
      <c r="NHS22" s="130"/>
      <c r="NIC22" s="130"/>
      <c r="NIM22" s="130"/>
      <c r="NIW22" s="130"/>
      <c r="NJG22" s="130"/>
      <c r="NJQ22" s="130"/>
      <c r="NKA22" s="130"/>
      <c r="NKK22" s="130"/>
      <c r="NKU22" s="130"/>
      <c r="NLE22" s="130"/>
      <c r="NLO22" s="130"/>
      <c r="NLY22" s="130"/>
      <c r="NMI22" s="130"/>
      <c r="NMS22" s="130"/>
      <c r="NNC22" s="130"/>
      <c r="NNM22" s="130"/>
      <c r="NNW22" s="130"/>
      <c r="NOG22" s="130"/>
      <c r="NOQ22" s="130"/>
      <c r="NPA22" s="130"/>
      <c r="NPK22" s="130"/>
      <c r="NPU22" s="130"/>
      <c r="NQE22" s="130"/>
      <c r="NQO22" s="130"/>
      <c r="NQY22" s="130"/>
      <c r="NRI22" s="130"/>
      <c r="NRS22" s="130"/>
      <c r="NSC22" s="130"/>
      <c r="NSM22" s="130"/>
      <c r="NSW22" s="130"/>
      <c r="NTG22" s="130"/>
      <c r="NTQ22" s="130"/>
      <c r="NUA22" s="130"/>
      <c r="NUK22" s="130"/>
      <c r="NUU22" s="130"/>
      <c r="NVE22" s="130"/>
      <c r="NVO22" s="130"/>
      <c r="NVY22" s="130"/>
      <c r="NWI22" s="130"/>
      <c r="NWS22" s="130"/>
      <c r="NXC22" s="130"/>
      <c r="NXM22" s="130"/>
      <c r="NXW22" s="130"/>
      <c r="NYG22" s="130"/>
      <c r="NYQ22" s="130"/>
      <c r="NZA22" s="130"/>
      <c r="NZK22" s="130"/>
      <c r="NZU22" s="130"/>
      <c r="OAE22" s="130"/>
      <c r="OAO22" s="130"/>
      <c r="OAY22" s="130"/>
      <c r="OBI22" s="130"/>
      <c r="OBS22" s="130"/>
      <c r="OCC22" s="130"/>
      <c r="OCM22" s="130"/>
      <c r="OCW22" s="130"/>
      <c r="ODG22" s="130"/>
      <c r="ODQ22" s="130"/>
      <c r="OEA22" s="130"/>
      <c r="OEK22" s="130"/>
      <c r="OEU22" s="130"/>
      <c r="OFE22" s="130"/>
      <c r="OFO22" s="130"/>
      <c r="OFY22" s="130"/>
      <c r="OGI22" s="130"/>
      <c r="OGS22" s="130"/>
      <c r="OHC22" s="130"/>
      <c r="OHM22" s="130"/>
      <c r="OHW22" s="130"/>
      <c r="OIG22" s="130"/>
      <c r="OIQ22" s="130"/>
      <c r="OJA22" s="130"/>
      <c r="OJK22" s="130"/>
      <c r="OJU22" s="130"/>
      <c r="OKE22" s="130"/>
      <c r="OKO22" s="130"/>
      <c r="OKY22" s="130"/>
      <c r="OLI22" s="130"/>
      <c r="OLS22" s="130"/>
      <c r="OMC22" s="130"/>
      <c r="OMM22" s="130"/>
      <c r="OMW22" s="130"/>
      <c r="ONG22" s="130"/>
      <c r="ONQ22" s="130"/>
      <c r="OOA22" s="130"/>
      <c r="OOK22" s="130"/>
      <c r="OOU22" s="130"/>
      <c r="OPE22" s="130"/>
      <c r="OPO22" s="130"/>
      <c r="OPY22" s="130"/>
      <c r="OQI22" s="130"/>
      <c r="OQS22" s="130"/>
      <c r="ORC22" s="130"/>
      <c r="ORM22" s="130"/>
      <c r="ORW22" s="130"/>
      <c r="OSG22" s="130"/>
      <c r="OSQ22" s="130"/>
      <c r="OTA22" s="130"/>
      <c r="OTK22" s="130"/>
      <c r="OTU22" s="130"/>
      <c r="OUE22" s="130"/>
      <c r="OUO22" s="130"/>
      <c r="OUY22" s="130"/>
      <c r="OVI22" s="130"/>
      <c r="OVS22" s="130"/>
      <c r="OWC22" s="130"/>
      <c r="OWM22" s="130"/>
      <c r="OWW22" s="130"/>
      <c r="OXG22" s="130"/>
      <c r="OXQ22" s="130"/>
      <c r="OYA22" s="130"/>
      <c r="OYK22" s="130"/>
      <c r="OYU22" s="130"/>
      <c r="OZE22" s="130"/>
      <c r="OZO22" s="130"/>
      <c r="OZY22" s="130"/>
      <c r="PAI22" s="130"/>
      <c r="PAS22" s="130"/>
      <c r="PBC22" s="130"/>
      <c r="PBM22" s="130"/>
      <c r="PBW22" s="130"/>
      <c r="PCG22" s="130"/>
      <c r="PCQ22" s="130"/>
      <c r="PDA22" s="130"/>
      <c r="PDK22" s="130"/>
      <c r="PDU22" s="130"/>
      <c r="PEE22" s="130"/>
      <c r="PEO22" s="130"/>
      <c r="PEY22" s="130"/>
      <c r="PFI22" s="130"/>
      <c r="PFS22" s="130"/>
      <c r="PGC22" s="130"/>
      <c r="PGM22" s="130"/>
      <c r="PGW22" s="130"/>
      <c r="PHG22" s="130"/>
      <c r="PHQ22" s="130"/>
      <c r="PIA22" s="130"/>
      <c r="PIK22" s="130"/>
      <c r="PIU22" s="130"/>
      <c r="PJE22" s="130"/>
      <c r="PJO22" s="130"/>
      <c r="PJY22" s="130"/>
      <c r="PKI22" s="130"/>
      <c r="PKS22" s="130"/>
      <c r="PLC22" s="130"/>
      <c r="PLM22" s="130"/>
      <c r="PLW22" s="130"/>
      <c r="PMG22" s="130"/>
      <c r="PMQ22" s="130"/>
      <c r="PNA22" s="130"/>
      <c r="PNK22" s="130"/>
      <c r="PNU22" s="130"/>
      <c r="POE22" s="130"/>
      <c r="POO22" s="130"/>
      <c r="POY22" s="130"/>
      <c r="PPI22" s="130"/>
      <c r="PPS22" s="130"/>
      <c r="PQC22" s="130"/>
      <c r="PQM22" s="130"/>
      <c r="PQW22" s="130"/>
      <c r="PRG22" s="130"/>
      <c r="PRQ22" s="130"/>
      <c r="PSA22" s="130"/>
      <c r="PSK22" s="130"/>
      <c r="PSU22" s="130"/>
      <c r="PTE22" s="130"/>
      <c r="PTO22" s="130"/>
      <c r="PTY22" s="130"/>
      <c r="PUI22" s="130"/>
      <c r="PUS22" s="130"/>
      <c r="PVC22" s="130"/>
      <c r="PVM22" s="130"/>
      <c r="PVW22" s="130"/>
      <c r="PWG22" s="130"/>
      <c r="PWQ22" s="130"/>
      <c r="PXA22" s="130"/>
      <c r="PXK22" s="130"/>
      <c r="PXU22" s="130"/>
      <c r="PYE22" s="130"/>
      <c r="PYO22" s="130"/>
      <c r="PYY22" s="130"/>
      <c r="PZI22" s="130"/>
      <c r="PZS22" s="130"/>
      <c r="QAC22" s="130"/>
      <c r="QAM22" s="130"/>
      <c r="QAW22" s="130"/>
      <c r="QBG22" s="130"/>
      <c r="QBQ22" s="130"/>
      <c r="QCA22" s="130"/>
      <c r="QCK22" s="130"/>
      <c r="QCU22" s="130"/>
      <c r="QDE22" s="130"/>
      <c r="QDO22" s="130"/>
      <c r="QDY22" s="130"/>
      <c r="QEI22" s="130"/>
      <c r="QES22" s="130"/>
      <c r="QFC22" s="130"/>
      <c r="QFM22" s="130"/>
      <c r="QFW22" s="130"/>
      <c r="QGG22" s="130"/>
      <c r="QGQ22" s="130"/>
      <c r="QHA22" s="130"/>
      <c r="QHK22" s="130"/>
      <c r="QHU22" s="130"/>
      <c r="QIE22" s="130"/>
      <c r="QIO22" s="130"/>
      <c r="QIY22" s="130"/>
      <c r="QJI22" s="130"/>
      <c r="QJS22" s="130"/>
      <c r="QKC22" s="130"/>
      <c r="QKM22" s="130"/>
      <c r="QKW22" s="130"/>
      <c r="QLG22" s="130"/>
      <c r="QLQ22" s="130"/>
      <c r="QMA22" s="130"/>
      <c r="QMK22" s="130"/>
      <c r="QMU22" s="130"/>
      <c r="QNE22" s="130"/>
      <c r="QNO22" s="130"/>
      <c r="QNY22" s="130"/>
      <c r="QOI22" s="130"/>
      <c r="QOS22" s="130"/>
      <c r="QPC22" s="130"/>
      <c r="QPM22" s="130"/>
      <c r="QPW22" s="130"/>
      <c r="QQG22" s="130"/>
      <c r="QQQ22" s="130"/>
      <c r="QRA22" s="130"/>
      <c r="QRK22" s="130"/>
      <c r="QRU22" s="130"/>
      <c r="QSE22" s="130"/>
      <c r="QSO22" s="130"/>
      <c r="QSY22" s="130"/>
      <c r="QTI22" s="130"/>
      <c r="QTS22" s="130"/>
      <c r="QUC22" s="130"/>
      <c r="QUM22" s="130"/>
      <c r="QUW22" s="130"/>
      <c r="QVG22" s="130"/>
      <c r="QVQ22" s="130"/>
      <c r="QWA22" s="130"/>
      <c r="QWK22" s="130"/>
      <c r="QWU22" s="130"/>
      <c r="QXE22" s="130"/>
      <c r="QXO22" s="130"/>
      <c r="QXY22" s="130"/>
      <c r="QYI22" s="130"/>
      <c r="QYS22" s="130"/>
      <c r="QZC22" s="130"/>
      <c r="QZM22" s="130"/>
      <c r="QZW22" s="130"/>
      <c r="RAG22" s="130"/>
      <c r="RAQ22" s="130"/>
      <c r="RBA22" s="130"/>
      <c r="RBK22" s="130"/>
      <c r="RBU22" s="130"/>
      <c r="RCE22" s="130"/>
      <c r="RCO22" s="130"/>
      <c r="RCY22" s="130"/>
      <c r="RDI22" s="130"/>
      <c r="RDS22" s="130"/>
      <c r="REC22" s="130"/>
      <c r="REM22" s="130"/>
      <c r="REW22" s="130"/>
      <c r="RFG22" s="130"/>
      <c r="RFQ22" s="130"/>
      <c r="RGA22" s="130"/>
      <c r="RGK22" s="130"/>
      <c r="RGU22" s="130"/>
      <c r="RHE22" s="130"/>
      <c r="RHO22" s="130"/>
      <c r="RHY22" s="130"/>
      <c r="RII22" s="130"/>
      <c r="RIS22" s="130"/>
      <c r="RJC22" s="130"/>
      <c r="RJM22" s="130"/>
      <c r="RJW22" s="130"/>
      <c r="RKG22" s="130"/>
      <c r="RKQ22" s="130"/>
      <c r="RLA22" s="130"/>
      <c r="RLK22" s="130"/>
      <c r="RLU22" s="130"/>
      <c r="RME22" s="130"/>
      <c r="RMO22" s="130"/>
      <c r="RMY22" s="130"/>
      <c r="RNI22" s="130"/>
      <c r="RNS22" s="130"/>
      <c r="ROC22" s="130"/>
      <c r="ROM22" s="130"/>
      <c r="ROW22" s="130"/>
      <c r="RPG22" s="130"/>
      <c r="RPQ22" s="130"/>
      <c r="RQA22" s="130"/>
      <c r="RQK22" s="130"/>
      <c r="RQU22" s="130"/>
      <c r="RRE22" s="130"/>
      <c r="RRO22" s="130"/>
      <c r="RRY22" s="130"/>
      <c r="RSI22" s="130"/>
      <c r="RSS22" s="130"/>
      <c r="RTC22" s="130"/>
      <c r="RTM22" s="130"/>
      <c r="RTW22" s="130"/>
      <c r="RUG22" s="130"/>
      <c r="RUQ22" s="130"/>
      <c r="RVA22" s="130"/>
      <c r="RVK22" s="130"/>
      <c r="RVU22" s="130"/>
      <c r="RWE22" s="130"/>
      <c r="RWO22" s="130"/>
      <c r="RWY22" s="130"/>
      <c r="RXI22" s="130"/>
      <c r="RXS22" s="130"/>
      <c r="RYC22" s="130"/>
      <c r="RYM22" s="130"/>
      <c r="RYW22" s="130"/>
      <c r="RZG22" s="130"/>
      <c r="RZQ22" s="130"/>
      <c r="SAA22" s="130"/>
      <c r="SAK22" s="130"/>
      <c r="SAU22" s="130"/>
      <c r="SBE22" s="130"/>
      <c r="SBO22" s="130"/>
      <c r="SBY22" s="130"/>
      <c r="SCI22" s="130"/>
      <c r="SCS22" s="130"/>
      <c r="SDC22" s="130"/>
      <c r="SDM22" s="130"/>
      <c r="SDW22" s="130"/>
      <c r="SEG22" s="130"/>
      <c r="SEQ22" s="130"/>
      <c r="SFA22" s="130"/>
      <c r="SFK22" s="130"/>
      <c r="SFU22" s="130"/>
      <c r="SGE22" s="130"/>
      <c r="SGO22" s="130"/>
      <c r="SGY22" s="130"/>
      <c r="SHI22" s="130"/>
      <c r="SHS22" s="130"/>
      <c r="SIC22" s="130"/>
      <c r="SIM22" s="130"/>
      <c r="SIW22" s="130"/>
      <c r="SJG22" s="130"/>
      <c r="SJQ22" s="130"/>
      <c r="SKA22" s="130"/>
      <c r="SKK22" s="130"/>
      <c r="SKU22" s="130"/>
      <c r="SLE22" s="130"/>
      <c r="SLO22" s="130"/>
      <c r="SLY22" s="130"/>
      <c r="SMI22" s="130"/>
      <c r="SMS22" s="130"/>
      <c r="SNC22" s="130"/>
      <c r="SNM22" s="130"/>
      <c r="SNW22" s="130"/>
      <c r="SOG22" s="130"/>
      <c r="SOQ22" s="130"/>
      <c r="SPA22" s="130"/>
      <c r="SPK22" s="130"/>
      <c r="SPU22" s="130"/>
      <c r="SQE22" s="130"/>
      <c r="SQO22" s="130"/>
      <c r="SQY22" s="130"/>
      <c r="SRI22" s="130"/>
      <c r="SRS22" s="130"/>
      <c r="SSC22" s="130"/>
      <c r="SSM22" s="130"/>
      <c r="SSW22" s="130"/>
      <c r="STG22" s="130"/>
      <c r="STQ22" s="130"/>
      <c r="SUA22" s="130"/>
      <c r="SUK22" s="130"/>
      <c r="SUU22" s="130"/>
      <c r="SVE22" s="130"/>
      <c r="SVO22" s="130"/>
      <c r="SVY22" s="130"/>
      <c r="SWI22" s="130"/>
      <c r="SWS22" s="130"/>
      <c r="SXC22" s="130"/>
      <c r="SXM22" s="130"/>
      <c r="SXW22" s="130"/>
      <c r="SYG22" s="130"/>
      <c r="SYQ22" s="130"/>
      <c r="SZA22" s="130"/>
      <c r="SZK22" s="130"/>
      <c r="SZU22" s="130"/>
      <c r="TAE22" s="130"/>
      <c r="TAO22" s="130"/>
      <c r="TAY22" s="130"/>
      <c r="TBI22" s="130"/>
      <c r="TBS22" s="130"/>
      <c r="TCC22" s="130"/>
      <c r="TCM22" s="130"/>
      <c r="TCW22" s="130"/>
      <c r="TDG22" s="130"/>
      <c r="TDQ22" s="130"/>
      <c r="TEA22" s="130"/>
      <c r="TEK22" s="130"/>
      <c r="TEU22" s="130"/>
      <c r="TFE22" s="130"/>
      <c r="TFO22" s="130"/>
      <c r="TFY22" s="130"/>
      <c r="TGI22" s="130"/>
      <c r="TGS22" s="130"/>
      <c r="THC22" s="130"/>
      <c r="THM22" s="130"/>
      <c r="THW22" s="130"/>
      <c r="TIG22" s="130"/>
      <c r="TIQ22" s="130"/>
      <c r="TJA22" s="130"/>
      <c r="TJK22" s="130"/>
      <c r="TJU22" s="130"/>
      <c r="TKE22" s="130"/>
      <c r="TKO22" s="130"/>
      <c r="TKY22" s="130"/>
      <c r="TLI22" s="130"/>
      <c r="TLS22" s="130"/>
      <c r="TMC22" s="130"/>
      <c r="TMM22" s="130"/>
      <c r="TMW22" s="130"/>
      <c r="TNG22" s="130"/>
      <c r="TNQ22" s="130"/>
      <c r="TOA22" s="130"/>
      <c r="TOK22" s="130"/>
      <c r="TOU22" s="130"/>
      <c r="TPE22" s="130"/>
      <c r="TPO22" s="130"/>
      <c r="TPY22" s="130"/>
      <c r="TQI22" s="130"/>
      <c r="TQS22" s="130"/>
      <c r="TRC22" s="130"/>
      <c r="TRM22" s="130"/>
      <c r="TRW22" s="130"/>
      <c r="TSG22" s="130"/>
      <c r="TSQ22" s="130"/>
      <c r="TTA22" s="130"/>
      <c r="TTK22" s="130"/>
      <c r="TTU22" s="130"/>
      <c r="TUE22" s="130"/>
      <c r="TUO22" s="130"/>
      <c r="TUY22" s="130"/>
      <c r="TVI22" s="130"/>
      <c r="TVS22" s="130"/>
      <c r="TWC22" s="130"/>
      <c r="TWM22" s="130"/>
      <c r="TWW22" s="130"/>
      <c r="TXG22" s="130"/>
      <c r="TXQ22" s="130"/>
      <c r="TYA22" s="130"/>
      <c r="TYK22" s="130"/>
      <c r="TYU22" s="130"/>
      <c r="TZE22" s="130"/>
      <c r="TZO22" s="130"/>
      <c r="TZY22" s="130"/>
      <c r="UAI22" s="130"/>
      <c r="UAS22" s="130"/>
      <c r="UBC22" s="130"/>
      <c r="UBM22" s="130"/>
      <c r="UBW22" s="130"/>
      <c r="UCG22" s="130"/>
      <c r="UCQ22" s="130"/>
      <c r="UDA22" s="130"/>
      <c r="UDK22" s="130"/>
      <c r="UDU22" s="130"/>
      <c r="UEE22" s="130"/>
      <c r="UEO22" s="130"/>
      <c r="UEY22" s="130"/>
      <c r="UFI22" s="130"/>
      <c r="UFS22" s="130"/>
      <c r="UGC22" s="130"/>
      <c r="UGM22" s="130"/>
      <c r="UGW22" s="130"/>
      <c r="UHG22" s="130"/>
      <c r="UHQ22" s="130"/>
      <c r="UIA22" s="130"/>
      <c r="UIK22" s="130"/>
      <c r="UIU22" s="130"/>
      <c r="UJE22" s="130"/>
      <c r="UJO22" s="130"/>
      <c r="UJY22" s="130"/>
      <c r="UKI22" s="130"/>
      <c r="UKS22" s="130"/>
      <c r="ULC22" s="130"/>
      <c r="ULM22" s="130"/>
      <c r="ULW22" s="130"/>
      <c r="UMG22" s="130"/>
      <c r="UMQ22" s="130"/>
      <c r="UNA22" s="130"/>
      <c r="UNK22" s="130"/>
      <c r="UNU22" s="130"/>
      <c r="UOE22" s="130"/>
      <c r="UOO22" s="130"/>
      <c r="UOY22" s="130"/>
      <c r="UPI22" s="130"/>
      <c r="UPS22" s="130"/>
      <c r="UQC22" s="130"/>
      <c r="UQM22" s="130"/>
      <c r="UQW22" s="130"/>
      <c r="URG22" s="130"/>
      <c r="URQ22" s="130"/>
      <c r="USA22" s="130"/>
      <c r="USK22" s="130"/>
      <c r="USU22" s="130"/>
      <c r="UTE22" s="130"/>
      <c r="UTO22" s="130"/>
      <c r="UTY22" s="130"/>
      <c r="UUI22" s="130"/>
      <c r="UUS22" s="130"/>
      <c r="UVC22" s="130"/>
      <c r="UVM22" s="130"/>
      <c r="UVW22" s="130"/>
      <c r="UWG22" s="130"/>
      <c r="UWQ22" s="130"/>
      <c r="UXA22" s="130"/>
      <c r="UXK22" s="130"/>
      <c r="UXU22" s="130"/>
      <c r="UYE22" s="130"/>
      <c r="UYO22" s="130"/>
      <c r="UYY22" s="130"/>
      <c r="UZI22" s="130"/>
      <c r="UZS22" s="130"/>
      <c r="VAC22" s="130"/>
      <c r="VAM22" s="130"/>
      <c r="VAW22" s="130"/>
      <c r="VBG22" s="130"/>
      <c r="VBQ22" s="130"/>
      <c r="VCA22" s="130"/>
      <c r="VCK22" s="130"/>
      <c r="VCU22" s="130"/>
      <c r="VDE22" s="130"/>
      <c r="VDO22" s="130"/>
      <c r="VDY22" s="130"/>
      <c r="VEI22" s="130"/>
      <c r="VES22" s="130"/>
      <c r="VFC22" s="130"/>
      <c r="VFM22" s="130"/>
      <c r="VFW22" s="130"/>
      <c r="VGG22" s="130"/>
      <c r="VGQ22" s="130"/>
      <c r="VHA22" s="130"/>
      <c r="VHK22" s="130"/>
      <c r="VHU22" s="130"/>
      <c r="VIE22" s="130"/>
      <c r="VIO22" s="130"/>
      <c r="VIY22" s="130"/>
      <c r="VJI22" s="130"/>
      <c r="VJS22" s="130"/>
      <c r="VKC22" s="130"/>
      <c r="VKM22" s="130"/>
      <c r="VKW22" s="130"/>
      <c r="VLG22" s="130"/>
      <c r="VLQ22" s="130"/>
      <c r="VMA22" s="130"/>
      <c r="VMK22" s="130"/>
      <c r="VMU22" s="130"/>
      <c r="VNE22" s="130"/>
      <c r="VNO22" s="130"/>
      <c r="VNY22" s="130"/>
      <c r="VOI22" s="130"/>
      <c r="VOS22" s="130"/>
      <c r="VPC22" s="130"/>
      <c r="VPM22" s="130"/>
      <c r="VPW22" s="130"/>
      <c r="VQG22" s="130"/>
      <c r="VQQ22" s="130"/>
      <c r="VRA22" s="130"/>
      <c r="VRK22" s="130"/>
      <c r="VRU22" s="130"/>
      <c r="VSE22" s="130"/>
      <c r="VSO22" s="130"/>
      <c r="VSY22" s="130"/>
      <c r="VTI22" s="130"/>
      <c r="VTS22" s="130"/>
      <c r="VUC22" s="130"/>
      <c r="VUM22" s="130"/>
      <c r="VUW22" s="130"/>
      <c r="VVG22" s="130"/>
      <c r="VVQ22" s="130"/>
      <c r="VWA22" s="130"/>
      <c r="VWK22" s="130"/>
      <c r="VWU22" s="130"/>
      <c r="VXE22" s="130"/>
      <c r="VXO22" s="130"/>
      <c r="VXY22" s="130"/>
      <c r="VYI22" s="130"/>
      <c r="VYS22" s="130"/>
      <c r="VZC22" s="130"/>
      <c r="VZM22" s="130"/>
      <c r="VZW22" s="130"/>
      <c r="WAG22" s="130"/>
      <c r="WAQ22" s="130"/>
      <c r="WBA22" s="130"/>
      <c r="WBK22" s="130"/>
      <c r="WBU22" s="130"/>
      <c r="WCE22" s="130"/>
      <c r="WCO22" s="130"/>
      <c r="WCY22" s="130"/>
      <c r="WDI22" s="130"/>
      <c r="WDS22" s="130"/>
      <c r="WEC22" s="130"/>
      <c r="WEM22" s="130"/>
      <c r="WEW22" s="130"/>
      <c r="WFG22" s="130"/>
      <c r="WFQ22" s="130"/>
      <c r="WGA22" s="130"/>
      <c r="WGK22" s="130"/>
      <c r="WGU22" s="130"/>
      <c r="WHE22" s="130"/>
      <c r="WHO22" s="130"/>
      <c r="WHY22" s="130"/>
      <c r="WII22" s="130"/>
      <c r="WIS22" s="130"/>
      <c r="WJC22" s="130"/>
      <c r="WJM22" s="130"/>
      <c r="WJW22" s="130"/>
      <c r="WKG22" s="130"/>
      <c r="WKQ22" s="130"/>
      <c r="WLA22" s="130"/>
      <c r="WLK22" s="130"/>
      <c r="WLU22" s="130"/>
      <c r="WME22" s="130"/>
      <c r="WMO22" s="130"/>
      <c r="WMY22" s="130"/>
      <c r="WNI22" s="130"/>
      <c r="WNS22" s="130"/>
      <c r="WOC22" s="130"/>
      <c r="WOM22" s="130"/>
      <c r="WOW22" s="130"/>
      <c r="WPG22" s="130"/>
      <c r="WPQ22" s="130"/>
      <c r="WQA22" s="130"/>
      <c r="WQK22" s="130"/>
      <c r="WQU22" s="130"/>
      <c r="WRE22" s="130"/>
      <c r="WRO22" s="130"/>
      <c r="WRY22" s="130"/>
      <c r="WSI22" s="130"/>
      <c r="WSS22" s="130"/>
      <c r="WTC22" s="130"/>
      <c r="WTM22" s="130"/>
      <c r="WTW22" s="130"/>
      <c r="WUG22" s="130"/>
      <c r="WUQ22" s="130"/>
      <c r="WVA22" s="130"/>
      <c r="WVK22" s="130"/>
      <c r="WVU22" s="130"/>
      <c r="WWE22" s="130"/>
      <c r="WWO22" s="130"/>
      <c r="WWY22" s="130"/>
      <c r="WXI22" s="130"/>
      <c r="WXS22" s="130"/>
      <c r="WYC22" s="130"/>
      <c r="WYM22" s="130"/>
      <c r="WYW22" s="130"/>
      <c r="WZG22" s="130"/>
      <c r="WZQ22" s="130"/>
      <c r="XAA22" s="130"/>
      <c r="XAK22" s="130"/>
      <c r="XAU22" s="130"/>
      <c r="XBE22" s="130"/>
      <c r="XBO22" s="130"/>
      <c r="XBY22" s="130"/>
      <c r="XCI22" s="130"/>
      <c r="XCS22" s="130"/>
      <c r="XDC22" s="130"/>
      <c r="XDM22" s="130"/>
      <c r="XDW22" s="130"/>
      <c r="XEG22" s="130"/>
      <c r="XEQ22" s="130"/>
      <c r="XFA22" s="130"/>
    </row>
    <row r="23" s="383" customFormat="1" ht="13.2" spans="1:16381">
      <c r="A23" s="130" t="s">
        <v>834</v>
      </c>
      <c r="B23" s="383">
        <v>2025</v>
      </c>
      <c r="C23" s="607" t="s">
        <v>832</v>
      </c>
      <c r="D23" s="383">
        <v>235.52</v>
      </c>
      <c r="E23" s="383">
        <v>4016</v>
      </c>
      <c r="F23" s="383">
        <v>73.95</v>
      </c>
      <c r="G23" s="383">
        <v>-154.62</v>
      </c>
      <c r="H23" s="383">
        <v>161.48</v>
      </c>
      <c r="I23" s="383">
        <v>0</v>
      </c>
      <c r="J23" s="383">
        <v>80.82</v>
      </c>
      <c r="K23" s="130"/>
      <c r="U23" s="130"/>
      <c r="AE23" s="130"/>
      <c r="AO23" s="130"/>
      <c r="AY23" s="130"/>
      <c r="BI23" s="130"/>
      <c r="BS23" s="130"/>
      <c r="CC23" s="130"/>
      <c r="CM23" s="130"/>
      <c r="CW23" s="130"/>
      <c r="DG23" s="130"/>
      <c r="DQ23" s="130"/>
      <c r="EA23" s="130"/>
      <c r="EK23" s="130"/>
      <c r="EU23" s="130"/>
      <c r="FE23" s="130"/>
      <c r="FO23" s="130"/>
      <c r="FY23" s="130"/>
      <c r="GI23" s="130"/>
      <c r="GS23" s="130"/>
      <c r="HC23" s="130"/>
      <c r="HM23" s="130"/>
      <c r="HW23" s="130"/>
      <c r="IG23" s="130"/>
      <c r="IQ23" s="130"/>
      <c r="JA23" s="130"/>
      <c r="JK23" s="130"/>
      <c r="JU23" s="130"/>
      <c r="KE23" s="130"/>
      <c r="KO23" s="130"/>
      <c r="KY23" s="130"/>
      <c r="LI23" s="130"/>
      <c r="LS23" s="130"/>
      <c r="MC23" s="130"/>
      <c r="MM23" s="130"/>
      <c r="MW23" s="130"/>
      <c r="NG23" s="130"/>
      <c r="NQ23" s="130"/>
      <c r="OA23" s="130"/>
      <c r="OK23" s="130"/>
      <c r="OU23" s="130"/>
      <c r="PE23" s="130"/>
      <c r="PO23" s="130"/>
      <c r="PY23" s="130"/>
      <c r="QI23" s="130"/>
      <c r="QS23" s="130"/>
      <c r="RC23" s="130"/>
      <c r="RM23" s="130"/>
      <c r="RW23" s="130"/>
      <c r="SG23" s="130"/>
      <c r="SQ23" s="130"/>
      <c r="TA23" s="130"/>
      <c r="TK23" s="130"/>
      <c r="TU23" s="130"/>
      <c r="UE23" s="130"/>
      <c r="UO23" s="130"/>
      <c r="UY23" s="130"/>
      <c r="VI23" s="130"/>
      <c r="VS23" s="130"/>
      <c r="WC23" s="130"/>
      <c r="WM23" s="130"/>
      <c r="WW23" s="130"/>
      <c r="XG23" s="130"/>
      <c r="XQ23" s="130"/>
      <c r="YA23" s="130"/>
      <c r="YK23" s="130"/>
      <c r="YU23" s="130"/>
      <c r="ZE23" s="130"/>
      <c r="ZO23" s="130"/>
      <c r="ZY23" s="130"/>
      <c r="AAI23" s="130"/>
      <c r="AAS23" s="130"/>
      <c r="ABC23" s="130"/>
      <c r="ABM23" s="130"/>
      <c r="ABW23" s="130"/>
      <c r="ACG23" s="130"/>
      <c r="ACQ23" s="130"/>
      <c r="ADA23" s="130"/>
      <c r="ADK23" s="130"/>
      <c r="ADU23" s="130"/>
      <c r="AEE23" s="130"/>
      <c r="AEO23" s="130"/>
      <c r="AEY23" s="130"/>
      <c r="AFI23" s="130"/>
      <c r="AFS23" s="130"/>
      <c r="AGC23" s="130"/>
      <c r="AGM23" s="130"/>
      <c r="AGW23" s="130"/>
      <c r="AHG23" s="130"/>
      <c r="AHQ23" s="130"/>
      <c r="AIA23" s="130"/>
      <c r="AIK23" s="130"/>
      <c r="AIU23" s="130"/>
      <c r="AJE23" s="130"/>
      <c r="AJO23" s="130"/>
      <c r="AJY23" s="130"/>
      <c r="AKI23" s="130"/>
      <c r="AKS23" s="130"/>
      <c r="ALC23" s="130"/>
      <c r="ALM23" s="130"/>
      <c r="ALW23" s="130"/>
      <c r="AMG23" s="130"/>
      <c r="AMQ23" s="130"/>
      <c r="ANA23" s="130"/>
      <c r="ANK23" s="130"/>
      <c r="ANU23" s="130"/>
      <c r="AOE23" s="130"/>
      <c r="AOO23" s="130"/>
      <c r="AOY23" s="130"/>
      <c r="API23" s="130"/>
      <c r="APS23" s="130"/>
      <c r="AQC23" s="130"/>
      <c r="AQM23" s="130"/>
      <c r="AQW23" s="130"/>
      <c r="ARG23" s="130"/>
      <c r="ARQ23" s="130"/>
      <c r="ASA23" s="130"/>
      <c r="ASK23" s="130"/>
      <c r="ASU23" s="130"/>
      <c r="ATE23" s="130"/>
      <c r="ATO23" s="130"/>
      <c r="ATY23" s="130"/>
      <c r="AUI23" s="130"/>
      <c r="AUS23" s="130"/>
      <c r="AVC23" s="130"/>
      <c r="AVM23" s="130"/>
      <c r="AVW23" s="130"/>
      <c r="AWG23" s="130"/>
      <c r="AWQ23" s="130"/>
      <c r="AXA23" s="130"/>
      <c r="AXK23" s="130"/>
      <c r="AXU23" s="130"/>
      <c r="AYE23" s="130"/>
      <c r="AYO23" s="130"/>
      <c r="AYY23" s="130"/>
      <c r="AZI23" s="130"/>
      <c r="AZS23" s="130"/>
      <c r="BAC23" s="130"/>
      <c r="BAM23" s="130"/>
      <c r="BAW23" s="130"/>
      <c r="BBG23" s="130"/>
      <c r="BBQ23" s="130"/>
      <c r="BCA23" s="130"/>
      <c r="BCK23" s="130"/>
      <c r="BCU23" s="130"/>
      <c r="BDE23" s="130"/>
      <c r="BDO23" s="130"/>
      <c r="BDY23" s="130"/>
      <c r="BEI23" s="130"/>
      <c r="BES23" s="130"/>
      <c r="BFC23" s="130"/>
      <c r="BFM23" s="130"/>
      <c r="BFW23" s="130"/>
      <c r="BGG23" s="130"/>
      <c r="BGQ23" s="130"/>
      <c r="BHA23" s="130"/>
      <c r="BHK23" s="130"/>
      <c r="BHU23" s="130"/>
      <c r="BIE23" s="130"/>
      <c r="BIO23" s="130"/>
      <c r="BIY23" s="130"/>
      <c r="BJI23" s="130"/>
      <c r="BJS23" s="130"/>
      <c r="BKC23" s="130"/>
      <c r="BKM23" s="130"/>
      <c r="BKW23" s="130"/>
      <c r="BLG23" s="130"/>
      <c r="BLQ23" s="130"/>
      <c r="BMA23" s="130"/>
      <c r="BMK23" s="130"/>
      <c r="BMU23" s="130"/>
      <c r="BNE23" s="130"/>
      <c r="BNO23" s="130"/>
      <c r="BNY23" s="130"/>
      <c r="BOI23" s="130"/>
      <c r="BOS23" s="130"/>
      <c r="BPC23" s="130"/>
      <c r="BPM23" s="130"/>
      <c r="BPW23" s="130"/>
      <c r="BQG23" s="130"/>
      <c r="BQQ23" s="130"/>
      <c r="BRA23" s="130"/>
      <c r="BRK23" s="130"/>
      <c r="BRU23" s="130"/>
      <c r="BSE23" s="130"/>
      <c r="BSO23" s="130"/>
      <c r="BSY23" s="130"/>
      <c r="BTI23" s="130"/>
      <c r="BTS23" s="130"/>
      <c r="BUC23" s="130"/>
      <c r="BUM23" s="130"/>
      <c r="BUW23" s="130"/>
      <c r="BVG23" s="130"/>
      <c r="BVQ23" s="130"/>
      <c r="BWA23" s="130"/>
      <c r="BWK23" s="130"/>
      <c r="BWU23" s="130"/>
      <c r="BXE23" s="130"/>
      <c r="BXO23" s="130"/>
      <c r="BXY23" s="130"/>
      <c r="BYI23" s="130"/>
      <c r="BYS23" s="130"/>
      <c r="BZC23" s="130"/>
      <c r="BZM23" s="130"/>
      <c r="BZW23" s="130"/>
      <c r="CAG23" s="130"/>
      <c r="CAQ23" s="130"/>
      <c r="CBA23" s="130"/>
      <c r="CBK23" s="130"/>
      <c r="CBU23" s="130"/>
      <c r="CCE23" s="130"/>
      <c r="CCO23" s="130"/>
      <c r="CCY23" s="130"/>
      <c r="CDI23" s="130"/>
      <c r="CDS23" s="130"/>
      <c r="CEC23" s="130"/>
      <c r="CEM23" s="130"/>
      <c r="CEW23" s="130"/>
      <c r="CFG23" s="130"/>
      <c r="CFQ23" s="130"/>
      <c r="CGA23" s="130"/>
      <c r="CGK23" s="130"/>
      <c r="CGU23" s="130"/>
      <c r="CHE23" s="130"/>
      <c r="CHO23" s="130"/>
      <c r="CHY23" s="130"/>
      <c r="CII23" s="130"/>
      <c r="CIS23" s="130"/>
      <c r="CJC23" s="130"/>
      <c r="CJM23" s="130"/>
      <c r="CJW23" s="130"/>
      <c r="CKG23" s="130"/>
      <c r="CKQ23" s="130"/>
      <c r="CLA23" s="130"/>
      <c r="CLK23" s="130"/>
      <c r="CLU23" s="130"/>
      <c r="CME23" s="130"/>
      <c r="CMO23" s="130"/>
      <c r="CMY23" s="130"/>
      <c r="CNI23" s="130"/>
      <c r="CNS23" s="130"/>
      <c r="COC23" s="130"/>
      <c r="COM23" s="130"/>
      <c r="COW23" s="130"/>
      <c r="CPG23" s="130"/>
      <c r="CPQ23" s="130"/>
      <c r="CQA23" s="130"/>
      <c r="CQK23" s="130"/>
      <c r="CQU23" s="130"/>
      <c r="CRE23" s="130"/>
      <c r="CRO23" s="130"/>
      <c r="CRY23" s="130"/>
      <c r="CSI23" s="130"/>
      <c r="CSS23" s="130"/>
      <c r="CTC23" s="130"/>
      <c r="CTM23" s="130"/>
      <c r="CTW23" s="130"/>
      <c r="CUG23" s="130"/>
      <c r="CUQ23" s="130"/>
      <c r="CVA23" s="130"/>
      <c r="CVK23" s="130"/>
      <c r="CVU23" s="130"/>
      <c r="CWE23" s="130"/>
      <c r="CWO23" s="130"/>
      <c r="CWY23" s="130"/>
      <c r="CXI23" s="130"/>
      <c r="CXS23" s="130"/>
      <c r="CYC23" s="130"/>
      <c r="CYM23" s="130"/>
      <c r="CYW23" s="130"/>
      <c r="CZG23" s="130"/>
      <c r="CZQ23" s="130"/>
      <c r="DAA23" s="130"/>
      <c r="DAK23" s="130"/>
      <c r="DAU23" s="130"/>
      <c r="DBE23" s="130"/>
      <c r="DBO23" s="130"/>
      <c r="DBY23" s="130"/>
      <c r="DCI23" s="130"/>
      <c r="DCS23" s="130"/>
      <c r="DDC23" s="130"/>
      <c r="DDM23" s="130"/>
      <c r="DDW23" s="130"/>
      <c r="DEG23" s="130"/>
      <c r="DEQ23" s="130"/>
      <c r="DFA23" s="130"/>
      <c r="DFK23" s="130"/>
      <c r="DFU23" s="130"/>
      <c r="DGE23" s="130"/>
      <c r="DGO23" s="130"/>
      <c r="DGY23" s="130"/>
      <c r="DHI23" s="130"/>
      <c r="DHS23" s="130"/>
      <c r="DIC23" s="130"/>
      <c r="DIM23" s="130"/>
      <c r="DIW23" s="130"/>
      <c r="DJG23" s="130"/>
      <c r="DJQ23" s="130"/>
      <c r="DKA23" s="130"/>
      <c r="DKK23" s="130"/>
      <c r="DKU23" s="130"/>
      <c r="DLE23" s="130"/>
      <c r="DLO23" s="130"/>
      <c r="DLY23" s="130"/>
      <c r="DMI23" s="130"/>
      <c r="DMS23" s="130"/>
      <c r="DNC23" s="130"/>
      <c r="DNM23" s="130"/>
      <c r="DNW23" s="130"/>
      <c r="DOG23" s="130"/>
      <c r="DOQ23" s="130"/>
      <c r="DPA23" s="130"/>
      <c r="DPK23" s="130"/>
      <c r="DPU23" s="130"/>
      <c r="DQE23" s="130"/>
      <c r="DQO23" s="130"/>
      <c r="DQY23" s="130"/>
      <c r="DRI23" s="130"/>
      <c r="DRS23" s="130"/>
      <c r="DSC23" s="130"/>
      <c r="DSM23" s="130"/>
      <c r="DSW23" s="130"/>
      <c r="DTG23" s="130"/>
      <c r="DTQ23" s="130"/>
      <c r="DUA23" s="130"/>
      <c r="DUK23" s="130"/>
      <c r="DUU23" s="130"/>
      <c r="DVE23" s="130"/>
      <c r="DVO23" s="130"/>
      <c r="DVY23" s="130"/>
      <c r="DWI23" s="130"/>
      <c r="DWS23" s="130"/>
      <c r="DXC23" s="130"/>
      <c r="DXM23" s="130"/>
      <c r="DXW23" s="130"/>
      <c r="DYG23" s="130"/>
      <c r="DYQ23" s="130"/>
      <c r="DZA23" s="130"/>
      <c r="DZK23" s="130"/>
      <c r="DZU23" s="130"/>
      <c r="EAE23" s="130"/>
      <c r="EAO23" s="130"/>
      <c r="EAY23" s="130"/>
      <c r="EBI23" s="130"/>
      <c r="EBS23" s="130"/>
      <c r="ECC23" s="130"/>
      <c r="ECM23" s="130"/>
      <c r="ECW23" s="130"/>
      <c r="EDG23" s="130"/>
      <c r="EDQ23" s="130"/>
      <c r="EEA23" s="130"/>
      <c r="EEK23" s="130"/>
      <c r="EEU23" s="130"/>
      <c r="EFE23" s="130"/>
      <c r="EFO23" s="130"/>
      <c r="EFY23" s="130"/>
      <c r="EGI23" s="130"/>
      <c r="EGS23" s="130"/>
      <c r="EHC23" s="130"/>
      <c r="EHM23" s="130"/>
      <c r="EHW23" s="130"/>
      <c r="EIG23" s="130"/>
      <c r="EIQ23" s="130"/>
      <c r="EJA23" s="130"/>
      <c r="EJK23" s="130"/>
      <c r="EJU23" s="130"/>
      <c r="EKE23" s="130"/>
      <c r="EKO23" s="130"/>
      <c r="EKY23" s="130"/>
      <c r="ELI23" s="130"/>
      <c r="ELS23" s="130"/>
      <c r="EMC23" s="130"/>
      <c r="EMM23" s="130"/>
      <c r="EMW23" s="130"/>
      <c r="ENG23" s="130"/>
      <c r="ENQ23" s="130"/>
      <c r="EOA23" s="130"/>
      <c r="EOK23" s="130"/>
      <c r="EOU23" s="130"/>
      <c r="EPE23" s="130"/>
      <c r="EPO23" s="130"/>
      <c r="EPY23" s="130"/>
      <c r="EQI23" s="130"/>
      <c r="EQS23" s="130"/>
      <c r="ERC23" s="130"/>
      <c r="ERM23" s="130"/>
      <c r="ERW23" s="130"/>
      <c r="ESG23" s="130"/>
      <c r="ESQ23" s="130"/>
      <c r="ETA23" s="130"/>
      <c r="ETK23" s="130"/>
      <c r="ETU23" s="130"/>
      <c r="EUE23" s="130"/>
      <c r="EUO23" s="130"/>
      <c r="EUY23" s="130"/>
      <c r="EVI23" s="130"/>
      <c r="EVS23" s="130"/>
      <c r="EWC23" s="130"/>
      <c r="EWM23" s="130"/>
      <c r="EWW23" s="130"/>
      <c r="EXG23" s="130"/>
      <c r="EXQ23" s="130"/>
      <c r="EYA23" s="130"/>
      <c r="EYK23" s="130"/>
      <c r="EYU23" s="130"/>
      <c r="EZE23" s="130"/>
      <c r="EZO23" s="130"/>
      <c r="EZY23" s="130"/>
      <c r="FAI23" s="130"/>
      <c r="FAS23" s="130"/>
      <c r="FBC23" s="130"/>
      <c r="FBM23" s="130"/>
      <c r="FBW23" s="130"/>
      <c r="FCG23" s="130"/>
      <c r="FCQ23" s="130"/>
      <c r="FDA23" s="130"/>
      <c r="FDK23" s="130"/>
      <c r="FDU23" s="130"/>
      <c r="FEE23" s="130"/>
      <c r="FEO23" s="130"/>
      <c r="FEY23" s="130"/>
      <c r="FFI23" s="130"/>
      <c r="FFS23" s="130"/>
      <c r="FGC23" s="130"/>
      <c r="FGM23" s="130"/>
      <c r="FGW23" s="130"/>
      <c r="FHG23" s="130"/>
      <c r="FHQ23" s="130"/>
      <c r="FIA23" s="130"/>
      <c r="FIK23" s="130"/>
      <c r="FIU23" s="130"/>
      <c r="FJE23" s="130"/>
      <c r="FJO23" s="130"/>
      <c r="FJY23" s="130"/>
      <c r="FKI23" s="130"/>
      <c r="FKS23" s="130"/>
      <c r="FLC23" s="130"/>
      <c r="FLM23" s="130"/>
      <c r="FLW23" s="130"/>
      <c r="FMG23" s="130"/>
      <c r="FMQ23" s="130"/>
      <c r="FNA23" s="130"/>
      <c r="FNK23" s="130"/>
      <c r="FNU23" s="130"/>
      <c r="FOE23" s="130"/>
      <c r="FOO23" s="130"/>
      <c r="FOY23" s="130"/>
      <c r="FPI23" s="130"/>
      <c r="FPS23" s="130"/>
      <c r="FQC23" s="130"/>
      <c r="FQM23" s="130"/>
      <c r="FQW23" s="130"/>
      <c r="FRG23" s="130"/>
      <c r="FRQ23" s="130"/>
      <c r="FSA23" s="130"/>
      <c r="FSK23" s="130"/>
      <c r="FSU23" s="130"/>
      <c r="FTE23" s="130"/>
      <c r="FTO23" s="130"/>
      <c r="FTY23" s="130"/>
      <c r="FUI23" s="130"/>
      <c r="FUS23" s="130"/>
      <c r="FVC23" s="130"/>
      <c r="FVM23" s="130"/>
      <c r="FVW23" s="130"/>
      <c r="FWG23" s="130"/>
      <c r="FWQ23" s="130"/>
      <c r="FXA23" s="130"/>
      <c r="FXK23" s="130"/>
      <c r="FXU23" s="130"/>
      <c r="FYE23" s="130"/>
      <c r="FYO23" s="130"/>
      <c r="FYY23" s="130"/>
      <c r="FZI23" s="130"/>
      <c r="FZS23" s="130"/>
      <c r="GAC23" s="130"/>
      <c r="GAM23" s="130"/>
      <c r="GAW23" s="130"/>
      <c r="GBG23" s="130"/>
      <c r="GBQ23" s="130"/>
      <c r="GCA23" s="130"/>
      <c r="GCK23" s="130"/>
      <c r="GCU23" s="130"/>
      <c r="GDE23" s="130"/>
      <c r="GDO23" s="130"/>
      <c r="GDY23" s="130"/>
      <c r="GEI23" s="130"/>
      <c r="GES23" s="130"/>
      <c r="GFC23" s="130"/>
      <c r="GFM23" s="130"/>
      <c r="GFW23" s="130"/>
      <c r="GGG23" s="130"/>
      <c r="GGQ23" s="130"/>
      <c r="GHA23" s="130"/>
      <c r="GHK23" s="130"/>
      <c r="GHU23" s="130"/>
      <c r="GIE23" s="130"/>
      <c r="GIO23" s="130"/>
      <c r="GIY23" s="130"/>
      <c r="GJI23" s="130"/>
      <c r="GJS23" s="130"/>
      <c r="GKC23" s="130"/>
      <c r="GKM23" s="130"/>
      <c r="GKW23" s="130"/>
      <c r="GLG23" s="130"/>
      <c r="GLQ23" s="130"/>
      <c r="GMA23" s="130"/>
      <c r="GMK23" s="130"/>
      <c r="GMU23" s="130"/>
      <c r="GNE23" s="130"/>
      <c r="GNO23" s="130"/>
      <c r="GNY23" s="130"/>
      <c r="GOI23" s="130"/>
      <c r="GOS23" s="130"/>
      <c r="GPC23" s="130"/>
      <c r="GPM23" s="130"/>
      <c r="GPW23" s="130"/>
      <c r="GQG23" s="130"/>
      <c r="GQQ23" s="130"/>
      <c r="GRA23" s="130"/>
      <c r="GRK23" s="130"/>
      <c r="GRU23" s="130"/>
      <c r="GSE23" s="130"/>
      <c r="GSO23" s="130"/>
      <c r="GSY23" s="130"/>
      <c r="GTI23" s="130"/>
      <c r="GTS23" s="130"/>
      <c r="GUC23" s="130"/>
      <c r="GUM23" s="130"/>
      <c r="GUW23" s="130"/>
      <c r="GVG23" s="130"/>
      <c r="GVQ23" s="130"/>
      <c r="GWA23" s="130"/>
      <c r="GWK23" s="130"/>
      <c r="GWU23" s="130"/>
      <c r="GXE23" s="130"/>
      <c r="GXO23" s="130"/>
      <c r="GXY23" s="130"/>
      <c r="GYI23" s="130"/>
      <c r="GYS23" s="130"/>
      <c r="GZC23" s="130"/>
      <c r="GZM23" s="130"/>
      <c r="GZW23" s="130"/>
      <c r="HAG23" s="130"/>
      <c r="HAQ23" s="130"/>
      <c r="HBA23" s="130"/>
      <c r="HBK23" s="130"/>
      <c r="HBU23" s="130"/>
      <c r="HCE23" s="130"/>
      <c r="HCO23" s="130"/>
      <c r="HCY23" s="130"/>
      <c r="HDI23" s="130"/>
      <c r="HDS23" s="130"/>
      <c r="HEC23" s="130"/>
      <c r="HEM23" s="130"/>
      <c r="HEW23" s="130"/>
      <c r="HFG23" s="130"/>
      <c r="HFQ23" s="130"/>
      <c r="HGA23" s="130"/>
      <c r="HGK23" s="130"/>
      <c r="HGU23" s="130"/>
      <c r="HHE23" s="130"/>
      <c r="HHO23" s="130"/>
      <c r="HHY23" s="130"/>
      <c r="HII23" s="130"/>
      <c r="HIS23" s="130"/>
      <c r="HJC23" s="130"/>
      <c r="HJM23" s="130"/>
      <c r="HJW23" s="130"/>
      <c r="HKG23" s="130"/>
      <c r="HKQ23" s="130"/>
      <c r="HLA23" s="130"/>
      <c r="HLK23" s="130"/>
      <c r="HLU23" s="130"/>
      <c r="HME23" s="130"/>
      <c r="HMO23" s="130"/>
      <c r="HMY23" s="130"/>
      <c r="HNI23" s="130"/>
      <c r="HNS23" s="130"/>
      <c r="HOC23" s="130"/>
      <c r="HOM23" s="130"/>
      <c r="HOW23" s="130"/>
      <c r="HPG23" s="130"/>
      <c r="HPQ23" s="130"/>
      <c r="HQA23" s="130"/>
      <c r="HQK23" s="130"/>
      <c r="HQU23" s="130"/>
      <c r="HRE23" s="130"/>
      <c r="HRO23" s="130"/>
      <c r="HRY23" s="130"/>
      <c r="HSI23" s="130"/>
      <c r="HSS23" s="130"/>
      <c r="HTC23" s="130"/>
      <c r="HTM23" s="130"/>
      <c r="HTW23" s="130"/>
      <c r="HUG23" s="130"/>
      <c r="HUQ23" s="130"/>
      <c r="HVA23" s="130"/>
      <c r="HVK23" s="130"/>
      <c r="HVU23" s="130"/>
      <c r="HWE23" s="130"/>
      <c r="HWO23" s="130"/>
      <c r="HWY23" s="130"/>
      <c r="HXI23" s="130"/>
      <c r="HXS23" s="130"/>
      <c r="HYC23" s="130"/>
      <c r="HYM23" s="130"/>
      <c r="HYW23" s="130"/>
      <c r="HZG23" s="130"/>
      <c r="HZQ23" s="130"/>
      <c r="IAA23" s="130"/>
      <c r="IAK23" s="130"/>
      <c r="IAU23" s="130"/>
      <c r="IBE23" s="130"/>
      <c r="IBO23" s="130"/>
      <c r="IBY23" s="130"/>
      <c r="ICI23" s="130"/>
      <c r="ICS23" s="130"/>
      <c r="IDC23" s="130"/>
      <c r="IDM23" s="130"/>
      <c r="IDW23" s="130"/>
      <c r="IEG23" s="130"/>
      <c r="IEQ23" s="130"/>
      <c r="IFA23" s="130"/>
      <c r="IFK23" s="130"/>
      <c r="IFU23" s="130"/>
      <c r="IGE23" s="130"/>
      <c r="IGO23" s="130"/>
      <c r="IGY23" s="130"/>
      <c r="IHI23" s="130"/>
      <c r="IHS23" s="130"/>
      <c r="IIC23" s="130"/>
      <c r="IIM23" s="130"/>
      <c r="IIW23" s="130"/>
      <c r="IJG23" s="130"/>
      <c r="IJQ23" s="130"/>
      <c r="IKA23" s="130"/>
      <c r="IKK23" s="130"/>
      <c r="IKU23" s="130"/>
      <c r="ILE23" s="130"/>
      <c r="ILO23" s="130"/>
      <c r="ILY23" s="130"/>
      <c r="IMI23" s="130"/>
      <c r="IMS23" s="130"/>
      <c r="INC23" s="130"/>
      <c r="INM23" s="130"/>
      <c r="INW23" s="130"/>
      <c r="IOG23" s="130"/>
      <c r="IOQ23" s="130"/>
      <c r="IPA23" s="130"/>
      <c r="IPK23" s="130"/>
      <c r="IPU23" s="130"/>
      <c r="IQE23" s="130"/>
      <c r="IQO23" s="130"/>
      <c r="IQY23" s="130"/>
      <c r="IRI23" s="130"/>
      <c r="IRS23" s="130"/>
      <c r="ISC23" s="130"/>
      <c r="ISM23" s="130"/>
      <c r="ISW23" s="130"/>
      <c r="ITG23" s="130"/>
      <c r="ITQ23" s="130"/>
      <c r="IUA23" s="130"/>
      <c r="IUK23" s="130"/>
      <c r="IUU23" s="130"/>
      <c r="IVE23" s="130"/>
      <c r="IVO23" s="130"/>
      <c r="IVY23" s="130"/>
      <c r="IWI23" s="130"/>
      <c r="IWS23" s="130"/>
      <c r="IXC23" s="130"/>
      <c r="IXM23" s="130"/>
      <c r="IXW23" s="130"/>
      <c r="IYG23" s="130"/>
      <c r="IYQ23" s="130"/>
      <c r="IZA23" s="130"/>
      <c r="IZK23" s="130"/>
      <c r="IZU23" s="130"/>
      <c r="JAE23" s="130"/>
      <c r="JAO23" s="130"/>
      <c r="JAY23" s="130"/>
      <c r="JBI23" s="130"/>
      <c r="JBS23" s="130"/>
      <c r="JCC23" s="130"/>
      <c r="JCM23" s="130"/>
      <c r="JCW23" s="130"/>
      <c r="JDG23" s="130"/>
      <c r="JDQ23" s="130"/>
      <c r="JEA23" s="130"/>
      <c r="JEK23" s="130"/>
      <c r="JEU23" s="130"/>
      <c r="JFE23" s="130"/>
      <c r="JFO23" s="130"/>
      <c r="JFY23" s="130"/>
      <c r="JGI23" s="130"/>
      <c r="JGS23" s="130"/>
      <c r="JHC23" s="130"/>
      <c r="JHM23" s="130"/>
      <c r="JHW23" s="130"/>
      <c r="JIG23" s="130"/>
      <c r="JIQ23" s="130"/>
      <c r="JJA23" s="130"/>
      <c r="JJK23" s="130"/>
      <c r="JJU23" s="130"/>
      <c r="JKE23" s="130"/>
      <c r="JKO23" s="130"/>
      <c r="JKY23" s="130"/>
      <c r="JLI23" s="130"/>
      <c r="JLS23" s="130"/>
      <c r="JMC23" s="130"/>
      <c r="JMM23" s="130"/>
      <c r="JMW23" s="130"/>
      <c r="JNG23" s="130"/>
      <c r="JNQ23" s="130"/>
      <c r="JOA23" s="130"/>
      <c r="JOK23" s="130"/>
      <c r="JOU23" s="130"/>
      <c r="JPE23" s="130"/>
      <c r="JPO23" s="130"/>
      <c r="JPY23" s="130"/>
      <c r="JQI23" s="130"/>
      <c r="JQS23" s="130"/>
      <c r="JRC23" s="130"/>
      <c r="JRM23" s="130"/>
      <c r="JRW23" s="130"/>
      <c r="JSG23" s="130"/>
      <c r="JSQ23" s="130"/>
      <c r="JTA23" s="130"/>
      <c r="JTK23" s="130"/>
      <c r="JTU23" s="130"/>
      <c r="JUE23" s="130"/>
      <c r="JUO23" s="130"/>
      <c r="JUY23" s="130"/>
      <c r="JVI23" s="130"/>
      <c r="JVS23" s="130"/>
      <c r="JWC23" s="130"/>
      <c r="JWM23" s="130"/>
      <c r="JWW23" s="130"/>
      <c r="JXG23" s="130"/>
      <c r="JXQ23" s="130"/>
      <c r="JYA23" s="130"/>
      <c r="JYK23" s="130"/>
      <c r="JYU23" s="130"/>
      <c r="JZE23" s="130"/>
      <c r="JZO23" s="130"/>
      <c r="JZY23" s="130"/>
      <c r="KAI23" s="130"/>
      <c r="KAS23" s="130"/>
      <c r="KBC23" s="130"/>
      <c r="KBM23" s="130"/>
      <c r="KBW23" s="130"/>
      <c r="KCG23" s="130"/>
      <c r="KCQ23" s="130"/>
      <c r="KDA23" s="130"/>
      <c r="KDK23" s="130"/>
      <c r="KDU23" s="130"/>
      <c r="KEE23" s="130"/>
      <c r="KEO23" s="130"/>
      <c r="KEY23" s="130"/>
      <c r="KFI23" s="130"/>
      <c r="KFS23" s="130"/>
      <c r="KGC23" s="130"/>
      <c r="KGM23" s="130"/>
      <c r="KGW23" s="130"/>
      <c r="KHG23" s="130"/>
      <c r="KHQ23" s="130"/>
      <c r="KIA23" s="130"/>
      <c r="KIK23" s="130"/>
      <c r="KIU23" s="130"/>
      <c r="KJE23" s="130"/>
      <c r="KJO23" s="130"/>
      <c r="KJY23" s="130"/>
      <c r="KKI23" s="130"/>
      <c r="KKS23" s="130"/>
      <c r="KLC23" s="130"/>
      <c r="KLM23" s="130"/>
      <c r="KLW23" s="130"/>
      <c r="KMG23" s="130"/>
      <c r="KMQ23" s="130"/>
      <c r="KNA23" s="130"/>
      <c r="KNK23" s="130"/>
      <c r="KNU23" s="130"/>
      <c r="KOE23" s="130"/>
      <c r="KOO23" s="130"/>
      <c r="KOY23" s="130"/>
      <c r="KPI23" s="130"/>
      <c r="KPS23" s="130"/>
      <c r="KQC23" s="130"/>
      <c r="KQM23" s="130"/>
      <c r="KQW23" s="130"/>
      <c r="KRG23" s="130"/>
      <c r="KRQ23" s="130"/>
      <c r="KSA23" s="130"/>
      <c r="KSK23" s="130"/>
      <c r="KSU23" s="130"/>
      <c r="KTE23" s="130"/>
      <c r="KTO23" s="130"/>
      <c r="KTY23" s="130"/>
      <c r="KUI23" s="130"/>
      <c r="KUS23" s="130"/>
      <c r="KVC23" s="130"/>
      <c r="KVM23" s="130"/>
      <c r="KVW23" s="130"/>
      <c r="KWG23" s="130"/>
      <c r="KWQ23" s="130"/>
      <c r="KXA23" s="130"/>
      <c r="KXK23" s="130"/>
      <c r="KXU23" s="130"/>
      <c r="KYE23" s="130"/>
      <c r="KYO23" s="130"/>
      <c r="KYY23" s="130"/>
      <c r="KZI23" s="130"/>
      <c r="KZS23" s="130"/>
      <c r="LAC23" s="130"/>
      <c r="LAM23" s="130"/>
      <c r="LAW23" s="130"/>
      <c r="LBG23" s="130"/>
      <c r="LBQ23" s="130"/>
      <c r="LCA23" s="130"/>
      <c r="LCK23" s="130"/>
      <c r="LCU23" s="130"/>
      <c r="LDE23" s="130"/>
      <c r="LDO23" s="130"/>
      <c r="LDY23" s="130"/>
      <c r="LEI23" s="130"/>
      <c r="LES23" s="130"/>
      <c r="LFC23" s="130"/>
      <c r="LFM23" s="130"/>
      <c r="LFW23" s="130"/>
      <c r="LGG23" s="130"/>
      <c r="LGQ23" s="130"/>
      <c r="LHA23" s="130"/>
      <c r="LHK23" s="130"/>
      <c r="LHU23" s="130"/>
      <c r="LIE23" s="130"/>
      <c r="LIO23" s="130"/>
      <c r="LIY23" s="130"/>
      <c r="LJI23" s="130"/>
      <c r="LJS23" s="130"/>
      <c r="LKC23" s="130"/>
      <c r="LKM23" s="130"/>
      <c r="LKW23" s="130"/>
      <c r="LLG23" s="130"/>
      <c r="LLQ23" s="130"/>
      <c r="LMA23" s="130"/>
      <c r="LMK23" s="130"/>
      <c r="LMU23" s="130"/>
      <c r="LNE23" s="130"/>
      <c r="LNO23" s="130"/>
      <c r="LNY23" s="130"/>
      <c r="LOI23" s="130"/>
      <c r="LOS23" s="130"/>
      <c r="LPC23" s="130"/>
      <c r="LPM23" s="130"/>
      <c r="LPW23" s="130"/>
      <c r="LQG23" s="130"/>
      <c r="LQQ23" s="130"/>
      <c r="LRA23" s="130"/>
      <c r="LRK23" s="130"/>
      <c r="LRU23" s="130"/>
      <c r="LSE23" s="130"/>
      <c r="LSO23" s="130"/>
      <c r="LSY23" s="130"/>
      <c r="LTI23" s="130"/>
      <c r="LTS23" s="130"/>
      <c r="LUC23" s="130"/>
      <c r="LUM23" s="130"/>
      <c r="LUW23" s="130"/>
      <c r="LVG23" s="130"/>
      <c r="LVQ23" s="130"/>
      <c r="LWA23" s="130"/>
      <c r="LWK23" s="130"/>
      <c r="LWU23" s="130"/>
      <c r="LXE23" s="130"/>
      <c r="LXO23" s="130"/>
      <c r="LXY23" s="130"/>
      <c r="LYI23" s="130"/>
      <c r="LYS23" s="130"/>
      <c r="LZC23" s="130"/>
      <c r="LZM23" s="130"/>
      <c r="LZW23" s="130"/>
      <c r="MAG23" s="130"/>
      <c r="MAQ23" s="130"/>
      <c r="MBA23" s="130"/>
      <c r="MBK23" s="130"/>
      <c r="MBU23" s="130"/>
      <c r="MCE23" s="130"/>
      <c r="MCO23" s="130"/>
      <c r="MCY23" s="130"/>
      <c r="MDI23" s="130"/>
      <c r="MDS23" s="130"/>
      <c r="MEC23" s="130"/>
      <c r="MEM23" s="130"/>
      <c r="MEW23" s="130"/>
      <c r="MFG23" s="130"/>
      <c r="MFQ23" s="130"/>
      <c r="MGA23" s="130"/>
      <c r="MGK23" s="130"/>
      <c r="MGU23" s="130"/>
      <c r="MHE23" s="130"/>
      <c r="MHO23" s="130"/>
      <c r="MHY23" s="130"/>
      <c r="MII23" s="130"/>
      <c r="MIS23" s="130"/>
      <c r="MJC23" s="130"/>
      <c r="MJM23" s="130"/>
      <c r="MJW23" s="130"/>
      <c r="MKG23" s="130"/>
      <c r="MKQ23" s="130"/>
      <c r="MLA23" s="130"/>
      <c r="MLK23" s="130"/>
      <c r="MLU23" s="130"/>
      <c r="MME23" s="130"/>
      <c r="MMO23" s="130"/>
      <c r="MMY23" s="130"/>
      <c r="MNI23" s="130"/>
      <c r="MNS23" s="130"/>
      <c r="MOC23" s="130"/>
      <c r="MOM23" s="130"/>
      <c r="MOW23" s="130"/>
      <c r="MPG23" s="130"/>
      <c r="MPQ23" s="130"/>
      <c r="MQA23" s="130"/>
      <c r="MQK23" s="130"/>
      <c r="MQU23" s="130"/>
      <c r="MRE23" s="130"/>
      <c r="MRO23" s="130"/>
      <c r="MRY23" s="130"/>
      <c r="MSI23" s="130"/>
      <c r="MSS23" s="130"/>
      <c r="MTC23" s="130"/>
      <c r="MTM23" s="130"/>
      <c r="MTW23" s="130"/>
      <c r="MUG23" s="130"/>
      <c r="MUQ23" s="130"/>
      <c r="MVA23" s="130"/>
      <c r="MVK23" s="130"/>
      <c r="MVU23" s="130"/>
      <c r="MWE23" s="130"/>
      <c r="MWO23" s="130"/>
      <c r="MWY23" s="130"/>
      <c r="MXI23" s="130"/>
      <c r="MXS23" s="130"/>
      <c r="MYC23" s="130"/>
      <c r="MYM23" s="130"/>
      <c r="MYW23" s="130"/>
      <c r="MZG23" s="130"/>
      <c r="MZQ23" s="130"/>
      <c r="NAA23" s="130"/>
      <c r="NAK23" s="130"/>
      <c r="NAU23" s="130"/>
      <c r="NBE23" s="130"/>
      <c r="NBO23" s="130"/>
      <c r="NBY23" s="130"/>
      <c r="NCI23" s="130"/>
      <c r="NCS23" s="130"/>
      <c r="NDC23" s="130"/>
      <c r="NDM23" s="130"/>
      <c r="NDW23" s="130"/>
      <c r="NEG23" s="130"/>
      <c r="NEQ23" s="130"/>
      <c r="NFA23" s="130"/>
      <c r="NFK23" s="130"/>
      <c r="NFU23" s="130"/>
      <c r="NGE23" s="130"/>
      <c r="NGO23" s="130"/>
      <c r="NGY23" s="130"/>
      <c r="NHI23" s="130"/>
      <c r="NHS23" s="130"/>
      <c r="NIC23" s="130"/>
      <c r="NIM23" s="130"/>
      <c r="NIW23" s="130"/>
      <c r="NJG23" s="130"/>
      <c r="NJQ23" s="130"/>
      <c r="NKA23" s="130"/>
      <c r="NKK23" s="130"/>
      <c r="NKU23" s="130"/>
      <c r="NLE23" s="130"/>
      <c r="NLO23" s="130"/>
      <c r="NLY23" s="130"/>
      <c r="NMI23" s="130"/>
      <c r="NMS23" s="130"/>
      <c r="NNC23" s="130"/>
      <c r="NNM23" s="130"/>
      <c r="NNW23" s="130"/>
      <c r="NOG23" s="130"/>
      <c r="NOQ23" s="130"/>
      <c r="NPA23" s="130"/>
      <c r="NPK23" s="130"/>
      <c r="NPU23" s="130"/>
      <c r="NQE23" s="130"/>
      <c r="NQO23" s="130"/>
      <c r="NQY23" s="130"/>
      <c r="NRI23" s="130"/>
      <c r="NRS23" s="130"/>
      <c r="NSC23" s="130"/>
      <c r="NSM23" s="130"/>
      <c r="NSW23" s="130"/>
      <c r="NTG23" s="130"/>
      <c r="NTQ23" s="130"/>
      <c r="NUA23" s="130"/>
      <c r="NUK23" s="130"/>
      <c r="NUU23" s="130"/>
      <c r="NVE23" s="130"/>
      <c r="NVO23" s="130"/>
      <c r="NVY23" s="130"/>
      <c r="NWI23" s="130"/>
      <c r="NWS23" s="130"/>
      <c r="NXC23" s="130"/>
      <c r="NXM23" s="130"/>
      <c r="NXW23" s="130"/>
      <c r="NYG23" s="130"/>
      <c r="NYQ23" s="130"/>
      <c r="NZA23" s="130"/>
      <c r="NZK23" s="130"/>
      <c r="NZU23" s="130"/>
      <c r="OAE23" s="130"/>
      <c r="OAO23" s="130"/>
      <c r="OAY23" s="130"/>
      <c r="OBI23" s="130"/>
      <c r="OBS23" s="130"/>
      <c r="OCC23" s="130"/>
      <c r="OCM23" s="130"/>
      <c r="OCW23" s="130"/>
      <c r="ODG23" s="130"/>
      <c r="ODQ23" s="130"/>
      <c r="OEA23" s="130"/>
      <c r="OEK23" s="130"/>
      <c r="OEU23" s="130"/>
      <c r="OFE23" s="130"/>
      <c r="OFO23" s="130"/>
      <c r="OFY23" s="130"/>
      <c r="OGI23" s="130"/>
      <c r="OGS23" s="130"/>
      <c r="OHC23" s="130"/>
      <c r="OHM23" s="130"/>
      <c r="OHW23" s="130"/>
      <c r="OIG23" s="130"/>
      <c r="OIQ23" s="130"/>
      <c r="OJA23" s="130"/>
      <c r="OJK23" s="130"/>
      <c r="OJU23" s="130"/>
      <c r="OKE23" s="130"/>
      <c r="OKO23" s="130"/>
      <c r="OKY23" s="130"/>
      <c r="OLI23" s="130"/>
      <c r="OLS23" s="130"/>
      <c r="OMC23" s="130"/>
      <c r="OMM23" s="130"/>
      <c r="OMW23" s="130"/>
      <c r="ONG23" s="130"/>
      <c r="ONQ23" s="130"/>
      <c r="OOA23" s="130"/>
      <c r="OOK23" s="130"/>
      <c r="OOU23" s="130"/>
      <c r="OPE23" s="130"/>
      <c r="OPO23" s="130"/>
      <c r="OPY23" s="130"/>
      <c r="OQI23" s="130"/>
      <c r="OQS23" s="130"/>
      <c r="ORC23" s="130"/>
      <c r="ORM23" s="130"/>
      <c r="ORW23" s="130"/>
      <c r="OSG23" s="130"/>
      <c r="OSQ23" s="130"/>
      <c r="OTA23" s="130"/>
      <c r="OTK23" s="130"/>
      <c r="OTU23" s="130"/>
      <c r="OUE23" s="130"/>
      <c r="OUO23" s="130"/>
      <c r="OUY23" s="130"/>
      <c r="OVI23" s="130"/>
      <c r="OVS23" s="130"/>
      <c r="OWC23" s="130"/>
      <c r="OWM23" s="130"/>
      <c r="OWW23" s="130"/>
      <c r="OXG23" s="130"/>
      <c r="OXQ23" s="130"/>
      <c r="OYA23" s="130"/>
      <c r="OYK23" s="130"/>
      <c r="OYU23" s="130"/>
      <c r="OZE23" s="130"/>
      <c r="OZO23" s="130"/>
      <c r="OZY23" s="130"/>
      <c r="PAI23" s="130"/>
      <c r="PAS23" s="130"/>
      <c r="PBC23" s="130"/>
      <c r="PBM23" s="130"/>
      <c r="PBW23" s="130"/>
      <c r="PCG23" s="130"/>
      <c r="PCQ23" s="130"/>
      <c r="PDA23" s="130"/>
      <c r="PDK23" s="130"/>
      <c r="PDU23" s="130"/>
      <c r="PEE23" s="130"/>
      <c r="PEO23" s="130"/>
      <c r="PEY23" s="130"/>
      <c r="PFI23" s="130"/>
      <c r="PFS23" s="130"/>
      <c r="PGC23" s="130"/>
      <c r="PGM23" s="130"/>
      <c r="PGW23" s="130"/>
      <c r="PHG23" s="130"/>
      <c r="PHQ23" s="130"/>
      <c r="PIA23" s="130"/>
      <c r="PIK23" s="130"/>
      <c r="PIU23" s="130"/>
      <c r="PJE23" s="130"/>
      <c r="PJO23" s="130"/>
      <c r="PJY23" s="130"/>
      <c r="PKI23" s="130"/>
      <c r="PKS23" s="130"/>
      <c r="PLC23" s="130"/>
      <c r="PLM23" s="130"/>
      <c r="PLW23" s="130"/>
      <c r="PMG23" s="130"/>
      <c r="PMQ23" s="130"/>
      <c r="PNA23" s="130"/>
      <c r="PNK23" s="130"/>
      <c r="PNU23" s="130"/>
      <c r="POE23" s="130"/>
      <c r="POO23" s="130"/>
      <c r="POY23" s="130"/>
      <c r="PPI23" s="130"/>
      <c r="PPS23" s="130"/>
      <c r="PQC23" s="130"/>
      <c r="PQM23" s="130"/>
      <c r="PQW23" s="130"/>
      <c r="PRG23" s="130"/>
      <c r="PRQ23" s="130"/>
      <c r="PSA23" s="130"/>
      <c r="PSK23" s="130"/>
      <c r="PSU23" s="130"/>
      <c r="PTE23" s="130"/>
      <c r="PTO23" s="130"/>
      <c r="PTY23" s="130"/>
      <c r="PUI23" s="130"/>
      <c r="PUS23" s="130"/>
      <c r="PVC23" s="130"/>
      <c r="PVM23" s="130"/>
      <c r="PVW23" s="130"/>
      <c r="PWG23" s="130"/>
      <c r="PWQ23" s="130"/>
      <c r="PXA23" s="130"/>
      <c r="PXK23" s="130"/>
      <c r="PXU23" s="130"/>
      <c r="PYE23" s="130"/>
      <c r="PYO23" s="130"/>
      <c r="PYY23" s="130"/>
      <c r="PZI23" s="130"/>
      <c r="PZS23" s="130"/>
      <c r="QAC23" s="130"/>
      <c r="QAM23" s="130"/>
      <c r="QAW23" s="130"/>
      <c r="QBG23" s="130"/>
      <c r="QBQ23" s="130"/>
      <c r="QCA23" s="130"/>
      <c r="QCK23" s="130"/>
      <c r="QCU23" s="130"/>
      <c r="QDE23" s="130"/>
      <c r="QDO23" s="130"/>
      <c r="QDY23" s="130"/>
      <c r="QEI23" s="130"/>
      <c r="QES23" s="130"/>
      <c r="QFC23" s="130"/>
      <c r="QFM23" s="130"/>
      <c r="QFW23" s="130"/>
      <c r="QGG23" s="130"/>
      <c r="QGQ23" s="130"/>
      <c r="QHA23" s="130"/>
      <c r="QHK23" s="130"/>
      <c r="QHU23" s="130"/>
      <c r="QIE23" s="130"/>
      <c r="QIO23" s="130"/>
      <c r="QIY23" s="130"/>
      <c r="QJI23" s="130"/>
      <c r="QJS23" s="130"/>
      <c r="QKC23" s="130"/>
      <c r="QKM23" s="130"/>
      <c r="QKW23" s="130"/>
      <c r="QLG23" s="130"/>
      <c r="QLQ23" s="130"/>
      <c r="QMA23" s="130"/>
      <c r="QMK23" s="130"/>
      <c r="QMU23" s="130"/>
      <c r="QNE23" s="130"/>
      <c r="QNO23" s="130"/>
      <c r="QNY23" s="130"/>
      <c r="QOI23" s="130"/>
      <c r="QOS23" s="130"/>
      <c r="QPC23" s="130"/>
      <c r="QPM23" s="130"/>
      <c r="QPW23" s="130"/>
      <c r="QQG23" s="130"/>
      <c r="QQQ23" s="130"/>
      <c r="QRA23" s="130"/>
      <c r="QRK23" s="130"/>
      <c r="QRU23" s="130"/>
      <c r="QSE23" s="130"/>
      <c r="QSO23" s="130"/>
      <c r="QSY23" s="130"/>
      <c r="QTI23" s="130"/>
      <c r="QTS23" s="130"/>
      <c r="QUC23" s="130"/>
      <c r="QUM23" s="130"/>
      <c r="QUW23" s="130"/>
      <c r="QVG23" s="130"/>
      <c r="QVQ23" s="130"/>
      <c r="QWA23" s="130"/>
      <c r="QWK23" s="130"/>
      <c r="QWU23" s="130"/>
      <c r="QXE23" s="130"/>
      <c r="QXO23" s="130"/>
      <c r="QXY23" s="130"/>
      <c r="QYI23" s="130"/>
      <c r="QYS23" s="130"/>
      <c r="QZC23" s="130"/>
      <c r="QZM23" s="130"/>
      <c r="QZW23" s="130"/>
      <c r="RAG23" s="130"/>
      <c r="RAQ23" s="130"/>
      <c r="RBA23" s="130"/>
      <c r="RBK23" s="130"/>
      <c r="RBU23" s="130"/>
      <c r="RCE23" s="130"/>
      <c r="RCO23" s="130"/>
      <c r="RCY23" s="130"/>
      <c r="RDI23" s="130"/>
      <c r="RDS23" s="130"/>
      <c r="REC23" s="130"/>
      <c r="REM23" s="130"/>
      <c r="REW23" s="130"/>
      <c r="RFG23" s="130"/>
      <c r="RFQ23" s="130"/>
      <c r="RGA23" s="130"/>
      <c r="RGK23" s="130"/>
      <c r="RGU23" s="130"/>
      <c r="RHE23" s="130"/>
      <c r="RHO23" s="130"/>
      <c r="RHY23" s="130"/>
      <c r="RII23" s="130"/>
      <c r="RIS23" s="130"/>
      <c r="RJC23" s="130"/>
      <c r="RJM23" s="130"/>
      <c r="RJW23" s="130"/>
      <c r="RKG23" s="130"/>
      <c r="RKQ23" s="130"/>
      <c r="RLA23" s="130"/>
      <c r="RLK23" s="130"/>
      <c r="RLU23" s="130"/>
      <c r="RME23" s="130"/>
      <c r="RMO23" s="130"/>
      <c r="RMY23" s="130"/>
      <c r="RNI23" s="130"/>
      <c r="RNS23" s="130"/>
      <c r="ROC23" s="130"/>
      <c r="ROM23" s="130"/>
      <c r="ROW23" s="130"/>
      <c r="RPG23" s="130"/>
      <c r="RPQ23" s="130"/>
      <c r="RQA23" s="130"/>
      <c r="RQK23" s="130"/>
      <c r="RQU23" s="130"/>
      <c r="RRE23" s="130"/>
      <c r="RRO23" s="130"/>
      <c r="RRY23" s="130"/>
      <c r="RSI23" s="130"/>
      <c r="RSS23" s="130"/>
      <c r="RTC23" s="130"/>
      <c r="RTM23" s="130"/>
      <c r="RTW23" s="130"/>
      <c r="RUG23" s="130"/>
      <c r="RUQ23" s="130"/>
      <c r="RVA23" s="130"/>
      <c r="RVK23" s="130"/>
      <c r="RVU23" s="130"/>
      <c r="RWE23" s="130"/>
      <c r="RWO23" s="130"/>
      <c r="RWY23" s="130"/>
      <c r="RXI23" s="130"/>
      <c r="RXS23" s="130"/>
      <c r="RYC23" s="130"/>
      <c r="RYM23" s="130"/>
      <c r="RYW23" s="130"/>
      <c r="RZG23" s="130"/>
      <c r="RZQ23" s="130"/>
      <c r="SAA23" s="130"/>
      <c r="SAK23" s="130"/>
      <c r="SAU23" s="130"/>
      <c r="SBE23" s="130"/>
      <c r="SBO23" s="130"/>
      <c r="SBY23" s="130"/>
      <c r="SCI23" s="130"/>
      <c r="SCS23" s="130"/>
      <c r="SDC23" s="130"/>
      <c r="SDM23" s="130"/>
      <c r="SDW23" s="130"/>
      <c r="SEG23" s="130"/>
      <c r="SEQ23" s="130"/>
      <c r="SFA23" s="130"/>
      <c r="SFK23" s="130"/>
      <c r="SFU23" s="130"/>
      <c r="SGE23" s="130"/>
      <c r="SGO23" s="130"/>
      <c r="SGY23" s="130"/>
      <c r="SHI23" s="130"/>
      <c r="SHS23" s="130"/>
      <c r="SIC23" s="130"/>
      <c r="SIM23" s="130"/>
      <c r="SIW23" s="130"/>
      <c r="SJG23" s="130"/>
      <c r="SJQ23" s="130"/>
      <c r="SKA23" s="130"/>
      <c r="SKK23" s="130"/>
      <c r="SKU23" s="130"/>
      <c r="SLE23" s="130"/>
      <c r="SLO23" s="130"/>
      <c r="SLY23" s="130"/>
      <c r="SMI23" s="130"/>
      <c r="SMS23" s="130"/>
      <c r="SNC23" s="130"/>
      <c r="SNM23" s="130"/>
      <c r="SNW23" s="130"/>
      <c r="SOG23" s="130"/>
      <c r="SOQ23" s="130"/>
      <c r="SPA23" s="130"/>
      <c r="SPK23" s="130"/>
      <c r="SPU23" s="130"/>
      <c r="SQE23" s="130"/>
      <c r="SQO23" s="130"/>
      <c r="SQY23" s="130"/>
      <c r="SRI23" s="130"/>
      <c r="SRS23" s="130"/>
      <c r="SSC23" s="130"/>
      <c r="SSM23" s="130"/>
      <c r="SSW23" s="130"/>
      <c r="STG23" s="130"/>
      <c r="STQ23" s="130"/>
      <c r="SUA23" s="130"/>
      <c r="SUK23" s="130"/>
      <c r="SUU23" s="130"/>
      <c r="SVE23" s="130"/>
      <c r="SVO23" s="130"/>
      <c r="SVY23" s="130"/>
      <c r="SWI23" s="130"/>
      <c r="SWS23" s="130"/>
      <c r="SXC23" s="130"/>
      <c r="SXM23" s="130"/>
      <c r="SXW23" s="130"/>
      <c r="SYG23" s="130"/>
      <c r="SYQ23" s="130"/>
      <c r="SZA23" s="130"/>
      <c r="SZK23" s="130"/>
      <c r="SZU23" s="130"/>
      <c r="TAE23" s="130"/>
      <c r="TAO23" s="130"/>
      <c r="TAY23" s="130"/>
      <c r="TBI23" s="130"/>
      <c r="TBS23" s="130"/>
      <c r="TCC23" s="130"/>
      <c r="TCM23" s="130"/>
      <c r="TCW23" s="130"/>
      <c r="TDG23" s="130"/>
      <c r="TDQ23" s="130"/>
      <c r="TEA23" s="130"/>
      <c r="TEK23" s="130"/>
      <c r="TEU23" s="130"/>
      <c r="TFE23" s="130"/>
      <c r="TFO23" s="130"/>
      <c r="TFY23" s="130"/>
      <c r="TGI23" s="130"/>
      <c r="TGS23" s="130"/>
      <c r="THC23" s="130"/>
      <c r="THM23" s="130"/>
      <c r="THW23" s="130"/>
      <c r="TIG23" s="130"/>
      <c r="TIQ23" s="130"/>
      <c r="TJA23" s="130"/>
      <c r="TJK23" s="130"/>
      <c r="TJU23" s="130"/>
      <c r="TKE23" s="130"/>
      <c r="TKO23" s="130"/>
      <c r="TKY23" s="130"/>
      <c r="TLI23" s="130"/>
      <c r="TLS23" s="130"/>
      <c r="TMC23" s="130"/>
      <c r="TMM23" s="130"/>
      <c r="TMW23" s="130"/>
      <c r="TNG23" s="130"/>
      <c r="TNQ23" s="130"/>
      <c r="TOA23" s="130"/>
      <c r="TOK23" s="130"/>
      <c r="TOU23" s="130"/>
      <c r="TPE23" s="130"/>
      <c r="TPO23" s="130"/>
      <c r="TPY23" s="130"/>
      <c r="TQI23" s="130"/>
      <c r="TQS23" s="130"/>
      <c r="TRC23" s="130"/>
      <c r="TRM23" s="130"/>
      <c r="TRW23" s="130"/>
      <c r="TSG23" s="130"/>
      <c r="TSQ23" s="130"/>
      <c r="TTA23" s="130"/>
      <c r="TTK23" s="130"/>
      <c r="TTU23" s="130"/>
      <c r="TUE23" s="130"/>
      <c r="TUO23" s="130"/>
      <c r="TUY23" s="130"/>
      <c r="TVI23" s="130"/>
      <c r="TVS23" s="130"/>
      <c r="TWC23" s="130"/>
      <c r="TWM23" s="130"/>
      <c r="TWW23" s="130"/>
      <c r="TXG23" s="130"/>
      <c r="TXQ23" s="130"/>
      <c r="TYA23" s="130"/>
      <c r="TYK23" s="130"/>
      <c r="TYU23" s="130"/>
      <c r="TZE23" s="130"/>
      <c r="TZO23" s="130"/>
      <c r="TZY23" s="130"/>
      <c r="UAI23" s="130"/>
      <c r="UAS23" s="130"/>
      <c r="UBC23" s="130"/>
      <c r="UBM23" s="130"/>
      <c r="UBW23" s="130"/>
      <c r="UCG23" s="130"/>
      <c r="UCQ23" s="130"/>
      <c r="UDA23" s="130"/>
      <c r="UDK23" s="130"/>
      <c r="UDU23" s="130"/>
      <c r="UEE23" s="130"/>
      <c r="UEO23" s="130"/>
      <c r="UEY23" s="130"/>
      <c r="UFI23" s="130"/>
      <c r="UFS23" s="130"/>
      <c r="UGC23" s="130"/>
      <c r="UGM23" s="130"/>
      <c r="UGW23" s="130"/>
      <c r="UHG23" s="130"/>
      <c r="UHQ23" s="130"/>
      <c r="UIA23" s="130"/>
      <c r="UIK23" s="130"/>
      <c r="UIU23" s="130"/>
      <c r="UJE23" s="130"/>
      <c r="UJO23" s="130"/>
      <c r="UJY23" s="130"/>
      <c r="UKI23" s="130"/>
      <c r="UKS23" s="130"/>
      <c r="ULC23" s="130"/>
      <c r="ULM23" s="130"/>
      <c r="ULW23" s="130"/>
      <c r="UMG23" s="130"/>
      <c r="UMQ23" s="130"/>
      <c r="UNA23" s="130"/>
      <c r="UNK23" s="130"/>
      <c r="UNU23" s="130"/>
      <c r="UOE23" s="130"/>
      <c r="UOO23" s="130"/>
      <c r="UOY23" s="130"/>
      <c r="UPI23" s="130"/>
      <c r="UPS23" s="130"/>
      <c r="UQC23" s="130"/>
      <c r="UQM23" s="130"/>
      <c r="UQW23" s="130"/>
      <c r="URG23" s="130"/>
      <c r="URQ23" s="130"/>
      <c r="USA23" s="130"/>
      <c r="USK23" s="130"/>
      <c r="USU23" s="130"/>
      <c r="UTE23" s="130"/>
      <c r="UTO23" s="130"/>
      <c r="UTY23" s="130"/>
      <c r="UUI23" s="130"/>
      <c r="UUS23" s="130"/>
      <c r="UVC23" s="130"/>
      <c r="UVM23" s="130"/>
      <c r="UVW23" s="130"/>
      <c r="UWG23" s="130"/>
      <c r="UWQ23" s="130"/>
      <c r="UXA23" s="130"/>
      <c r="UXK23" s="130"/>
      <c r="UXU23" s="130"/>
      <c r="UYE23" s="130"/>
      <c r="UYO23" s="130"/>
      <c r="UYY23" s="130"/>
      <c r="UZI23" s="130"/>
      <c r="UZS23" s="130"/>
      <c r="VAC23" s="130"/>
      <c r="VAM23" s="130"/>
      <c r="VAW23" s="130"/>
      <c r="VBG23" s="130"/>
      <c r="VBQ23" s="130"/>
      <c r="VCA23" s="130"/>
      <c r="VCK23" s="130"/>
      <c r="VCU23" s="130"/>
      <c r="VDE23" s="130"/>
      <c r="VDO23" s="130"/>
      <c r="VDY23" s="130"/>
      <c r="VEI23" s="130"/>
      <c r="VES23" s="130"/>
      <c r="VFC23" s="130"/>
      <c r="VFM23" s="130"/>
      <c r="VFW23" s="130"/>
      <c r="VGG23" s="130"/>
      <c r="VGQ23" s="130"/>
      <c r="VHA23" s="130"/>
      <c r="VHK23" s="130"/>
      <c r="VHU23" s="130"/>
      <c r="VIE23" s="130"/>
      <c r="VIO23" s="130"/>
      <c r="VIY23" s="130"/>
      <c r="VJI23" s="130"/>
      <c r="VJS23" s="130"/>
      <c r="VKC23" s="130"/>
      <c r="VKM23" s="130"/>
      <c r="VKW23" s="130"/>
      <c r="VLG23" s="130"/>
      <c r="VLQ23" s="130"/>
      <c r="VMA23" s="130"/>
      <c r="VMK23" s="130"/>
      <c r="VMU23" s="130"/>
      <c r="VNE23" s="130"/>
      <c r="VNO23" s="130"/>
      <c r="VNY23" s="130"/>
      <c r="VOI23" s="130"/>
      <c r="VOS23" s="130"/>
      <c r="VPC23" s="130"/>
      <c r="VPM23" s="130"/>
      <c r="VPW23" s="130"/>
      <c r="VQG23" s="130"/>
      <c r="VQQ23" s="130"/>
      <c r="VRA23" s="130"/>
      <c r="VRK23" s="130"/>
      <c r="VRU23" s="130"/>
      <c r="VSE23" s="130"/>
      <c r="VSO23" s="130"/>
      <c r="VSY23" s="130"/>
      <c r="VTI23" s="130"/>
      <c r="VTS23" s="130"/>
      <c r="VUC23" s="130"/>
      <c r="VUM23" s="130"/>
      <c r="VUW23" s="130"/>
      <c r="VVG23" s="130"/>
      <c r="VVQ23" s="130"/>
      <c r="VWA23" s="130"/>
      <c r="VWK23" s="130"/>
      <c r="VWU23" s="130"/>
      <c r="VXE23" s="130"/>
      <c r="VXO23" s="130"/>
      <c r="VXY23" s="130"/>
      <c r="VYI23" s="130"/>
      <c r="VYS23" s="130"/>
      <c r="VZC23" s="130"/>
      <c r="VZM23" s="130"/>
      <c r="VZW23" s="130"/>
      <c r="WAG23" s="130"/>
      <c r="WAQ23" s="130"/>
      <c r="WBA23" s="130"/>
      <c r="WBK23" s="130"/>
      <c r="WBU23" s="130"/>
      <c r="WCE23" s="130"/>
      <c r="WCO23" s="130"/>
      <c r="WCY23" s="130"/>
      <c r="WDI23" s="130"/>
      <c r="WDS23" s="130"/>
      <c r="WEC23" s="130"/>
      <c r="WEM23" s="130"/>
      <c r="WEW23" s="130"/>
      <c r="WFG23" s="130"/>
      <c r="WFQ23" s="130"/>
      <c r="WGA23" s="130"/>
      <c r="WGK23" s="130"/>
      <c r="WGU23" s="130"/>
      <c r="WHE23" s="130"/>
      <c r="WHO23" s="130"/>
      <c r="WHY23" s="130"/>
      <c r="WII23" s="130"/>
      <c r="WIS23" s="130"/>
      <c r="WJC23" s="130"/>
      <c r="WJM23" s="130"/>
      <c r="WJW23" s="130"/>
      <c r="WKG23" s="130"/>
      <c r="WKQ23" s="130"/>
      <c r="WLA23" s="130"/>
      <c r="WLK23" s="130"/>
      <c r="WLU23" s="130"/>
      <c r="WME23" s="130"/>
      <c r="WMO23" s="130"/>
      <c r="WMY23" s="130"/>
      <c r="WNI23" s="130"/>
      <c r="WNS23" s="130"/>
      <c r="WOC23" s="130"/>
      <c r="WOM23" s="130"/>
      <c r="WOW23" s="130"/>
      <c r="WPG23" s="130"/>
      <c r="WPQ23" s="130"/>
      <c r="WQA23" s="130"/>
      <c r="WQK23" s="130"/>
      <c r="WQU23" s="130"/>
      <c r="WRE23" s="130"/>
      <c r="WRO23" s="130"/>
      <c r="WRY23" s="130"/>
      <c r="WSI23" s="130"/>
      <c r="WSS23" s="130"/>
      <c r="WTC23" s="130"/>
      <c r="WTM23" s="130"/>
      <c r="WTW23" s="130"/>
      <c r="WUG23" s="130"/>
      <c r="WUQ23" s="130"/>
      <c r="WVA23" s="130"/>
      <c r="WVK23" s="130"/>
      <c r="WVU23" s="130"/>
      <c r="WWE23" s="130"/>
      <c r="WWO23" s="130"/>
      <c r="WWY23" s="130"/>
      <c r="WXI23" s="130"/>
      <c r="WXS23" s="130"/>
      <c r="WYC23" s="130"/>
      <c r="WYM23" s="130"/>
      <c r="WYW23" s="130"/>
      <c r="WZG23" s="130"/>
      <c r="WZQ23" s="130"/>
      <c r="XAA23" s="130"/>
      <c r="XAK23" s="130"/>
      <c r="XAU23" s="130"/>
      <c r="XBE23" s="130"/>
      <c r="XBO23" s="130"/>
      <c r="XBY23" s="130"/>
      <c r="XCI23" s="130"/>
      <c r="XCS23" s="130"/>
      <c r="XDC23" s="130"/>
      <c r="XDM23" s="130"/>
      <c r="XDW23" s="130"/>
      <c r="XEG23" s="130"/>
      <c r="XEQ23" s="130"/>
      <c r="XFA23" s="130"/>
    </row>
    <row r="24" s="383" customFormat="1" ht="13.2" spans="1:16381">
      <c r="A24" s="130" t="s">
        <v>834</v>
      </c>
      <c r="B24" s="383">
        <v>2025</v>
      </c>
      <c r="C24" s="607" t="s">
        <v>833</v>
      </c>
      <c r="D24" s="383">
        <v>219.33</v>
      </c>
      <c r="E24" s="383">
        <v>5174.58</v>
      </c>
      <c r="F24" s="383">
        <v>68.86</v>
      </c>
      <c r="G24" s="383">
        <v>-199.22</v>
      </c>
      <c r="H24" s="383">
        <v>178.78</v>
      </c>
      <c r="I24" s="383">
        <v>0</v>
      </c>
      <c r="J24" s="383">
        <v>48.42</v>
      </c>
      <c r="K24" s="130"/>
      <c r="U24" s="130"/>
      <c r="AE24" s="130"/>
      <c r="AO24" s="130"/>
      <c r="AY24" s="130"/>
      <c r="BI24" s="130"/>
      <c r="BS24" s="130"/>
      <c r="CC24" s="130"/>
      <c r="CM24" s="130"/>
      <c r="CW24" s="130"/>
      <c r="DG24" s="130"/>
      <c r="DQ24" s="130"/>
      <c r="EA24" s="130"/>
      <c r="EK24" s="130"/>
      <c r="EU24" s="130"/>
      <c r="FE24" s="130"/>
      <c r="FO24" s="130"/>
      <c r="FY24" s="130"/>
      <c r="GI24" s="130"/>
      <c r="GS24" s="130"/>
      <c r="HC24" s="130"/>
      <c r="HM24" s="130"/>
      <c r="HW24" s="130"/>
      <c r="IG24" s="130"/>
      <c r="IQ24" s="130"/>
      <c r="JA24" s="130"/>
      <c r="JK24" s="130"/>
      <c r="JU24" s="130"/>
      <c r="KE24" s="130"/>
      <c r="KO24" s="130"/>
      <c r="KY24" s="130"/>
      <c r="LI24" s="130"/>
      <c r="LS24" s="130"/>
      <c r="MC24" s="130"/>
      <c r="MM24" s="130"/>
      <c r="MW24" s="130"/>
      <c r="NG24" s="130"/>
      <c r="NQ24" s="130"/>
      <c r="OA24" s="130"/>
      <c r="OK24" s="130"/>
      <c r="OU24" s="130"/>
      <c r="PE24" s="130"/>
      <c r="PO24" s="130"/>
      <c r="PY24" s="130"/>
      <c r="QI24" s="130"/>
      <c r="QS24" s="130"/>
      <c r="RC24" s="130"/>
      <c r="RM24" s="130"/>
      <c r="RW24" s="130"/>
      <c r="SG24" s="130"/>
      <c r="SQ24" s="130"/>
      <c r="TA24" s="130"/>
      <c r="TK24" s="130"/>
      <c r="TU24" s="130"/>
      <c r="UE24" s="130"/>
      <c r="UO24" s="130"/>
      <c r="UY24" s="130"/>
      <c r="VI24" s="130"/>
      <c r="VS24" s="130"/>
      <c r="WC24" s="130"/>
      <c r="WM24" s="130"/>
      <c r="WW24" s="130"/>
      <c r="XG24" s="130"/>
      <c r="XQ24" s="130"/>
      <c r="YA24" s="130"/>
      <c r="YK24" s="130"/>
      <c r="YU24" s="130"/>
      <c r="ZE24" s="130"/>
      <c r="ZO24" s="130"/>
      <c r="ZY24" s="130"/>
      <c r="AAI24" s="130"/>
      <c r="AAS24" s="130"/>
      <c r="ABC24" s="130"/>
      <c r="ABM24" s="130"/>
      <c r="ABW24" s="130"/>
      <c r="ACG24" s="130"/>
      <c r="ACQ24" s="130"/>
      <c r="ADA24" s="130"/>
      <c r="ADK24" s="130"/>
      <c r="ADU24" s="130"/>
      <c r="AEE24" s="130"/>
      <c r="AEO24" s="130"/>
      <c r="AEY24" s="130"/>
      <c r="AFI24" s="130"/>
      <c r="AFS24" s="130"/>
      <c r="AGC24" s="130"/>
      <c r="AGM24" s="130"/>
      <c r="AGW24" s="130"/>
      <c r="AHG24" s="130"/>
      <c r="AHQ24" s="130"/>
      <c r="AIA24" s="130"/>
      <c r="AIK24" s="130"/>
      <c r="AIU24" s="130"/>
      <c r="AJE24" s="130"/>
      <c r="AJO24" s="130"/>
      <c r="AJY24" s="130"/>
      <c r="AKI24" s="130"/>
      <c r="AKS24" s="130"/>
      <c r="ALC24" s="130"/>
      <c r="ALM24" s="130"/>
      <c r="ALW24" s="130"/>
      <c r="AMG24" s="130"/>
      <c r="AMQ24" s="130"/>
      <c r="ANA24" s="130"/>
      <c r="ANK24" s="130"/>
      <c r="ANU24" s="130"/>
      <c r="AOE24" s="130"/>
      <c r="AOO24" s="130"/>
      <c r="AOY24" s="130"/>
      <c r="API24" s="130"/>
      <c r="APS24" s="130"/>
      <c r="AQC24" s="130"/>
      <c r="AQM24" s="130"/>
      <c r="AQW24" s="130"/>
      <c r="ARG24" s="130"/>
      <c r="ARQ24" s="130"/>
      <c r="ASA24" s="130"/>
      <c r="ASK24" s="130"/>
      <c r="ASU24" s="130"/>
      <c r="ATE24" s="130"/>
      <c r="ATO24" s="130"/>
      <c r="ATY24" s="130"/>
      <c r="AUI24" s="130"/>
      <c r="AUS24" s="130"/>
      <c r="AVC24" s="130"/>
      <c r="AVM24" s="130"/>
      <c r="AVW24" s="130"/>
      <c r="AWG24" s="130"/>
      <c r="AWQ24" s="130"/>
      <c r="AXA24" s="130"/>
      <c r="AXK24" s="130"/>
      <c r="AXU24" s="130"/>
      <c r="AYE24" s="130"/>
      <c r="AYO24" s="130"/>
      <c r="AYY24" s="130"/>
      <c r="AZI24" s="130"/>
      <c r="AZS24" s="130"/>
      <c r="BAC24" s="130"/>
      <c r="BAM24" s="130"/>
      <c r="BAW24" s="130"/>
      <c r="BBG24" s="130"/>
      <c r="BBQ24" s="130"/>
      <c r="BCA24" s="130"/>
      <c r="BCK24" s="130"/>
      <c r="BCU24" s="130"/>
      <c r="BDE24" s="130"/>
      <c r="BDO24" s="130"/>
      <c r="BDY24" s="130"/>
      <c r="BEI24" s="130"/>
      <c r="BES24" s="130"/>
      <c r="BFC24" s="130"/>
      <c r="BFM24" s="130"/>
      <c r="BFW24" s="130"/>
      <c r="BGG24" s="130"/>
      <c r="BGQ24" s="130"/>
      <c r="BHA24" s="130"/>
      <c r="BHK24" s="130"/>
      <c r="BHU24" s="130"/>
      <c r="BIE24" s="130"/>
      <c r="BIO24" s="130"/>
      <c r="BIY24" s="130"/>
      <c r="BJI24" s="130"/>
      <c r="BJS24" s="130"/>
      <c r="BKC24" s="130"/>
      <c r="BKM24" s="130"/>
      <c r="BKW24" s="130"/>
      <c r="BLG24" s="130"/>
      <c r="BLQ24" s="130"/>
      <c r="BMA24" s="130"/>
      <c r="BMK24" s="130"/>
      <c r="BMU24" s="130"/>
      <c r="BNE24" s="130"/>
      <c r="BNO24" s="130"/>
      <c r="BNY24" s="130"/>
      <c r="BOI24" s="130"/>
      <c r="BOS24" s="130"/>
      <c r="BPC24" s="130"/>
      <c r="BPM24" s="130"/>
      <c r="BPW24" s="130"/>
      <c r="BQG24" s="130"/>
      <c r="BQQ24" s="130"/>
      <c r="BRA24" s="130"/>
      <c r="BRK24" s="130"/>
      <c r="BRU24" s="130"/>
      <c r="BSE24" s="130"/>
      <c r="BSO24" s="130"/>
      <c r="BSY24" s="130"/>
      <c r="BTI24" s="130"/>
      <c r="BTS24" s="130"/>
      <c r="BUC24" s="130"/>
      <c r="BUM24" s="130"/>
      <c r="BUW24" s="130"/>
      <c r="BVG24" s="130"/>
      <c r="BVQ24" s="130"/>
      <c r="BWA24" s="130"/>
      <c r="BWK24" s="130"/>
      <c r="BWU24" s="130"/>
      <c r="BXE24" s="130"/>
      <c r="BXO24" s="130"/>
      <c r="BXY24" s="130"/>
      <c r="BYI24" s="130"/>
      <c r="BYS24" s="130"/>
      <c r="BZC24" s="130"/>
      <c r="BZM24" s="130"/>
      <c r="BZW24" s="130"/>
      <c r="CAG24" s="130"/>
      <c r="CAQ24" s="130"/>
      <c r="CBA24" s="130"/>
      <c r="CBK24" s="130"/>
      <c r="CBU24" s="130"/>
      <c r="CCE24" s="130"/>
      <c r="CCO24" s="130"/>
      <c r="CCY24" s="130"/>
      <c r="CDI24" s="130"/>
      <c r="CDS24" s="130"/>
      <c r="CEC24" s="130"/>
      <c r="CEM24" s="130"/>
      <c r="CEW24" s="130"/>
      <c r="CFG24" s="130"/>
      <c r="CFQ24" s="130"/>
      <c r="CGA24" s="130"/>
      <c r="CGK24" s="130"/>
      <c r="CGU24" s="130"/>
      <c r="CHE24" s="130"/>
      <c r="CHO24" s="130"/>
      <c r="CHY24" s="130"/>
      <c r="CII24" s="130"/>
      <c r="CIS24" s="130"/>
      <c r="CJC24" s="130"/>
      <c r="CJM24" s="130"/>
      <c r="CJW24" s="130"/>
      <c r="CKG24" s="130"/>
      <c r="CKQ24" s="130"/>
      <c r="CLA24" s="130"/>
      <c r="CLK24" s="130"/>
      <c r="CLU24" s="130"/>
      <c r="CME24" s="130"/>
      <c r="CMO24" s="130"/>
      <c r="CMY24" s="130"/>
      <c r="CNI24" s="130"/>
      <c r="CNS24" s="130"/>
      <c r="COC24" s="130"/>
      <c r="COM24" s="130"/>
      <c r="COW24" s="130"/>
      <c r="CPG24" s="130"/>
      <c r="CPQ24" s="130"/>
      <c r="CQA24" s="130"/>
      <c r="CQK24" s="130"/>
      <c r="CQU24" s="130"/>
      <c r="CRE24" s="130"/>
      <c r="CRO24" s="130"/>
      <c r="CRY24" s="130"/>
      <c r="CSI24" s="130"/>
      <c r="CSS24" s="130"/>
      <c r="CTC24" s="130"/>
      <c r="CTM24" s="130"/>
      <c r="CTW24" s="130"/>
      <c r="CUG24" s="130"/>
      <c r="CUQ24" s="130"/>
      <c r="CVA24" s="130"/>
      <c r="CVK24" s="130"/>
      <c r="CVU24" s="130"/>
      <c r="CWE24" s="130"/>
      <c r="CWO24" s="130"/>
      <c r="CWY24" s="130"/>
      <c r="CXI24" s="130"/>
      <c r="CXS24" s="130"/>
      <c r="CYC24" s="130"/>
      <c r="CYM24" s="130"/>
      <c r="CYW24" s="130"/>
      <c r="CZG24" s="130"/>
      <c r="CZQ24" s="130"/>
      <c r="DAA24" s="130"/>
      <c r="DAK24" s="130"/>
      <c r="DAU24" s="130"/>
      <c r="DBE24" s="130"/>
      <c r="DBO24" s="130"/>
      <c r="DBY24" s="130"/>
      <c r="DCI24" s="130"/>
      <c r="DCS24" s="130"/>
      <c r="DDC24" s="130"/>
      <c r="DDM24" s="130"/>
      <c r="DDW24" s="130"/>
      <c r="DEG24" s="130"/>
      <c r="DEQ24" s="130"/>
      <c r="DFA24" s="130"/>
      <c r="DFK24" s="130"/>
      <c r="DFU24" s="130"/>
      <c r="DGE24" s="130"/>
      <c r="DGO24" s="130"/>
      <c r="DGY24" s="130"/>
      <c r="DHI24" s="130"/>
      <c r="DHS24" s="130"/>
      <c r="DIC24" s="130"/>
      <c r="DIM24" s="130"/>
      <c r="DIW24" s="130"/>
      <c r="DJG24" s="130"/>
      <c r="DJQ24" s="130"/>
      <c r="DKA24" s="130"/>
      <c r="DKK24" s="130"/>
      <c r="DKU24" s="130"/>
      <c r="DLE24" s="130"/>
      <c r="DLO24" s="130"/>
      <c r="DLY24" s="130"/>
      <c r="DMI24" s="130"/>
      <c r="DMS24" s="130"/>
      <c r="DNC24" s="130"/>
      <c r="DNM24" s="130"/>
      <c r="DNW24" s="130"/>
      <c r="DOG24" s="130"/>
      <c r="DOQ24" s="130"/>
      <c r="DPA24" s="130"/>
      <c r="DPK24" s="130"/>
      <c r="DPU24" s="130"/>
      <c r="DQE24" s="130"/>
      <c r="DQO24" s="130"/>
      <c r="DQY24" s="130"/>
      <c r="DRI24" s="130"/>
      <c r="DRS24" s="130"/>
      <c r="DSC24" s="130"/>
      <c r="DSM24" s="130"/>
      <c r="DSW24" s="130"/>
      <c r="DTG24" s="130"/>
      <c r="DTQ24" s="130"/>
      <c r="DUA24" s="130"/>
      <c r="DUK24" s="130"/>
      <c r="DUU24" s="130"/>
      <c r="DVE24" s="130"/>
      <c r="DVO24" s="130"/>
      <c r="DVY24" s="130"/>
      <c r="DWI24" s="130"/>
      <c r="DWS24" s="130"/>
      <c r="DXC24" s="130"/>
      <c r="DXM24" s="130"/>
      <c r="DXW24" s="130"/>
      <c r="DYG24" s="130"/>
      <c r="DYQ24" s="130"/>
      <c r="DZA24" s="130"/>
      <c r="DZK24" s="130"/>
      <c r="DZU24" s="130"/>
      <c r="EAE24" s="130"/>
      <c r="EAO24" s="130"/>
      <c r="EAY24" s="130"/>
      <c r="EBI24" s="130"/>
      <c r="EBS24" s="130"/>
      <c r="ECC24" s="130"/>
      <c r="ECM24" s="130"/>
      <c r="ECW24" s="130"/>
      <c r="EDG24" s="130"/>
      <c r="EDQ24" s="130"/>
      <c r="EEA24" s="130"/>
      <c r="EEK24" s="130"/>
      <c r="EEU24" s="130"/>
      <c r="EFE24" s="130"/>
      <c r="EFO24" s="130"/>
      <c r="EFY24" s="130"/>
      <c r="EGI24" s="130"/>
      <c r="EGS24" s="130"/>
      <c r="EHC24" s="130"/>
      <c r="EHM24" s="130"/>
      <c r="EHW24" s="130"/>
      <c r="EIG24" s="130"/>
      <c r="EIQ24" s="130"/>
      <c r="EJA24" s="130"/>
      <c r="EJK24" s="130"/>
      <c r="EJU24" s="130"/>
      <c r="EKE24" s="130"/>
      <c r="EKO24" s="130"/>
      <c r="EKY24" s="130"/>
      <c r="ELI24" s="130"/>
      <c r="ELS24" s="130"/>
      <c r="EMC24" s="130"/>
      <c r="EMM24" s="130"/>
      <c r="EMW24" s="130"/>
      <c r="ENG24" s="130"/>
      <c r="ENQ24" s="130"/>
      <c r="EOA24" s="130"/>
      <c r="EOK24" s="130"/>
      <c r="EOU24" s="130"/>
      <c r="EPE24" s="130"/>
      <c r="EPO24" s="130"/>
      <c r="EPY24" s="130"/>
      <c r="EQI24" s="130"/>
      <c r="EQS24" s="130"/>
      <c r="ERC24" s="130"/>
      <c r="ERM24" s="130"/>
      <c r="ERW24" s="130"/>
      <c r="ESG24" s="130"/>
      <c r="ESQ24" s="130"/>
      <c r="ETA24" s="130"/>
      <c r="ETK24" s="130"/>
      <c r="ETU24" s="130"/>
      <c r="EUE24" s="130"/>
      <c r="EUO24" s="130"/>
      <c r="EUY24" s="130"/>
      <c r="EVI24" s="130"/>
      <c r="EVS24" s="130"/>
      <c r="EWC24" s="130"/>
      <c r="EWM24" s="130"/>
      <c r="EWW24" s="130"/>
      <c r="EXG24" s="130"/>
      <c r="EXQ24" s="130"/>
      <c r="EYA24" s="130"/>
      <c r="EYK24" s="130"/>
      <c r="EYU24" s="130"/>
      <c r="EZE24" s="130"/>
      <c r="EZO24" s="130"/>
      <c r="EZY24" s="130"/>
      <c r="FAI24" s="130"/>
      <c r="FAS24" s="130"/>
      <c r="FBC24" s="130"/>
      <c r="FBM24" s="130"/>
      <c r="FBW24" s="130"/>
      <c r="FCG24" s="130"/>
      <c r="FCQ24" s="130"/>
      <c r="FDA24" s="130"/>
      <c r="FDK24" s="130"/>
      <c r="FDU24" s="130"/>
      <c r="FEE24" s="130"/>
      <c r="FEO24" s="130"/>
      <c r="FEY24" s="130"/>
      <c r="FFI24" s="130"/>
      <c r="FFS24" s="130"/>
      <c r="FGC24" s="130"/>
      <c r="FGM24" s="130"/>
      <c r="FGW24" s="130"/>
      <c r="FHG24" s="130"/>
      <c r="FHQ24" s="130"/>
      <c r="FIA24" s="130"/>
      <c r="FIK24" s="130"/>
      <c r="FIU24" s="130"/>
      <c r="FJE24" s="130"/>
      <c r="FJO24" s="130"/>
      <c r="FJY24" s="130"/>
      <c r="FKI24" s="130"/>
      <c r="FKS24" s="130"/>
      <c r="FLC24" s="130"/>
      <c r="FLM24" s="130"/>
      <c r="FLW24" s="130"/>
      <c r="FMG24" s="130"/>
      <c r="FMQ24" s="130"/>
      <c r="FNA24" s="130"/>
      <c r="FNK24" s="130"/>
      <c r="FNU24" s="130"/>
      <c r="FOE24" s="130"/>
      <c r="FOO24" s="130"/>
      <c r="FOY24" s="130"/>
      <c r="FPI24" s="130"/>
      <c r="FPS24" s="130"/>
      <c r="FQC24" s="130"/>
      <c r="FQM24" s="130"/>
      <c r="FQW24" s="130"/>
      <c r="FRG24" s="130"/>
      <c r="FRQ24" s="130"/>
      <c r="FSA24" s="130"/>
      <c r="FSK24" s="130"/>
      <c r="FSU24" s="130"/>
      <c r="FTE24" s="130"/>
      <c r="FTO24" s="130"/>
      <c r="FTY24" s="130"/>
      <c r="FUI24" s="130"/>
      <c r="FUS24" s="130"/>
      <c r="FVC24" s="130"/>
      <c r="FVM24" s="130"/>
      <c r="FVW24" s="130"/>
      <c r="FWG24" s="130"/>
      <c r="FWQ24" s="130"/>
      <c r="FXA24" s="130"/>
      <c r="FXK24" s="130"/>
      <c r="FXU24" s="130"/>
      <c r="FYE24" s="130"/>
      <c r="FYO24" s="130"/>
      <c r="FYY24" s="130"/>
      <c r="FZI24" s="130"/>
      <c r="FZS24" s="130"/>
      <c r="GAC24" s="130"/>
      <c r="GAM24" s="130"/>
      <c r="GAW24" s="130"/>
      <c r="GBG24" s="130"/>
      <c r="GBQ24" s="130"/>
      <c r="GCA24" s="130"/>
      <c r="GCK24" s="130"/>
      <c r="GCU24" s="130"/>
      <c r="GDE24" s="130"/>
      <c r="GDO24" s="130"/>
      <c r="GDY24" s="130"/>
      <c r="GEI24" s="130"/>
      <c r="GES24" s="130"/>
      <c r="GFC24" s="130"/>
      <c r="GFM24" s="130"/>
      <c r="GFW24" s="130"/>
      <c r="GGG24" s="130"/>
      <c r="GGQ24" s="130"/>
      <c r="GHA24" s="130"/>
      <c r="GHK24" s="130"/>
      <c r="GHU24" s="130"/>
      <c r="GIE24" s="130"/>
      <c r="GIO24" s="130"/>
      <c r="GIY24" s="130"/>
      <c r="GJI24" s="130"/>
      <c r="GJS24" s="130"/>
      <c r="GKC24" s="130"/>
      <c r="GKM24" s="130"/>
      <c r="GKW24" s="130"/>
      <c r="GLG24" s="130"/>
      <c r="GLQ24" s="130"/>
      <c r="GMA24" s="130"/>
      <c r="GMK24" s="130"/>
      <c r="GMU24" s="130"/>
      <c r="GNE24" s="130"/>
      <c r="GNO24" s="130"/>
      <c r="GNY24" s="130"/>
      <c r="GOI24" s="130"/>
      <c r="GOS24" s="130"/>
      <c r="GPC24" s="130"/>
      <c r="GPM24" s="130"/>
      <c r="GPW24" s="130"/>
      <c r="GQG24" s="130"/>
      <c r="GQQ24" s="130"/>
      <c r="GRA24" s="130"/>
      <c r="GRK24" s="130"/>
      <c r="GRU24" s="130"/>
      <c r="GSE24" s="130"/>
      <c r="GSO24" s="130"/>
      <c r="GSY24" s="130"/>
      <c r="GTI24" s="130"/>
      <c r="GTS24" s="130"/>
      <c r="GUC24" s="130"/>
      <c r="GUM24" s="130"/>
      <c r="GUW24" s="130"/>
      <c r="GVG24" s="130"/>
      <c r="GVQ24" s="130"/>
      <c r="GWA24" s="130"/>
      <c r="GWK24" s="130"/>
      <c r="GWU24" s="130"/>
      <c r="GXE24" s="130"/>
      <c r="GXO24" s="130"/>
      <c r="GXY24" s="130"/>
      <c r="GYI24" s="130"/>
      <c r="GYS24" s="130"/>
      <c r="GZC24" s="130"/>
      <c r="GZM24" s="130"/>
      <c r="GZW24" s="130"/>
      <c r="HAG24" s="130"/>
      <c r="HAQ24" s="130"/>
      <c r="HBA24" s="130"/>
      <c r="HBK24" s="130"/>
      <c r="HBU24" s="130"/>
      <c r="HCE24" s="130"/>
      <c r="HCO24" s="130"/>
      <c r="HCY24" s="130"/>
      <c r="HDI24" s="130"/>
      <c r="HDS24" s="130"/>
      <c r="HEC24" s="130"/>
      <c r="HEM24" s="130"/>
      <c r="HEW24" s="130"/>
      <c r="HFG24" s="130"/>
      <c r="HFQ24" s="130"/>
      <c r="HGA24" s="130"/>
      <c r="HGK24" s="130"/>
      <c r="HGU24" s="130"/>
      <c r="HHE24" s="130"/>
      <c r="HHO24" s="130"/>
      <c r="HHY24" s="130"/>
      <c r="HII24" s="130"/>
      <c r="HIS24" s="130"/>
      <c r="HJC24" s="130"/>
      <c r="HJM24" s="130"/>
      <c r="HJW24" s="130"/>
      <c r="HKG24" s="130"/>
      <c r="HKQ24" s="130"/>
      <c r="HLA24" s="130"/>
      <c r="HLK24" s="130"/>
      <c r="HLU24" s="130"/>
      <c r="HME24" s="130"/>
      <c r="HMO24" s="130"/>
      <c r="HMY24" s="130"/>
      <c r="HNI24" s="130"/>
      <c r="HNS24" s="130"/>
      <c r="HOC24" s="130"/>
      <c r="HOM24" s="130"/>
      <c r="HOW24" s="130"/>
      <c r="HPG24" s="130"/>
      <c r="HPQ24" s="130"/>
      <c r="HQA24" s="130"/>
      <c r="HQK24" s="130"/>
      <c r="HQU24" s="130"/>
      <c r="HRE24" s="130"/>
      <c r="HRO24" s="130"/>
      <c r="HRY24" s="130"/>
      <c r="HSI24" s="130"/>
      <c r="HSS24" s="130"/>
      <c r="HTC24" s="130"/>
      <c r="HTM24" s="130"/>
      <c r="HTW24" s="130"/>
      <c r="HUG24" s="130"/>
      <c r="HUQ24" s="130"/>
      <c r="HVA24" s="130"/>
      <c r="HVK24" s="130"/>
      <c r="HVU24" s="130"/>
      <c r="HWE24" s="130"/>
      <c r="HWO24" s="130"/>
      <c r="HWY24" s="130"/>
      <c r="HXI24" s="130"/>
      <c r="HXS24" s="130"/>
      <c r="HYC24" s="130"/>
      <c r="HYM24" s="130"/>
      <c r="HYW24" s="130"/>
      <c r="HZG24" s="130"/>
      <c r="HZQ24" s="130"/>
      <c r="IAA24" s="130"/>
      <c r="IAK24" s="130"/>
      <c r="IAU24" s="130"/>
      <c r="IBE24" s="130"/>
      <c r="IBO24" s="130"/>
      <c r="IBY24" s="130"/>
      <c r="ICI24" s="130"/>
      <c r="ICS24" s="130"/>
      <c r="IDC24" s="130"/>
      <c r="IDM24" s="130"/>
      <c r="IDW24" s="130"/>
      <c r="IEG24" s="130"/>
      <c r="IEQ24" s="130"/>
      <c r="IFA24" s="130"/>
      <c r="IFK24" s="130"/>
      <c r="IFU24" s="130"/>
      <c r="IGE24" s="130"/>
      <c r="IGO24" s="130"/>
      <c r="IGY24" s="130"/>
      <c r="IHI24" s="130"/>
      <c r="IHS24" s="130"/>
      <c r="IIC24" s="130"/>
      <c r="IIM24" s="130"/>
      <c r="IIW24" s="130"/>
      <c r="IJG24" s="130"/>
      <c r="IJQ24" s="130"/>
      <c r="IKA24" s="130"/>
      <c r="IKK24" s="130"/>
      <c r="IKU24" s="130"/>
      <c r="ILE24" s="130"/>
      <c r="ILO24" s="130"/>
      <c r="ILY24" s="130"/>
      <c r="IMI24" s="130"/>
      <c r="IMS24" s="130"/>
      <c r="INC24" s="130"/>
      <c r="INM24" s="130"/>
      <c r="INW24" s="130"/>
      <c r="IOG24" s="130"/>
      <c r="IOQ24" s="130"/>
      <c r="IPA24" s="130"/>
      <c r="IPK24" s="130"/>
      <c r="IPU24" s="130"/>
      <c r="IQE24" s="130"/>
      <c r="IQO24" s="130"/>
      <c r="IQY24" s="130"/>
      <c r="IRI24" s="130"/>
      <c r="IRS24" s="130"/>
      <c r="ISC24" s="130"/>
      <c r="ISM24" s="130"/>
      <c r="ISW24" s="130"/>
      <c r="ITG24" s="130"/>
      <c r="ITQ24" s="130"/>
      <c r="IUA24" s="130"/>
      <c r="IUK24" s="130"/>
      <c r="IUU24" s="130"/>
      <c r="IVE24" s="130"/>
      <c r="IVO24" s="130"/>
      <c r="IVY24" s="130"/>
      <c r="IWI24" s="130"/>
      <c r="IWS24" s="130"/>
      <c r="IXC24" s="130"/>
      <c r="IXM24" s="130"/>
      <c r="IXW24" s="130"/>
      <c r="IYG24" s="130"/>
      <c r="IYQ24" s="130"/>
      <c r="IZA24" s="130"/>
      <c r="IZK24" s="130"/>
      <c r="IZU24" s="130"/>
      <c r="JAE24" s="130"/>
      <c r="JAO24" s="130"/>
      <c r="JAY24" s="130"/>
      <c r="JBI24" s="130"/>
      <c r="JBS24" s="130"/>
      <c r="JCC24" s="130"/>
      <c r="JCM24" s="130"/>
      <c r="JCW24" s="130"/>
      <c r="JDG24" s="130"/>
      <c r="JDQ24" s="130"/>
      <c r="JEA24" s="130"/>
      <c r="JEK24" s="130"/>
      <c r="JEU24" s="130"/>
      <c r="JFE24" s="130"/>
      <c r="JFO24" s="130"/>
      <c r="JFY24" s="130"/>
      <c r="JGI24" s="130"/>
      <c r="JGS24" s="130"/>
      <c r="JHC24" s="130"/>
      <c r="JHM24" s="130"/>
      <c r="JHW24" s="130"/>
      <c r="JIG24" s="130"/>
      <c r="JIQ24" s="130"/>
      <c r="JJA24" s="130"/>
      <c r="JJK24" s="130"/>
      <c r="JJU24" s="130"/>
      <c r="JKE24" s="130"/>
      <c r="JKO24" s="130"/>
      <c r="JKY24" s="130"/>
      <c r="JLI24" s="130"/>
      <c r="JLS24" s="130"/>
      <c r="JMC24" s="130"/>
      <c r="JMM24" s="130"/>
      <c r="JMW24" s="130"/>
      <c r="JNG24" s="130"/>
      <c r="JNQ24" s="130"/>
      <c r="JOA24" s="130"/>
      <c r="JOK24" s="130"/>
      <c r="JOU24" s="130"/>
      <c r="JPE24" s="130"/>
      <c r="JPO24" s="130"/>
      <c r="JPY24" s="130"/>
      <c r="JQI24" s="130"/>
      <c r="JQS24" s="130"/>
      <c r="JRC24" s="130"/>
      <c r="JRM24" s="130"/>
      <c r="JRW24" s="130"/>
      <c r="JSG24" s="130"/>
      <c r="JSQ24" s="130"/>
      <c r="JTA24" s="130"/>
      <c r="JTK24" s="130"/>
      <c r="JTU24" s="130"/>
      <c r="JUE24" s="130"/>
      <c r="JUO24" s="130"/>
      <c r="JUY24" s="130"/>
      <c r="JVI24" s="130"/>
      <c r="JVS24" s="130"/>
      <c r="JWC24" s="130"/>
      <c r="JWM24" s="130"/>
      <c r="JWW24" s="130"/>
      <c r="JXG24" s="130"/>
      <c r="JXQ24" s="130"/>
      <c r="JYA24" s="130"/>
      <c r="JYK24" s="130"/>
      <c r="JYU24" s="130"/>
      <c r="JZE24" s="130"/>
      <c r="JZO24" s="130"/>
      <c r="JZY24" s="130"/>
      <c r="KAI24" s="130"/>
      <c r="KAS24" s="130"/>
      <c r="KBC24" s="130"/>
      <c r="KBM24" s="130"/>
      <c r="KBW24" s="130"/>
      <c r="KCG24" s="130"/>
      <c r="KCQ24" s="130"/>
      <c r="KDA24" s="130"/>
      <c r="KDK24" s="130"/>
      <c r="KDU24" s="130"/>
      <c r="KEE24" s="130"/>
      <c r="KEO24" s="130"/>
      <c r="KEY24" s="130"/>
      <c r="KFI24" s="130"/>
      <c r="KFS24" s="130"/>
      <c r="KGC24" s="130"/>
      <c r="KGM24" s="130"/>
      <c r="KGW24" s="130"/>
      <c r="KHG24" s="130"/>
      <c r="KHQ24" s="130"/>
      <c r="KIA24" s="130"/>
      <c r="KIK24" s="130"/>
      <c r="KIU24" s="130"/>
      <c r="KJE24" s="130"/>
      <c r="KJO24" s="130"/>
      <c r="KJY24" s="130"/>
      <c r="KKI24" s="130"/>
      <c r="KKS24" s="130"/>
      <c r="KLC24" s="130"/>
      <c r="KLM24" s="130"/>
      <c r="KLW24" s="130"/>
      <c r="KMG24" s="130"/>
      <c r="KMQ24" s="130"/>
      <c r="KNA24" s="130"/>
      <c r="KNK24" s="130"/>
      <c r="KNU24" s="130"/>
      <c r="KOE24" s="130"/>
      <c r="KOO24" s="130"/>
      <c r="KOY24" s="130"/>
      <c r="KPI24" s="130"/>
      <c r="KPS24" s="130"/>
      <c r="KQC24" s="130"/>
      <c r="KQM24" s="130"/>
      <c r="KQW24" s="130"/>
      <c r="KRG24" s="130"/>
      <c r="KRQ24" s="130"/>
      <c r="KSA24" s="130"/>
      <c r="KSK24" s="130"/>
      <c r="KSU24" s="130"/>
      <c r="KTE24" s="130"/>
      <c r="KTO24" s="130"/>
      <c r="KTY24" s="130"/>
      <c r="KUI24" s="130"/>
      <c r="KUS24" s="130"/>
      <c r="KVC24" s="130"/>
      <c r="KVM24" s="130"/>
      <c r="KVW24" s="130"/>
      <c r="KWG24" s="130"/>
      <c r="KWQ24" s="130"/>
      <c r="KXA24" s="130"/>
      <c r="KXK24" s="130"/>
      <c r="KXU24" s="130"/>
      <c r="KYE24" s="130"/>
      <c r="KYO24" s="130"/>
      <c r="KYY24" s="130"/>
      <c r="KZI24" s="130"/>
      <c r="KZS24" s="130"/>
      <c r="LAC24" s="130"/>
      <c r="LAM24" s="130"/>
      <c r="LAW24" s="130"/>
      <c r="LBG24" s="130"/>
      <c r="LBQ24" s="130"/>
      <c r="LCA24" s="130"/>
      <c r="LCK24" s="130"/>
      <c r="LCU24" s="130"/>
      <c r="LDE24" s="130"/>
      <c r="LDO24" s="130"/>
      <c r="LDY24" s="130"/>
      <c r="LEI24" s="130"/>
      <c r="LES24" s="130"/>
      <c r="LFC24" s="130"/>
      <c r="LFM24" s="130"/>
      <c r="LFW24" s="130"/>
      <c r="LGG24" s="130"/>
      <c r="LGQ24" s="130"/>
      <c r="LHA24" s="130"/>
      <c r="LHK24" s="130"/>
      <c r="LHU24" s="130"/>
      <c r="LIE24" s="130"/>
      <c r="LIO24" s="130"/>
      <c r="LIY24" s="130"/>
      <c r="LJI24" s="130"/>
      <c r="LJS24" s="130"/>
      <c r="LKC24" s="130"/>
      <c r="LKM24" s="130"/>
      <c r="LKW24" s="130"/>
      <c r="LLG24" s="130"/>
      <c r="LLQ24" s="130"/>
      <c r="LMA24" s="130"/>
      <c r="LMK24" s="130"/>
      <c r="LMU24" s="130"/>
      <c r="LNE24" s="130"/>
      <c r="LNO24" s="130"/>
      <c r="LNY24" s="130"/>
      <c r="LOI24" s="130"/>
      <c r="LOS24" s="130"/>
      <c r="LPC24" s="130"/>
      <c r="LPM24" s="130"/>
      <c r="LPW24" s="130"/>
      <c r="LQG24" s="130"/>
      <c r="LQQ24" s="130"/>
      <c r="LRA24" s="130"/>
      <c r="LRK24" s="130"/>
      <c r="LRU24" s="130"/>
      <c r="LSE24" s="130"/>
      <c r="LSO24" s="130"/>
      <c r="LSY24" s="130"/>
      <c r="LTI24" s="130"/>
      <c r="LTS24" s="130"/>
      <c r="LUC24" s="130"/>
      <c r="LUM24" s="130"/>
      <c r="LUW24" s="130"/>
      <c r="LVG24" s="130"/>
      <c r="LVQ24" s="130"/>
      <c r="LWA24" s="130"/>
      <c r="LWK24" s="130"/>
      <c r="LWU24" s="130"/>
      <c r="LXE24" s="130"/>
      <c r="LXO24" s="130"/>
      <c r="LXY24" s="130"/>
      <c r="LYI24" s="130"/>
      <c r="LYS24" s="130"/>
      <c r="LZC24" s="130"/>
      <c r="LZM24" s="130"/>
      <c r="LZW24" s="130"/>
      <c r="MAG24" s="130"/>
      <c r="MAQ24" s="130"/>
      <c r="MBA24" s="130"/>
      <c r="MBK24" s="130"/>
      <c r="MBU24" s="130"/>
      <c r="MCE24" s="130"/>
      <c r="MCO24" s="130"/>
      <c r="MCY24" s="130"/>
      <c r="MDI24" s="130"/>
      <c r="MDS24" s="130"/>
      <c r="MEC24" s="130"/>
      <c r="MEM24" s="130"/>
      <c r="MEW24" s="130"/>
      <c r="MFG24" s="130"/>
      <c r="MFQ24" s="130"/>
      <c r="MGA24" s="130"/>
      <c r="MGK24" s="130"/>
      <c r="MGU24" s="130"/>
      <c r="MHE24" s="130"/>
      <c r="MHO24" s="130"/>
      <c r="MHY24" s="130"/>
      <c r="MII24" s="130"/>
      <c r="MIS24" s="130"/>
      <c r="MJC24" s="130"/>
      <c r="MJM24" s="130"/>
      <c r="MJW24" s="130"/>
      <c r="MKG24" s="130"/>
      <c r="MKQ24" s="130"/>
      <c r="MLA24" s="130"/>
      <c r="MLK24" s="130"/>
      <c r="MLU24" s="130"/>
      <c r="MME24" s="130"/>
      <c r="MMO24" s="130"/>
      <c r="MMY24" s="130"/>
      <c r="MNI24" s="130"/>
      <c r="MNS24" s="130"/>
      <c r="MOC24" s="130"/>
      <c r="MOM24" s="130"/>
      <c r="MOW24" s="130"/>
      <c r="MPG24" s="130"/>
      <c r="MPQ24" s="130"/>
      <c r="MQA24" s="130"/>
      <c r="MQK24" s="130"/>
      <c r="MQU24" s="130"/>
      <c r="MRE24" s="130"/>
      <c r="MRO24" s="130"/>
      <c r="MRY24" s="130"/>
      <c r="MSI24" s="130"/>
      <c r="MSS24" s="130"/>
      <c r="MTC24" s="130"/>
      <c r="MTM24" s="130"/>
      <c r="MTW24" s="130"/>
      <c r="MUG24" s="130"/>
      <c r="MUQ24" s="130"/>
      <c r="MVA24" s="130"/>
      <c r="MVK24" s="130"/>
      <c r="MVU24" s="130"/>
      <c r="MWE24" s="130"/>
      <c r="MWO24" s="130"/>
      <c r="MWY24" s="130"/>
      <c r="MXI24" s="130"/>
      <c r="MXS24" s="130"/>
      <c r="MYC24" s="130"/>
      <c r="MYM24" s="130"/>
      <c r="MYW24" s="130"/>
      <c r="MZG24" s="130"/>
      <c r="MZQ24" s="130"/>
      <c r="NAA24" s="130"/>
      <c r="NAK24" s="130"/>
      <c r="NAU24" s="130"/>
      <c r="NBE24" s="130"/>
      <c r="NBO24" s="130"/>
      <c r="NBY24" s="130"/>
      <c r="NCI24" s="130"/>
      <c r="NCS24" s="130"/>
      <c r="NDC24" s="130"/>
      <c r="NDM24" s="130"/>
      <c r="NDW24" s="130"/>
      <c r="NEG24" s="130"/>
      <c r="NEQ24" s="130"/>
      <c r="NFA24" s="130"/>
      <c r="NFK24" s="130"/>
      <c r="NFU24" s="130"/>
      <c r="NGE24" s="130"/>
      <c r="NGO24" s="130"/>
      <c r="NGY24" s="130"/>
      <c r="NHI24" s="130"/>
      <c r="NHS24" s="130"/>
      <c r="NIC24" s="130"/>
      <c r="NIM24" s="130"/>
      <c r="NIW24" s="130"/>
      <c r="NJG24" s="130"/>
      <c r="NJQ24" s="130"/>
      <c r="NKA24" s="130"/>
      <c r="NKK24" s="130"/>
      <c r="NKU24" s="130"/>
      <c r="NLE24" s="130"/>
      <c r="NLO24" s="130"/>
      <c r="NLY24" s="130"/>
      <c r="NMI24" s="130"/>
      <c r="NMS24" s="130"/>
      <c r="NNC24" s="130"/>
      <c r="NNM24" s="130"/>
      <c r="NNW24" s="130"/>
      <c r="NOG24" s="130"/>
      <c r="NOQ24" s="130"/>
      <c r="NPA24" s="130"/>
      <c r="NPK24" s="130"/>
      <c r="NPU24" s="130"/>
      <c r="NQE24" s="130"/>
      <c r="NQO24" s="130"/>
      <c r="NQY24" s="130"/>
      <c r="NRI24" s="130"/>
      <c r="NRS24" s="130"/>
      <c r="NSC24" s="130"/>
      <c r="NSM24" s="130"/>
      <c r="NSW24" s="130"/>
      <c r="NTG24" s="130"/>
      <c r="NTQ24" s="130"/>
      <c r="NUA24" s="130"/>
      <c r="NUK24" s="130"/>
      <c r="NUU24" s="130"/>
      <c r="NVE24" s="130"/>
      <c r="NVO24" s="130"/>
      <c r="NVY24" s="130"/>
      <c r="NWI24" s="130"/>
      <c r="NWS24" s="130"/>
      <c r="NXC24" s="130"/>
      <c r="NXM24" s="130"/>
      <c r="NXW24" s="130"/>
      <c r="NYG24" s="130"/>
      <c r="NYQ24" s="130"/>
      <c r="NZA24" s="130"/>
      <c r="NZK24" s="130"/>
      <c r="NZU24" s="130"/>
      <c r="OAE24" s="130"/>
      <c r="OAO24" s="130"/>
      <c r="OAY24" s="130"/>
      <c r="OBI24" s="130"/>
      <c r="OBS24" s="130"/>
      <c r="OCC24" s="130"/>
      <c r="OCM24" s="130"/>
      <c r="OCW24" s="130"/>
      <c r="ODG24" s="130"/>
      <c r="ODQ24" s="130"/>
      <c r="OEA24" s="130"/>
      <c r="OEK24" s="130"/>
      <c r="OEU24" s="130"/>
      <c r="OFE24" s="130"/>
      <c r="OFO24" s="130"/>
      <c r="OFY24" s="130"/>
      <c r="OGI24" s="130"/>
      <c r="OGS24" s="130"/>
      <c r="OHC24" s="130"/>
      <c r="OHM24" s="130"/>
      <c r="OHW24" s="130"/>
      <c r="OIG24" s="130"/>
      <c r="OIQ24" s="130"/>
      <c r="OJA24" s="130"/>
      <c r="OJK24" s="130"/>
      <c r="OJU24" s="130"/>
      <c r="OKE24" s="130"/>
      <c r="OKO24" s="130"/>
      <c r="OKY24" s="130"/>
      <c r="OLI24" s="130"/>
      <c r="OLS24" s="130"/>
      <c r="OMC24" s="130"/>
      <c r="OMM24" s="130"/>
      <c r="OMW24" s="130"/>
      <c r="ONG24" s="130"/>
      <c r="ONQ24" s="130"/>
      <c r="OOA24" s="130"/>
      <c r="OOK24" s="130"/>
      <c r="OOU24" s="130"/>
      <c r="OPE24" s="130"/>
      <c r="OPO24" s="130"/>
      <c r="OPY24" s="130"/>
      <c r="OQI24" s="130"/>
      <c r="OQS24" s="130"/>
      <c r="ORC24" s="130"/>
      <c r="ORM24" s="130"/>
      <c r="ORW24" s="130"/>
      <c r="OSG24" s="130"/>
      <c r="OSQ24" s="130"/>
      <c r="OTA24" s="130"/>
      <c r="OTK24" s="130"/>
      <c r="OTU24" s="130"/>
      <c r="OUE24" s="130"/>
      <c r="OUO24" s="130"/>
      <c r="OUY24" s="130"/>
      <c r="OVI24" s="130"/>
      <c r="OVS24" s="130"/>
      <c r="OWC24" s="130"/>
      <c r="OWM24" s="130"/>
      <c r="OWW24" s="130"/>
      <c r="OXG24" s="130"/>
      <c r="OXQ24" s="130"/>
      <c r="OYA24" s="130"/>
      <c r="OYK24" s="130"/>
      <c r="OYU24" s="130"/>
      <c r="OZE24" s="130"/>
      <c r="OZO24" s="130"/>
      <c r="OZY24" s="130"/>
      <c r="PAI24" s="130"/>
      <c r="PAS24" s="130"/>
      <c r="PBC24" s="130"/>
      <c r="PBM24" s="130"/>
      <c r="PBW24" s="130"/>
      <c r="PCG24" s="130"/>
      <c r="PCQ24" s="130"/>
      <c r="PDA24" s="130"/>
      <c r="PDK24" s="130"/>
      <c r="PDU24" s="130"/>
      <c r="PEE24" s="130"/>
      <c r="PEO24" s="130"/>
      <c r="PEY24" s="130"/>
      <c r="PFI24" s="130"/>
      <c r="PFS24" s="130"/>
      <c r="PGC24" s="130"/>
      <c r="PGM24" s="130"/>
      <c r="PGW24" s="130"/>
      <c r="PHG24" s="130"/>
      <c r="PHQ24" s="130"/>
      <c r="PIA24" s="130"/>
      <c r="PIK24" s="130"/>
      <c r="PIU24" s="130"/>
      <c r="PJE24" s="130"/>
      <c r="PJO24" s="130"/>
      <c r="PJY24" s="130"/>
      <c r="PKI24" s="130"/>
      <c r="PKS24" s="130"/>
      <c r="PLC24" s="130"/>
      <c r="PLM24" s="130"/>
      <c r="PLW24" s="130"/>
      <c r="PMG24" s="130"/>
      <c r="PMQ24" s="130"/>
      <c r="PNA24" s="130"/>
      <c r="PNK24" s="130"/>
      <c r="PNU24" s="130"/>
      <c r="POE24" s="130"/>
      <c r="POO24" s="130"/>
      <c r="POY24" s="130"/>
      <c r="PPI24" s="130"/>
      <c r="PPS24" s="130"/>
      <c r="PQC24" s="130"/>
      <c r="PQM24" s="130"/>
      <c r="PQW24" s="130"/>
      <c r="PRG24" s="130"/>
      <c r="PRQ24" s="130"/>
      <c r="PSA24" s="130"/>
      <c r="PSK24" s="130"/>
      <c r="PSU24" s="130"/>
      <c r="PTE24" s="130"/>
      <c r="PTO24" s="130"/>
      <c r="PTY24" s="130"/>
      <c r="PUI24" s="130"/>
      <c r="PUS24" s="130"/>
      <c r="PVC24" s="130"/>
      <c r="PVM24" s="130"/>
      <c r="PVW24" s="130"/>
      <c r="PWG24" s="130"/>
      <c r="PWQ24" s="130"/>
      <c r="PXA24" s="130"/>
      <c r="PXK24" s="130"/>
      <c r="PXU24" s="130"/>
      <c r="PYE24" s="130"/>
      <c r="PYO24" s="130"/>
      <c r="PYY24" s="130"/>
      <c r="PZI24" s="130"/>
      <c r="PZS24" s="130"/>
      <c r="QAC24" s="130"/>
      <c r="QAM24" s="130"/>
      <c r="QAW24" s="130"/>
      <c r="QBG24" s="130"/>
      <c r="QBQ24" s="130"/>
      <c r="QCA24" s="130"/>
      <c r="QCK24" s="130"/>
      <c r="QCU24" s="130"/>
      <c r="QDE24" s="130"/>
      <c r="QDO24" s="130"/>
      <c r="QDY24" s="130"/>
      <c r="QEI24" s="130"/>
      <c r="QES24" s="130"/>
      <c r="QFC24" s="130"/>
      <c r="QFM24" s="130"/>
      <c r="QFW24" s="130"/>
      <c r="QGG24" s="130"/>
      <c r="QGQ24" s="130"/>
      <c r="QHA24" s="130"/>
      <c r="QHK24" s="130"/>
      <c r="QHU24" s="130"/>
      <c r="QIE24" s="130"/>
      <c r="QIO24" s="130"/>
      <c r="QIY24" s="130"/>
      <c r="QJI24" s="130"/>
      <c r="QJS24" s="130"/>
      <c r="QKC24" s="130"/>
      <c r="QKM24" s="130"/>
      <c r="QKW24" s="130"/>
      <c r="QLG24" s="130"/>
      <c r="QLQ24" s="130"/>
      <c r="QMA24" s="130"/>
      <c r="QMK24" s="130"/>
      <c r="QMU24" s="130"/>
      <c r="QNE24" s="130"/>
      <c r="QNO24" s="130"/>
      <c r="QNY24" s="130"/>
      <c r="QOI24" s="130"/>
      <c r="QOS24" s="130"/>
      <c r="QPC24" s="130"/>
      <c r="QPM24" s="130"/>
      <c r="QPW24" s="130"/>
      <c r="QQG24" s="130"/>
      <c r="QQQ24" s="130"/>
      <c r="QRA24" s="130"/>
      <c r="QRK24" s="130"/>
      <c r="QRU24" s="130"/>
      <c r="QSE24" s="130"/>
      <c r="QSO24" s="130"/>
      <c r="QSY24" s="130"/>
      <c r="QTI24" s="130"/>
      <c r="QTS24" s="130"/>
      <c r="QUC24" s="130"/>
      <c r="QUM24" s="130"/>
      <c r="QUW24" s="130"/>
      <c r="QVG24" s="130"/>
      <c r="QVQ24" s="130"/>
      <c r="QWA24" s="130"/>
      <c r="QWK24" s="130"/>
      <c r="QWU24" s="130"/>
      <c r="QXE24" s="130"/>
      <c r="QXO24" s="130"/>
      <c r="QXY24" s="130"/>
      <c r="QYI24" s="130"/>
      <c r="QYS24" s="130"/>
      <c r="QZC24" s="130"/>
      <c r="QZM24" s="130"/>
      <c r="QZW24" s="130"/>
      <c r="RAG24" s="130"/>
      <c r="RAQ24" s="130"/>
      <c r="RBA24" s="130"/>
      <c r="RBK24" s="130"/>
      <c r="RBU24" s="130"/>
      <c r="RCE24" s="130"/>
      <c r="RCO24" s="130"/>
      <c r="RCY24" s="130"/>
      <c r="RDI24" s="130"/>
      <c r="RDS24" s="130"/>
      <c r="REC24" s="130"/>
      <c r="REM24" s="130"/>
      <c r="REW24" s="130"/>
      <c r="RFG24" s="130"/>
      <c r="RFQ24" s="130"/>
      <c r="RGA24" s="130"/>
      <c r="RGK24" s="130"/>
      <c r="RGU24" s="130"/>
      <c r="RHE24" s="130"/>
      <c r="RHO24" s="130"/>
      <c r="RHY24" s="130"/>
      <c r="RII24" s="130"/>
      <c r="RIS24" s="130"/>
      <c r="RJC24" s="130"/>
      <c r="RJM24" s="130"/>
      <c r="RJW24" s="130"/>
      <c r="RKG24" s="130"/>
      <c r="RKQ24" s="130"/>
      <c r="RLA24" s="130"/>
      <c r="RLK24" s="130"/>
      <c r="RLU24" s="130"/>
      <c r="RME24" s="130"/>
      <c r="RMO24" s="130"/>
      <c r="RMY24" s="130"/>
      <c r="RNI24" s="130"/>
      <c r="RNS24" s="130"/>
      <c r="ROC24" s="130"/>
      <c r="ROM24" s="130"/>
      <c r="ROW24" s="130"/>
      <c r="RPG24" s="130"/>
      <c r="RPQ24" s="130"/>
      <c r="RQA24" s="130"/>
      <c r="RQK24" s="130"/>
      <c r="RQU24" s="130"/>
      <c r="RRE24" s="130"/>
      <c r="RRO24" s="130"/>
      <c r="RRY24" s="130"/>
      <c r="RSI24" s="130"/>
      <c r="RSS24" s="130"/>
      <c r="RTC24" s="130"/>
      <c r="RTM24" s="130"/>
      <c r="RTW24" s="130"/>
      <c r="RUG24" s="130"/>
      <c r="RUQ24" s="130"/>
      <c r="RVA24" s="130"/>
      <c r="RVK24" s="130"/>
      <c r="RVU24" s="130"/>
      <c r="RWE24" s="130"/>
      <c r="RWO24" s="130"/>
      <c r="RWY24" s="130"/>
      <c r="RXI24" s="130"/>
      <c r="RXS24" s="130"/>
      <c r="RYC24" s="130"/>
      <c r="RYM24" s="130"/>
      <c r="RYW24" s="130"/>
      <c r="RZG24" s="130"/>
      <c r="RZQ24" s="130"/>
      <c r="SAA24" s="130"/>
      <c r="SAK24" s="130"/>
      <c r="SAU24" s="130"/>
      <c r="SBE24" s="130"/>
      <c r="SBO24" s="130"/>
      <c r="SBY24" s="130"/>
      <c r="SCI24" s="130"/>
      <c r="SCS24" s="130"/>
      <c r="SDC24" s="130"/>
      <c r="SDM24" s="130"/>
      <c r="SDW24" s="130"/>
      <c r="SEG24" s="130"/>
      <c r="SEQ24" s="130"/>
      <c r="SFA24" s="130"/>
      <c r="SFK24" s="130"/>
      <c r="SFU24" s="130"/>
      <c r="SGE24" s="130"/>
      <c r="SGO24" s="130"/>
      <c r="SGY24" s="130"/>
      <c r="SHI24" s="130"/>
      <c r="SHS24" s="130"/>
      <c r="SIC24" s="130"/>
      <c r="SIM24" s="130"/>
      <c r="SIW24" s="130"/>
      <c r="SJG24" s="130"/>
      <c r="SJQ24" s="130"/>
      <c r="SKA24" s="130"/>
      <c r="SKK24" s="130"/>
      <c r="SKU24" s="130"/>
      <c r="SLE24" s="130"/>
      <c r="SLO24" s="130"/>
      <c r="SLY24" s="130"/>
      <c r="SMI24" s="130"/>
      <c r="SMS24" s="130"/>
      <c r="SNC24" s="130"/>
      <c r="SNM24" s="130"/>
      <c r="SNW24" s="130"/>
      <c r="SOG24" s="130"/>
      <c r="SOQ24" s="130"/>
      <c r="SPA24" s="130"/>
      <c r="SPK24" s="130"/>
      <c r="SPU24" s="130"/>
      <c r="SQE24" s="130"/>
      <c r="SQO24" s="130"/>
      <c r="SQY24" s="130"/>
      <c r="SRI24" s="130"/>
      <c r="SRS24" s="130"/>
      <c r="SSC24" s="130"/>
      <c r="SSM24" s="130"/>
      <c r="SSW24" s="130"/>
      <c r="STG24" s="130"/>
      <c r="STQ24" s="130"/>
      <c r="SUA24" s="130"/>
      <c r="SUK24" s="130"/>
      <c r="SUU24" s="130"/>
      <c r="SVE24" s="130"/>
      <c r="SVO24" s="130"/>
      <c r="SVY24" s="130"/>
      <c r="SWI24" s="130"/>
      <c r="SWS24" s="130"/>
      <c r="SXC24" s="130"/>
      <c r="SXM24" s="130"/>
      <c r="SXW24" s="130"/>
      <c r="SYG24" s="130"/>
      <c r="SYQ24" s="130"/>
      <c r="SZA24" s="130"/>
      <c r="SZK24" s="130"/>
      <c r="SZU24" s="130"/>
      <c r="TAE24" s="130"/>
      <c r="TAO24" s="130"/>
      <c r="TAY24" s="130"/>
      <c r="TBI24" s="130"/>
      <c r="TBS24" s="130"/>
      <c r="TCC24" s="130"/>
      <c r="TCM24" s="130"/>
      <c r="TCW24" s="130"/>
      <c r="TDG24" s="130"/>
      <c r="TDQ24" s="130"/>
      <c r="TEA24" s="130"/>
      <c r="TEK24" s="130"/>
      <c r="TEU24" s="130"/>
      <c r="TFE24" s="130"/>
      <c r="TFO24" s="130"/>
      <c r="TFY24" s="130"/>
      <c r="TGI24" s="130"/>
      <c r="TGS24" s="130"/>
      <c r="THC24" s="130"/>
      <c r="THM24" s="130"/>
      <c r="THW24" s="130"/>
      <c r="TIG24" s="130"/>
      <c r="TIQ24" s="130"/>
      <c r="TJA24" s="130"/>
      <c r="TJK24" s="130"/>
      <c r="TJU24" s="130"/>
      <c r="TKE24" s="130"/>
      <c r="TKO24" s="130"/>
      <c r="TKY24" s="130"/>
      <c r="TLI24" s="130"/>
      <c r="TLS24" s="130"/>
      <c r="TMC24" s="130"/>
      <c r="TMM24" s="130"/>
      <c r="TMW24" s="130"/>
      <c r="TNG24" s="130"/>
      <c r="TNQ24" s="130"/>
      <c r="TOA24" s="130"/>
      <c r="TOK24" s="130"/>
      <c r="TOU24" s="130"/>
      <c r="TPE24" s="130"/>
      <c r="TPO24" s="130"/>
      <c r="TPY24" s="130"/>
      <c r="TQI24" s="130"/>
      <c r="TQS24" s="130"/>
      <c r="TRC24" s="130"/>
      <c r="TRM24" s="130"/>
      <c r="TRW24" s="130"/>
      <c r="TSG24" s="130"/>
      <c r="TSQ24" s="130"/>
      <c r="TTA24" s="130"/>
      <c r="TTK24" s="130"/>
      <c r="TTU24" s="130"/>
      <c r="TUE24" s="130"/>
      <c r="TUO24" s="130"/>
      <c r="TUY24" s="130"/>
      <c r="TVI24" s="130"/>
      <c r="TVS24" s="130"/>
      <c r="TWC24" s="130"/>
      <c r="TWM24" s="130"/>
      <c r="TWW24" s="130"/>
      <c r="TXG24" s="130"/>
      <c r="TXQ24" s="130"/>
      <c r="TYA24" s="130"/>
      <c r="TYK24" s="130"/>
      <c r="TYU24" s="130"/>
      <c r="TZE24" s="130"/>
      <c r="TZO24" s="130"/>
      <c r="TZY24" s="130"/>
      <c r="UAI24" s="130"/>
      <c r="UAS24" s="130"/>
      <c r="UBC24" s="130"/>
      <c r="UBM24" s="130"/>
      <c r="UBW24" s="130"/>
      <c r="UCG24" s="130"/>
      <c r="UCQ24" s="130"/>
      <c r="UDA24" s="130"/>
      <c r="UDK24" s="130"/>
      <c r="UDU24" s="130"/>
      <c r="UEE24" s="130"/>
      <c r="UEO24" s="130"/>
      <c r="UEY24" s="130"/>
      <c r="UFI24" s="130"/>
      <c r="UFS24" s="130"/>
      <c r="UGC24" s="130"/>
      <c r="UGM24" s="130"/>
      <c r="UGW24" s="130"/>
      <c r="UHG24" s="130"/>
      <c r="UHQ24" s="130"/>
      <c r="UIA24" s="130"/>
      <c r="UIK24" s="130"/>
      <c r="UIU24" s="130"/>
      <c r="UJE24" s="130"/>
      <c r="UJO24" s="130"/>
      <c r="UJY24" s="130"/>
      <c r="UKI24" s="130"/>
      <c r="UKS24" s="130"/>
      <c r="ULC24" s="130"/>
      <c r="ULM24" s="130"/>
      <c r="ULW24" s="130"/>
      <c r="UMG24" s="130"/>
      <c r="UMQ24" s="130"/>
      <c r="UNA24" s="130"/>
      <c r="UNK24" s="130"/>
      <c r="UNU24" s="130"/>
      <c r="UOE24" s="130"/>
      <c r="UOO24" s="130"/>
      <c r="UOY24" s="130"/>
      <c r="UPI24" s="130"/>
      <c r="UPS24" s="130"/>
      <c r="UQC24" s="130"/>
      <c r="UQM24" s="130"/>
      <c r="UQW24" s="130"/>
      <c r="URG24" s="130"/>
      <c r="URQ24" s="130"/>
      <c r="USA24" s="130"/>
      <c r="USK24" s="130"/>
      <c r="USU24" s="130"/>
      <c r="UTE24" s="130"/>
      <c r="UTO24" s="130"/>
      <c r="UTY24" s="130"/>
      <c r="UUI24" s="130"/>
      <c r="UUS24" s="130"/>
      <c r="UVC24" s="130"/>
      <c r="UVM24" s="130"/>
      <c r="UVW24" s="130"/>
      <c r="UWG24" s="130"/>
      <c r="UWQ24" s="130"/>
      <c r="UXA24" s="130"/>
      <c r="UXK24" s="130"/>
      <c r="UXU24" s="130"/>
      <c r="UYE24" s="130"/>
      <c r="UYO24" s="130"/>
      <c r="UYY24" s="130"/>
      <c r="UZI24" s="130"/>
      <c r="UZS24" s="130"/>
      <c r="VAC24" s="130"/>
      <c r="VAM24" s="130"/>
      <c r="VAW24" s="130"/>
      <c r="VBG24" s="130"/>
      <c r="VBQ24" s="130"/>
      <c r="VCA24" s="130"/>
      <c r="VCK24" s="130"/>
      <c r="VCU24" s="130"/>
      <c r="VDE24" s="130"/>
      <c r="VDO24" s="130"/>
      <c r="VDY24" s="130"/>
      <c r="VEI24" s="130"/>
      <c r="VES24" s="130"/>
      <c r="VFC24" s="130"/>
      <c r="VFM24" s="130"/>
      <c r="VFW24" s="130"/>
      <c r="VGG24" s="130"/>
      <c r="VGQ24" s="130"/>
      <c r="VHA24" s="130"/>
      <c r="VHK24" s="130"/>
      <c r="VHU24" s="130"/>
      <c r="VIE24" s="130"/>
      <c r="VIO24" s="130"/>
      <c r="VIY24" s="130"/>
      <c r="VJI24" s="130"/>
      <c r="VJS24" s="130"/>
      <c r="VKC24" s="130"/>
      <c r="VKM24" s="130"/>
      <c r="VKW24" s="130"/>
      <c r="VLG24" s="130"/>
      <c r="VLQ24" s="130"/>
      <c r="VMA24" s="130"/>
      <c r="VMK24" s="130"/>
      <c r="VMU24" s="130"/>
      <c r="VNE24" s="130"/>
      <c r="VNO24" s="130"/>
      <c r="VNY24" s="130"/>
      <c r="VOI24" s="130"/>
      <c r="VOS24" s="130"/>
      <c r="VPC24" s="130"/>
      <c r="VPM24" s="130"/>
      <c r="VPW24" s="130"/>
      <c r="VQG24" s="130"/>
      <c r="VQQ24" s="130"/>
      <c r="VRA24" s="130"/>
      <c r="VRK24" s="130"/>
      <c r="VRU24" s="130"/>
      <c r="VSE24" s="130"/>
      <c r="VSO24" s="130"/>
      <c r="VSY24" s="130"/>
      <c r="VTI24" s="130"/>
      <c r="VTS24" s="130"/>
      <c r="VUC24" s="130"/>
      <c r="VUM24" s="130"/>
      <c r="VUW24" s="130"/>
      <c r="VVG24" s="130"/>
      <c r="VVQ24" s="130"/>
      <c r="VWA24" s="130"/>
      <c r="VWK24" s="130"/>
      <c r="VWU24" s="130"/>
      <c r="VXE24" s="130"/>
      <c r="VXO24" s="130"/>
      <c r="VXY24" s="130"/>
      <c r="VYI24" s="130"/>
      <c r="VYS24" s="130"/>
      <c r="VZC24" s="130"/>
      <c r="VZM24" s="130"/>
      <c r="VZW24" s="130"/>
      <c r="WAG24" s="130"/>
      <c r="WAQ24" s="130"/>
      <c r="WBA24" s="130"/>
      <c r="WBK24" s="130"/>
      <c r="WBU24" s="130"/>
      <c r="WCE24" s="130"/>
      <c r="WCO24" s="130"/>
      <c r="WCY24" s="130"/>
      <c r="WDI24" s="130"/>
      <c r="WDS24" s="130"/>
      <c r="WEC24" s="130"/>
      <c r="WEM24" s="130"/>
      <c r="WEW24" s="130"/>
      <c r="WFG24" s="130"/>
      <c r="WFQ24" s="130"/>
      <c r="WGA24" s="130"/>
      <c r="WGK24" s="130"/>
      <c r="WGU24" s="130"/>
      <c r="WHE24" s="130"/>
      <c r="WHO24" s="130"/>
      <c r="WHY24" s="130"/>
      <c r="WII24" s="130"/>
      <c r="WIS24" s="130"/>
      <c r="WJC24" s="130"/>
      <c r="WJM24" s="130"/>
      <c r="WJW24" s="130"/>
      <c r="WKG24" s="130"/>
      <c r="WKQ24" s="130"/>
      <c r="WLA24" s="130"/>
      <c r="WLK24" s="130"/>
      <c r="WLU24" s="130"/>
      <c r="WME24" s="130"/>
      <c r="WMO24" s="130"/>
      <c r="WMY24" s="130"/>
      <c r="WNI24" s="130"/>
      <c r="WNS24" s="130"/>
      <c r="WOC24" s="130"/>
      <c r="WOM24" s="130"/>
      <c r="WOW24" s="130"/>
      <c r="WPG24" s="130"/>
      <c r="WPQ24" s="130"/>
      <c r="WQA24" s="130"/>
      <c r="WQK24" s="130"/>
      <c r="WQU24" s="130"/>
      <c r="WRE24" s="130"/>
      <c r="WRO24" s="130"/>
      <c r="WRY24" s="130"/>
      <c r="WSI24" s="130"/>
      <c r="WSS24" s="130"/>
      <c r="WTC24" s="130"/>
      <c r="WTM24" s="130"/>
      <c r="WTW24" s="130"/>
      <c r="WUG24" s="130"/>
      <c r="WUQ24" s="130"/>
      <c r="WVA24" s="130"/>
      <c r="WVK24" s="130"/>
      <c r="WVU24" s="130"/>
      <c r="WWE24" s="130"/>
      <c r="WWO24" s="130"/>
      <c r="WWY24" s="130"/>
      <c r="WXI24" s="130"/>
      <c r="WXS24" s="130"/>
      <c r="WYC24" s="130"/>
      <c r="WYM24" s="130"/>
      <c r="WYW24" s="130"/>
      <c r="WZG24" s="130"/>
      <c r="WZQ24" s="130"/>
      <c r="XAA24" s="130"/>
      <c r="XAK24" s="130"/>
      <c r="XAU24" s="130"/>
      <c r="XBE24" s="130"/>
      <c r="XBO24" s="130"/>
      <c r="XBY24" s="130"/>
      <c r="XCI24" s="130"/>
      <c r="XCS24" s="130"/>
      <c r="XDC24" s="130"/>
      <c r="XDM24" s="130"/>
      <c r="XDW24" s="130"/>
      <c r="XEG24" s="130"/>
      <c r="XEQ24" s="130"/>
      <c r="XFA24" s="130"/>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191"/>
  <sheetViews>
    <sheetView zoomScale="85" zoomScaleNormal="85" workbookViewId="0">
      <pane xSplit="1" topLeftCell="B1" activePane="topRight" state="frozen"/>
      <selection/>
      <selection pane="topRight" activeCell="A147" sqref="$A147:$XFD147"/>
    </sheetView>
  </sheetViews>
  <sheetFormatPr defaultColWidth="11" defaultRowHeight="15"/>
  <cols>
    <col min="1" max="1" width="6.5" style="385" customWidth="1"/>
    <col min="2" max="2" width="10.8" style="386"/>
    <col min="3" max="3" width="18.7" style="386" customWidth="1"/>
    <col min="4" max="4" width="19" customWidth="1"/>
    <col min="5" max="6" width="13.5" customWidth="1"/>
    <col min="7" max="7" width="13.2" customWidth="1"/>
    <col min="8" max="8" width="13.5" customWidth="1"/>
    <col min="9" max="9" width="13.3" customWidth="1"/>
    <col min="10" max="11" width="11" customWidth="1"/>
    <col min="12" max="12" width="11.7" customWidth="1"/>
  </cols>
  <sheetData>
    <row r="1" ht="13.8" spans="1:12">
      <c r="A1" t="s">
        <v>190</v>
      </c>
      <c r="B1" t="s">
        <v>191</v>
      </c>
      <c r="C1" t="s">
        <v>192</v>
      </c>
      <c r="D1" t="s">
        <v>835</v>
      </c>
      <c r="E1" t="s">
        <v>836</v>
      </c>
      <c r="F1" t="s">
        <v>837</v>
      </c>
      <c r="G1" t="s">
        <v>838</v>
      </c>
      <c r="H1" t="s">
        <v>839</v>
      </c>
      <c r="I1" t="s">
        <v>840</v>
      </c>
      <c r="J1" t="s">
        <v>841</v>
      </c>
      <c r="K1" s="400" t="s">
        <v>842</v>
      </c>
      <c r="L1" s="365" t="s">
        <v>843</v>
      </c>
    </row>
    <row r="2" ht="17.4" hidden="1" spans="1:11">
      <c r="A2" s="387">
        <v>1</v>
      </c>
      <c r="B2" s="388" t="s">
        <v>44</v>
      </c>
      <c r="C2" s="389">
        <v>50002845</v>
      </c>
      <c r="D2" s="390">
        <v>0</v>
      </c>
      <c r="E2" s="390">
        <v>0</v>
      </c>
      <c r="F2" s="391">
        <v>0</v>
      </c>
      <c r="G2" s="391"/>
      <c r="H2" s="392">
        <v>0</v>
      </c>
      <c r="I2" s="392">
        <v>5</v>
      </c>
      <c r="J2" s="392">
        <v>12</v>
      </c>
      <c r="K2" s="392">
        <v>31</v>
      </c>
    </row>
    <row r="3" ht="17.4" hidden="1" spans="1:11">
      <c r="A3" s="387">
        <v>2</v>
      </c>
      <c r="B3" s="388" t="s">
        <v>44</v>
      </c>
      <c r="C3" s="389">
        <v>50002862</v>
      </c>
      <c r="D3" s="390">
        <v>154</v>
      </c>
      <c r="E3" s="390">
        <v>193</v>
      </c>
      <c r="F3" s="391">
        <v>200</v>
      </c>
      <c r="G3" s="391"/>
      <c r="H3" s="392">
        <v>217</v>
      </c>
      <c r="I3" s="392">
        <v>252</v>
      </c>
      <c r="J3" s="392">
        <v>302</v>
      </c>
      <c r="K3" s="392">
        <v>342</v>
      </c>
    </row>
    <row r="4" ht="17.4" hidden="1" spans="1:11">
      <c r="A4" s="387">
        <v>3</v>
      </c>
      <c r="B4" s="388" t="s">
        <v>44</v>
      </c>
      <c r="C4" s="389">
        <v>50002872</v>
      </c>
      <c r="D4" s="390">
        <v>3330</v>
      </c>
      <c r="E4" s="390">
        <v>4152</v>
      </c>
      <c r="F4" s="391">
        <v>5885</v>
      </c>
      <c r="G4" s="391">
        <v>7147</v>
      </c>
      <c r="H4" s="392"/>
      <c r="I4" s="392">
        <v>8271</v>
      </c>
      <c r="J4" s="392">
        <v>8830</v>
      </c>
      <c r="K4" s="392">
        <v>9141</v>
      </c>
    </row>
    <row r="5" ht="17.4" hidden="1" spans="1:11">
      <c r="A5" s="387">
        <v>4</v>
      </c>
      <c r="B5" s="388" t="s">
        <v>44</v>
      </c>
      <c r="C5" s="389">
        <v>50002869</v>
      </c>
      <c r="D5" s="390">
        <v>1658.51</v>
      </c>
      <c r="E5" s="390">
        <v>2242</v>
      </c>
      <c r="F5" s="391">
        <v>3297.66</v>
      </c>
      <c r="G5" s="391">
        <v>4012</v>
      </c>
      <c r="H5" s="392"/>
      <c r="I5" s="392">
        <v>4542</v>
      </c>
      <c r="J5" s="392">
        <v>4855</v>
      </c>
      <c r="K5" s="392">
        <v>5037</v>
      </c>
    </row>
    <row r="6" ht="17.4" hidden="1" spans="1:11">
      <c r="A6" s="387">
        <v>5</v>
      </c>
      <c r="B6" s="388" t="s">
        <v>44</v>
      </c>
      <c r="C6" s="389">
        <v>50002879</v>
      </c>
      <c r="D6" s="390">
        <v>2500</v>
      </c>
      <c r="E6" s="390">
        <v>2698</v>
      </c>
      <c r="F6" s="391">
        <v>3033.57</v>
      </c>
      <c r="G6" s="391">
        <v>3287</v>
      </c>
      <c r="H6" s="392"/>
      <c r="I6" s="392">
        <v>3545</v>
      </c>
      <c r="J6" s="392">
        <v>3673</v>
      </c>
      <c r="K6" s="392">
        <v>3743</v>
      </c>
    </row>
    <row r="7" ht="17.4" hidden="1" spans="1:11">
      <c r="A7" s="387">
        <v>6</v>
      </c>
      <c r="B7" s="388" t="s">
        <v>44</v>
      </c>
      <c r="C7" s="389">
        <v>50002865</v>
      </c>
      <c r="D7" s="390">
        <v>4614</v>
      </c>
      <c r="E7" s="390">
        <v>5036</v>
      </c>
      <c r="F7" s="391">
        <v>6545.69</v>
      </c>
      <c r="G7" s="391">
        <v>7860</v>
      </c>
      <c r="H7" s="392"/>
      <c r="I7" s="392">
        <v>8639</v>
      </c>
      <c r="J7" s="392">
        <v>8918</v>
      </c>
      <c r="K7" s="392">
        <v>9246</v>
      </c>
    </row>
    <row r="8" ht="17.4" hidden="1" spans="1:11">
      <c r="A8" s="387">
        <v>7</v>
      </c>
      <c r="B8" s="388" t="s">
        <v>44</v>
      </c>
      <c r="C8" s="389">
        <v>50002887</v>
      </c>
      <c r="D8" s="390">
        <v>5556</v>
      </c>
      <c r="E8" s="390">
        <v>6178</v>
      </c>
      <c r="F8" s="391">
        <v>7086</v>
      </c>
      <c r="G8" s="391"/>
      <c r="H8" s="392">
        <v>7678</v>
      </c>
      <c r="I8" s="392">
        <v>8272</v>
      </c>
      <c r="J8" s="392">
        <v>8725</v>
      </c>
      <c r="K8" s="392">
        <v>8864</v>
      </c>
    </row>
    <row r="9" ht="17.4" hidden="1" spans="1:11">
      <c r="A9" s="387">
        <v>8</v>
      </c>
      <c r="B9" s="388" t="s">
        <v>44</v>
      </c>
      <c r="C9" s="389">
        <v>50002846</v>
      </c>
      <c r="D9" s="390">
        <v>17</v>
      </c>
      <c r="E9" s="390">
        <v>62</v>
      </c>
      <c r="F9" s="391">
        <v>1347</v>
      </c>
      <c r="G9" s="391">
        <v>2312</v>
      </c>
      <c r="H9" s="392"/>
      <c r="I9" s="392">
        <v>3006</v>
      </c>
      <c r="J9" s="392">
        <v>3404</v>
      </c>
      <c r="K9" s="392">
        <v>3589</v>
      </c>
    </row>
    <row r="10" ht="17.4" hidden="1" spans="1:11">
      <c r="A10" s="387">
        <v>9</v>
      </c>
      <c r="B10" s="388" t="s">
        <v>44</v>
      </c>
      <c r="C10" s="389">
        <v>50002885</v>
      </c>
      <c r="D10" s="390">
        <v>9455</v>
      </c>
      <c r="E10" s="390">
        <v>10505</v>
      </c>
      <c r="F10" s="391">
        <v>11763</v>
      </c>
      <c r="G10" s="391"/>
      <c r="H10" s="392">
        <v>12689</v>
      </c>
      <c r="I10" s="392">
        <v>13606</v>
      </c>
      <c r="J10" s="392">
        <v>14226</v>
      </c>
      <c r="K10" s="392">
        <v>14595</v>
      </c>
    </row>
    <row r="11" ht="17.4" hidden="1" spans="1:11">
      <c r="A11" s="387">
        <v>10</v>
      </c>
      <c r="B11" s="388" t="s">
        <v>44</v>
      </c>
      <c r="C11" s="389">
        <v>50002850</v>
      </c>
      <c r="D11" s="390">
        <v>2297</v>
      </c>
      <c r="E11" s="390">
        <v>2548</v>
      </c>
      <c r="F11" s="391">
        <v>3196.09</v>
      </c>
      <c r="G11" s="391">
        <v>3549</v>
      </c>
      <c r="H11" s="392"/>
      <c r="I11" s="392">
        <v>3930</v>
      </c>
      <c r="J11" s="392">
        <v>4324</v>
      </c>
      <c r="K11" s="392">
        <v>4514</v>
      </c>
    </row>
    <row r="12" ht="17.4" hidden="1" spans="1:11">
      <c r="A12" s="387">
        <v>11</v>
      </c>
      <c r="B12" s="388" t="s">
        <v>44</v>
      </c>
      <c r="C12" s="389">
        <v>50002848</v>
      </c>
      <c r="D12" s="390">
        <v>1025</v>
      </c>
      <c r="E12" s="390">
        <v>1059</v>
      </c>
      <c r="F12" s="391">
        <v>1104.64</v>
      </c>
      <c r="G12" s="391">
        <v>1138</v>
      </c>
      <c r="H12" s="392"/>
      <c r="I12" s="392">
        <v>1173</v>
      </c>
      <c r="J12" s="401">
        <v>1194</v>
      </c>
      <c r="K12" s="392">
        <v>1203</v>
      </c>
    </row>
    <row r="13" ht="17.4" hidden="1" spans="1:11">
      <c r="A13" s="387">
        <v>12</v>
      </c>
      <c r="B13" s="388" t="s">
        <v>44</v>
      </c>
      <c r="C13" s="389">
        <v>50002847</v>
      </c>
      <c r="D13" s="390">
        <v>0</v>
      </c>
      <c r="E13" s="390">
        <v>0</v>
      </c>
      <c r="F13" s="391">
        <v>0</v>
      </c>
      <c r="G13" s="391"/>
      <c r="H13" s="392">
        <v>0</v>
      </c>
      <c r="I13" s="392">
        <v>34</v>
      </c>
      <c r="J13" s="392">
        <v>42</v>
      </c>
      <c r="K13" s="392">
        <v>43</v>
      </c>
    </row>
    <row r="14" ht="17.4" hidden="1" spans="1:11">
      <c r="A14" s="387">
        <v>13</v>
      </c>
      <c r="B14" s="388" t="s">
        <v>44</v>
      </c>
      <c r="C14" s="389">
        <v>50002739</v>
      </c>
      <c r="D14" s="390">
        <v>3754</v>
      </c>
      <c r="E14" s="390">
        <v>4117</v>
      </c>
      <c r="F14" s="391">
        <v>4598.5</v>
      </c>
      <c r="G14" s="391">
        <v>4840</v>
      </c>
      <c r="H14" s="392"/>
      <c r="I14" s="392">
        <v>5168</v>
      </c>
      <c r="J14" s="392">
        <v>5392</v>
      </c>
      <c r="K14" s="392">
        <v>5504</v>
      </c>
    </row>
    <row r="15" ht="17.4" hidden="1" spans="1:11">
      <c r="A15" s="387">
        <v>14</v>
      </c>
      <c r="B15" s="388" t="s">
        <v>44</v>
      </c>
      <c r="C15" s="389">
        <v>50002709</v>
      </c>
      <c r="D15" s="390">
        <v>0</v>
      </c>
      <c r="E15" s="390">
        <v>2</v>
      </c>
      <c r="F15" s="391">
        <v>26</v>
      </c>
      <c r="G15" s="391"/>
      <c r="H15" s="392">
        <v>95</v>
      </c>
      <c r="I15" s="392">
        <v>213</v>
      </c>
      <c r="J15" s="392">
        <v>501</v>
      </c>
      <c r="K15" s="392">
        <v>667</v>
      </c>
    </row>
    <row r="16" ht="17.4" hidden="1" spans="1:11">
      <c r="A16" s="387">
        <v>15</v>
      </c>
      <c r="B16" s="388" t="s">
        <v>44</v>
      </c>
      <c r="C16" s="389">
        <v>50002714</v>
      </c>
      <c r="D16" s="390">
        <v>426</v>
      </c>
      <c r="E16" s="390">
        <v>570</v>
      </c>
      <c r="F16" s="391">
        <v>570</v>
      </c>
      <c r="G16" s="391"/>
      <c r="H16" s="392">
        <v>571</v>
      </c>
      <c r="I16" s="392">
        <v>571</v>
      </c>
      <c r="J16" s="392">
        <v>571</v>
      </c>
      <c r="K16" s="392">
        <v>571</v>
      </c>
    </row>
    <row r="17" ht="17.4" hidden="1" spans="1:11">
      <c r="A17" s="387">
        <v>16</v>
      </c>
      <c r="B17" s="388" t="s">
        <v>44</v>
      </c>
      <c r="C17" s="389">
        <v>50002855</v>
      </c>
      <c r="D17" s="390">
        <v>455</v>
      </c>
      <c r="E17" s="390">
        <v>907</v>
      </c>
      <c r="F17" s="391">
        <v>1537.61</v>
      </c>
      <c r="G17" s="391">
        <v>2060</v>
      </c>
      <c r="H17" s="392"/>
      <c r="I17" s="392">
        <v>2536</v>
      </c>
      <c r="J17" s="392">
        <v>2846</v>
      </c>
      <c r="K17" s="392">
        <v>3048</v>
      </c>
    </row>
    <row r="18" ht="17.4" hidden="1" spans="1:11">
      <c r="A18" s="387">
        <v>17</v>
      </c>
      <c r="B18" s="388" t="s">
        <v>44</v>
      </c>
      <c r="C18" s="389">
        <v>50002877</v>
      </c>
      <c r="D18" s="390">
        <v>11075</v>
      </c>
      <c r="E18" s="390">
        <v>12991</v>
      </c>
      <c r="F18" s="391">
        <v>16647.34</v>
      </c>
      <c r="G18" s="391">
        <v>18767</v>
      </c>
      <c r="H18" s="392"/>
      <c r="I18" s="392">
        <v>20977</v>
      </c>
      <c r="J18" s="392">
        <v>22060</v>
      </c>
      <c r="K18" s="392">
        <v>22723</v>
      </c>
    </row>
    <row r="19" ht="17.4" hidden="1" spans="1:11">
      <c r="A19" s="387">
        <v>18</v>
      </c>
      <c r="B19" s="388" t="s">
        <v>44</v>
      </c>
      <c r="C19" s="393"/>
      <c r="D19" s="390">
        <v>0</v>
      </c>
      <c r="E19" s="390">
        <v>0</v>
      </c>
      <c r="F19" s="391">
        <v>0</v>
      </c>
      <c r="G19" s="391"/>
      <c r="H19" s="392">
        <v>0</v>
      </c>
      <c r="I19" s="392">
        <v>0</v>
      </c>
      <c r="J19" s="392">
        <v>0</v>
      </c>
      <c r="K19" s="392"/>
    </row>
    <row r="20" ht="17.4" hidden="1" spans="1:11">
      <c r="A20" s="387">
        <v>19</v>
      </c>
      <c r="B20" s="388" t="s">
        <v>44</v>
      </c>
      <c r="C20" s="389">
        <v>50002864</v>
      </c>
      <c r="D20" s="390">
        <v>2270</v>
      </c>
      <c r="E20" s="390">
        <v>2483</v>
      </c>
      <c r="F20" s="391">
        <v>2819.8</v>
      </c>
      <c r="G20" s="391">
        <v>3000</v>
      </c>
      <c r="H20" s="392"/>
      <c r="I20" s="392">
        <v>3203</v>
      </c>
      <c r="J20" s="392">
        <v>3327</v>
      </c>
      <c r="K20" s="392">
        <v>3415</v>
      </c>
    </row>
    <row r="21" ht="17.4" hidden="1" spans="1:11">
      <c r="A21" s="387">
        <v>20</v>
      </c>
      <c r="B21" s="388" t="s">
        <v>44</v>
      </c>
      <c r="C21" s="389">
        <v>50002710</v>
      </c>
      <c r="D21" s="390">
        <v>2601</v>
      </c>
      <c r="E21" s="390">
        <v>2781</v>
      </c>
      <c r="F21" s="391">
        <v>3120.21</v>
      </c>
      <c r="G21" s="391">
        <v>3389</v>
      </c>
      <c r="H21" s="392"/>
      <c r="I21" s="392">
        <v>3644</v>
      </c>
      <c r="J21" s="392">
        <v>3772</v>
      </c>
      <c r="K21" s="392">
        <v>3852</v>
      </c>
    </row>
    <row r="22" ht="17.4" hidden="1" spans="1:11">
      <c r="A22" s="387">
        <v>21</v>
      </c>
      <c r="B22" s="388" t="s">
        <v>44</v>
      </c>
      <c r="C22" s="389">
        <v>50002719</v>
      </c>
      <c r="D22" s="390">
        <v>1225</v>
      </c>
      <c r="E22" s="390">
        <v>1316</v>
      </c>
      <c r="F22" s="391">
        <v>1471.61</v>
      </c>
      <c r="G22" s="391">
        <v>1590</v>
      </c>
      <c r="H22" s="392"/>
      <c r="I22" s="392">
        <v>1682</v>
      </c>
      <c r="J22" s="392">
        <v>1735</v>
      </c>
      <c r="K22" s="392">
        <v>1774</v>
      </c>
    </row>
    <row r="23" ht="17.4" hidden="1" spans="1:11">
      <c r="A23" s="387">
        <v>22</v>
      </c>
      <c r="B23" s="388" t="s">
        <v>44</v>
      </c>
      <c r="C23" s="389">
        <v>50002876</v>
      </c>
      <c r="D23" s="390">
        <v>4040</v>
      </c>
      <c r="E23" s="390">
        <v>4239</v>
      </c>
      <c r="F23" s="391">
        <v>4589.33</v>
      </c>
      <c r="G23" s="391">
        <v>4843</v>
      </c>
      <c r="H23" s="392"/>
      <c r="I23" s="392">
        <v>5052</v>
      </c>
      <c r="J23" s="392">
        <v>5169</v>
      </c>
      <c r="K23" s="392">
        <v>5246</v>
      </c>
    </row>
    <row r="24" ht="17.4" hidden="1" spans="1:11">
      <c r="A24" s="387">
        <v>23</v>
      </c>
      <c r="B24" s="388" t="s">
        <v>44</v>
      </c>
      <c r="C24" s="389">
        <v>50002860</v>
      </c>
      <c r="D24" s="390">
        <v>2297</v>
      </c>
      <c r="E24" s="390">
        <v>2429</v>
      </c>
      <c r="F24" s="391">
        <v>2786.87</v>
      </c>
      <c r="G24" s="391">
        <v>3041</v>
      </c>
      <c r="H24" s="392"/>
      <c r="I24" s="392">
        <v>3181</v>
      </c>
      <c r="J24" s="392">
        <v>3257</v>
      </c>
      <c r="K24" s="392">
        <v>3312</v>
      </c>
    </row>
    <row r="25" ht="17.4" hidden="1" spans="1:11">
      <c r="A25" s="387">
        <v>24</v>
      </c>
      <c r="B25" s="388" t="s">
        <v>44</v>
      </c>
      <c r="C25" s="389">
        <v>50002649</v>
      </c>
      <c r="D25" s="390">
        <v>0</v>
      </c>
      <c r="E25" s="390">
        <v>0</v>
      </c>
      <c r="F25" s="391">
        <v>0</v>
      </c>
      <c r="G25" s="391"/>
      <c r="H25" s="392">
        <v>18</v>
      </c>
      <c r="I25" s="392">
        <v>27</v>
      </c>
      <c r="J25" s="392">
        <v>38</v>
      </c>
      <c r="K25" s="392">
        <v>41</v>
      </c>
    </row>
    <row r="26" ht="18" hidden="1" spans="1:11">
      <c r="A26" s="394" t="s">
        <v>334</v>
      </c>
      <c r="B26" s="388" t="s">
        <v>44</v>
      </c>
      <c r="C26" s="389">
        <v>40002686</v>
      </c>
      <c r="D26" s="390">
        <v>2686.84</v>
      </c>
      <c r="E26" s="390">
        <v>14090.38</v>
      </c>
      <c r="F26" s="390">
        <v>32077.16</v>
      </c>
      <c r="G26" s="391">
        <v>44721</v>
      </c>
      <c r="H26" s="390"/>
      <c r="I26" s="390">
        <v>59297</v>
      </c>
      <c r="J26" s="392">
        <v>67826</v>
      </c>
      <c r="K26" s="392">
        <v>73298</v>
      </c>
    </row>
    <row r="27" ht="17.4" hidden="1" spans="1:11">
      <c r="A27" s="387" t="s">
        <v>336</v>
      </c>
      <c r="B27" s="388" t="s">
        <v>44</v>
      </c>
      <c r="C27" s="389">
        <v>40002693</v>
      </c>
      <c r="D27" s="390">
        <v>0</v>
      </c>
      <c r="E27" s="390">
        <v>209.39</v>
      </c>
      <c r="F27" s="391">
        <v>1646.88</v>
      </c>
      <c r="G27" s="391">
        <v>2831</v>
      </c>
      <c r="H27" s="392"/>
      <c r="I27" s="392">
        <v>4535</v>
      </c>
      <c r="J27" s="392">
        <v>6152</v>
      </c>
      <c r="K27" s="392">
        <v>7172</v>
      </c>
    </row>
    <row r="28" ht="17.4" hidden="1" spans="1:11">
      <c r="A28" s="387" t="s">
        <v>339</v>
      </c>
      <c r="B28" s="388" t="s">
        <v>44</v>
      </c>
      <c r="C28" s="389">
        <v>50002858</v>
      </c>
      <c r="D28" s="390">
        <v>2819.46</v>
      </c>
      <c r="E28" s="390">
        <v>3565.94</v>
      </c>
      <c r="F28" s="391">
        <v>4127.37</v>
      </c>
      <c r="G28" s="391">
        <v>4326</v>
      </c>
      <c r="H28" s="392"/>
      <c r="I28" s="392">
        <v>4913</v>
      </c>
      <c r="J28" s="392">
        <v>5343</v>
      </c>
      <c r="K28" s="392">
        <v>5527</v>
      </c>
    </row>
    <row r="29" ht="18" hidden="1" spans="1:11">
      <c r="A29" s="395" t="s">
        <v>341</v>
      </c>
      <c r="B29" s="388" t="s">
        <v>44</v>
      </c>
      <c r="C29" s="389">
        <v>40002852</v>
      </c>
      <c r="D29" s="390"/>
      <c r="E29" s="390"/>
      <c r="F29" s="391"/>
      <c r="G29" s="391"/>
      <c r="H29" s="396"/>
      <c r="I29" s="396">
        <v>157</v>
      </c>
      <c r="J29" s="392">
        <v>166</v>
      </c>
      <c r="K29" s="392">
        <v>171</v>
      </c>
    </row>
    <row r="30" ht="18" hidden="1" spans="1:11">
      <c r="A30" s="397" t="s">
        <v>342</v>
      </c>
      <c r="B30" s="388" t="s">
        <v>44</v>
      </c>
      <c r="C30" s="389">
        <v>40002693</v>
      </c>
      <c r="D30" s="390"/>
      <c r="E30" s="390"/>
      <c r="F30" s="391"/>
      <c r="G30" s="391"/>
      <c r="H30" s="396"/>
      <c r="I30" s="396">
        <v>232</v>
      </c>
      <c r="J30" s="392">
        <v>251</v>
      </c>
      <c r="K30" s="392">
        <v>262</v>
      </c>
    </row>
    <row r="31" ht="17.4" hidden="1" spans="1:11">
      <c r="A31" s="387">
        <v>1</v>
      </c>
      <c r="B31" s="388" t="s">
        <v>48</v>
      </c>
      <c r="C31" s="398">
        <v>50003409</v>
      </c>
      <c r="D31" s="390">
        <v>4530</v>
      </c>
      <c r="E31" s="390">
        <v>4701</v>
      </c>
      <c r="F31" s="390">
        <v>5443.32</v>
      </c>
      <c r="G31" s="390"/>
      <c r="H31" s="396">
        <v>5990.04</v>
      </c>
      <c r="I31" s="396">
        <v>6200</v>
      </c>
      <c r="J31" s="396">
        <v>6302</v>
      </c>
      <c r="K31" s="392">
        <v>6361</v>
      </c>
    </row>
    <row r="32" ht="17.4" hidden="1" spans="1:11">
      <c r="A32" s="387">
        <v>2</v>
      </c>
      <c r="B32" s="388" t="s">
        <v>48</v>
      </c>
      <c r="C32" s="398">
        <v>50003436</v>
      </c>
      <c r="D32" s="390">
        <v>1679</v>
      </c>
      <c r="E32" s="390">
        <v>2331</v>
      </c>
      <c r="F32" s="390">
        <v>3416.3</v>
      </c>
      <c r="G32" s="390"/>
      <c r="H32" s="396">
        <v>3923.86</v>
      </c>
      <c r="I32" s="396">
        <v>4133</v>
      </c>
      <c r="J32" s="396">
        <v>4305</v>
      </c>
      <c r="K32" s="396">
        <v>4403</v>
      </c>
    </row>
    <row r="33" ht="17.4" hidden="1" spans="1:11">
      <c r="A33" s="387">
        <v>3</v>
      </c>
      <c r="B33" s="388" t="s">
        <v>48</v>
      </c>
      <c r="C33" s="398">
        <v>50004064</v>
      </c>
      <c r="D33" s="390">
        <v>594</v>
      </c>
      <c r="E33" s="390">
        <v>1137</v>
      </c>
      <c r="F33" s="390">
        <v>1765.3</v>
      </c>
      <c r="G33" s="390"/>
      <c r="H33" s="396">
        <v>2232.7</v>
      </c>
      <c r="I33" s="396">
        <v>2521</v>
      </c>
      <c r="J33" s="396">
        <v>2701</v>
      </c>
      <c r="K33" s="396">
        <v>2809</v>
      </c>
    </row>
    <row r="34" ht="17.4" hidden="1" spans="1:11">
      <c r="A34" s="387">
        <v>4</v>
      </c>
      <c r="B34" s="388" t="s">
        <v>48</v>
      </c>
      <c r="C34" s="398">
        <v>50003414</v>
      </c>
      <c r="D34" s="390">
        <v>102</v>
      </c>
      <c r="E34" s="390">
        <v>114</v>
      </c>
      <c r="F34" s="390">
        <v>126</v>
      </c>
      <c r="G34" s="390"/>
      <c r="H34" s="396">
        <v>156</v>
      </c>
      <c r="I34" s="396">
        <v>188</v>
      </c>
      <c r="J34" s="396">
        <v>268</v>
      </c>
      <c r="K34" s="396">
        <v>330</v>
      </c>
    </row>
    <row r="35" ht="17.4" hidden="1" spans="1:11">
      <c r="A35" s="387">
        <v>5</v>
      </c>
      <c r="B35" s="388" t="s">
        <v>48</v>
      </c>
      <c r="C35" s="398">
        <v>50003389</v>
      </c>
      <c r="D35" s="390">
        <v>10220</v>
      </c>
      <c r="E35" s="390">
        <v>10700</v>
      </c>
      <c r="F35" s="390">
        <v>11494.07</v>
      </c>
      <c r="G35" s="390"/>
      <c r="H35" s="396">
        <v>12012.6</v>
      </c>
      <c r="I35" s="396">
        <v>12384</v>
      </c>
      <c r="J35" s="396">
        <v>12657</v>
      </c>
      <c r="K35" s="396">
        <v>12840</v>
      </c>
    </row>
    <row r="36" ht="17.4" hidden="1" spans="1:11">
      <c r="A36" s="387">
        <v>6</v>
      </c>
      <c r="B36" s="388" t="s">
        <v>48</v>
      </c>
      <c r="C36" s="398">
        <v>50002969</v>
      </c>
      <c r="D36" s="390">
        <v>3937</v>
      </c>
      <c r="E36" s="390">
        <v>4341</v>
      </c>
      <c r="F36" s="390">
        <v>5453.28</v>
      </c>
      <c r="G36" s="390"/>
      <c r="H36" s="396">
        <v>6621.05</v>
      </c>
      <c r="I36" s="396">
        <v>7108</v>
      </c>
      <c r="J36" s="396">
        <v>7388</v>
      </c>
      <c r="K36" s="396">
        <v>7527</v>
      </c>
    </row>
    <row r="37" ht="17.4" hidden="1" spans="1:11">
      <c r="A37" s="387">
        <v>7</v>
      </c>
      <c r="B37" s="388" t="s">
        <v>48</v>
      </c>
      <c r="C37" s="398">
        <v>50002951</v>
      </c>
      <c r="D37" s="390">
        <v>6063</v>
      </c>
      <c r="E37" s="390">
        <v>6514</v>
      </c>
      <c r="F37" s="390">
        <v>7105.58</v>
      </c>
      <c r="G37" s="390"/>
      <c r="H37" s="396">
        <v>8010.78</v>
      </c>
      <c r="I37" s="396">
        <v>8532</v>
      </c>
      <c r="J37" s="396">
        <v>8816</v>
      </c>
      <c r="K37" s="396">
        <v>8960</v>
      </c>
    </row>
    <row r="38" ht="17.4" hidden="1" spans="1:11">
      <c r="A38" s="387">
        <v>8</v>
      </c>
      <c r="B38" s="388" t="s">
        <v>48</v>
      </c>
      <c r="C38" s="398">
        <v>50002959</v>
      </c>
      <c r="D38" s="390">
        <v>2378</v>
      </c>
      <c r="E38" s="390">
        <v>3049</v>
      </c>
      <c r="F38" s="390">
        <v>3644.67</v>
      </c>
      <c r="G38" s="390"/>
      <c r="H38" s="396">
        <v>4022.29</v>
      </c>
      <c r="I38" s="396">
        <v>4410</v>
      </c>
      <c r="J38" s="396">
        <v>4764</v>
      </c>
      <c r="K38" s="396">
        <v>5114</v>
      </c>
    </row>
    <row r="39" ht="17.4" hidden="1" spans="1:11">
      <c r="A39" s="387">
        <v>9</v>
      </c>
      <c r="B39" s="388" t="s">
        <v>48</v>
      </c>
      <c r="C39" s="393"/>
      <c r="D39" s="390">
        <v>0</v>
      </c>
      <c r="E39" s="390">
        <v>0</v>
      </c>
      <c r="F39" s="390">
        <v>0</v>
      </c>
      <c r="G39" s="390"/>
      <c r="H39" s="396"/>
      <c r="I39" s="396"/>
      <c r="J39" s="396"/>
      <c r="K39" s="396"/>
    </row>
    <row r="40" ht="17.4" hidden="1" spans="1:11">
      <c r="A40" s="387">
        <v>10</v>
      </c>
      <c r="B40" s="388" t="s">
        <v>48</v>
      </c>
      <c r="C40" s="398">
        <v>50003420</v>
      </c>
      <c r="D40" s="390">
        <v>4776</v>
      </c>
      <c r="E40" s="390">
        <v>5124</v>
      </c>
      <c r="F40" s="390">
        <v>5898.31</v>
      </c>
      <c r="G40" s="390"/>
      <c r="H40" s="396">
        <v>6484.91</v>
      </c>
      <c r="I40" s="396">
        <v>6876</v>
      </c>
      <c r="J40" s="396">
        <v>7104</v>
      </c>
      <c r="K40" s="396">
        <v>7203</v>
      </c>
    </row>
    <row r="41" ht="17.4" hidden="1" spans="1:11">
      <c r="A41" s="387">
        <v>11</v>
      </c>
      <c r="B41" s="388" t="s">
        <v>48</v>
      </c>
      <c r="C41" s="399">
        <v>50003410</v>
      </c>
      <c r="D41" s="390">
        <v>14777</v>
      </c>
      <c r="E41" s="390">
        <v>15333</v>
      </c>
      <c r="F41" s="390">
        <v>17203.61</v>
      </c>
      <c r="G41" s="390"/>
      <c r="H41" s="396">
        <v>19213.57</v>
      </c>
      <c r="I41" s="396">
        <v>20006</v>
      </c>
      <c r="J41" s="396">
        <v>20313</v>
      </c>
      <c r="K41" s="396">
        <v>20514</v>
      </c>
    </row>
    <row r="42" ht="17.4" hidden="1" spans="1:11">
      <c r="A42" s="387">
        <v>12</v>
      </c>
      <c r="B42" s="388" t="s">
        <v>48</v>
      </c>
      <c r="C42" s="398">
        <v>50003418</v>
      </c>
      <c r="D42" s="390">
        <v>4054</v>
      </c>
      <c r="E42" s="390">
        <v>4380</v>
      </c>
      <c r="F42" s="390">
        <v>4732.36</v>
      </c>
      <c r="G42" s="390"/>
      <c r="H42" s="396">
        <v>5001.61</v>
      </c>
      <c r="I42" s="396">
        <v>5260</v>
      </c>
      <c r="J42" s="396">
        <v>5448</v>
      </c>
      <c r="K42" s="396">
        <v>5560</v>
      </c>
    </row>
    <row r="43" ht="17.4" hidden="1" spans="1:11">
      <c r="A43" s="387">
        <v>13</v>
      </c>
      <c r="B43" s="388" t="s">
        <v>48</v>
      </c>
      <c r="C43" s="398">
        <v>50002859</v>
      </c>
      <c r="D43" s="390">
        <v>7149</v>
      </c>
      <c r="E43" s="390">
        <v>7632</v>
      </c>
      <c r="F43" s="390">
        <v>8977</v>
      </c>
      <c r="G43" s="390"/>
      <c r="H43" s="396">
        <v>10306.98</v>
      </c>
      <c r="I43" s="396">
        <v>10946</v>
      </c>
      <c r="J43" s="396">
        <v>11250</v>
      </c>
      <c r="K43" s="396">
        <v>11518</v>
      </c>
    </row>
    <row r="44" ht="17.4" hidden="1" spans="1:11">
      <c r="A44" s="387">
        <v>14</v>
      </c>
      <c r="B44" s="388" t="s">
        <v>48</v>
      </c>
      <c r="C44" s="398">
        <v>50003396</v>
      </c>
      <c r="D44" s="390">
        <v>183</v>
      </c>
      <c r="E44" s="390">
        <v>1359</v>
      </c>
      <c r="F44" s="390">
        <v>3065.4</v>
      </c>
      <c r="G44" s="390"/>
      <c r="H44" s="396">
        <v>4143.62</v>
      </c>
      <c r="I44" s="396">
        <v>4820</v>
      </c>
      <c r="J44" s="396">
        <v>5206</v>
      </c>
      <c r="K44" s="396">
        <v>5473</v>
      </c>
    </row>
    <row r="45" ht="17.4" hidden="1" spans="1:11">
      <c r="A45" s="387">
        <v>15</v>
      </c>
      <c r="B45" s="388" t="s">
        <v>48</v>
      </c>
      <c r="C45" s="398">
        <v>50003401</v>
      </c>
      <c r="D45" s="390">
        <v>3807</v>
      </c>
      <c r="E45" s="390">
        <v>4051</v>
      </c>
      <c r="F45" s="390">
        <v>4461.85</v>
      </c>
      <c r="G45" s="390"/>
      <c r="H45" s="396">
        <v>4721.91</v>
      </c>
      <c r="I45" s="396">
        <v>4892</v>
      </c>
      <c r="J45" s="396">
        <v>5040</v>
      </c>
      <c r="K45" s="396">
        <v>5128</v>
      </c>
    </row>
    <row r="46" ht="17.4" hidden="1" spans="1:11">
      <c r="A46" s="387">
        <v>16</v>
      </c>
      <c r="B46" s="388" t="s">
        <v>48</v>
      </c>
      <c r="C46" s="398">
        <v>50003430</v>
      </c>
      <c r="D46" s="390">
        <v>5421</v>
      </c>
      <c r="E46" s="390">
        <v>5869</v>
      </c>
      <c r="F46" s="390">
        <v>6394.51</v>
      </c>
      <c r="G46" s="390"/>
      <c r="H46" s="396">
        <v>6882.04</v>
      </c>
      <c r="I46" s="396">
        <v>7246</v>
      </c>
      <c r="J46" s="396">
        <v>7493</v>
      </c>
      <c r="K46" s="396">
        <v>7636</v>
      </c>
    </row>
    <row r="47" ht="17.4" hidden="1" spans="1:11">
      <c r="A47" s="387">
        <v>17</v>
      </c>
      <c r="B47" s="388" t="s">
        <v>48</v>
      </c>
      <c r="C47" s="398">
        <v>50003415</v>
      </c>
      <c r="D47" s="390">
        <v>4584</v>
      </c>
      <c r="E47" s="390">
        <v>4804</v>
      </c>
      <c r="F47" s="390">
        <v>5098</v>
      </c>
      <c r="G47" s="390"/>
      <c r="H47" s="396">
        <v>5177</v>
      </c>
      <c r="I47" s="396">
        <v>5345</v>
      </c>
      <c r="J47" s="396">
        <v>5548</v>
      </c>
      <c r="K47" s="396">
        <v>5629</v>
      </c>
    </row>
    <row r="48" ht="17.4" hidden="1" spans="1:11">
      <c r="A48" s="387">
        <v>18</v>
      </c>
      <c r="B48" s="388" t="s">
        <v>48</v>
      </c>
      <c r="C48" s="398">
        <v>50002895</v>
      </c>
      <c r="D48" s="390">
        <v>2598</v>
      </c>
      <c r="E48" s="390">
        <v>4059</v>
      </c>
      <c r="F48" s="390">
        <v>5447</v>
      </c>
      <c r="G48" s="390"/>
      <c r="H48" s="396">
        <v>6402</v>
      </c>
      <c r="I48" s="396">
        <v>7710</v>
      </c>
      <c r="J48" s="396">
        <v>8339</v>
      </c>
      <c r="K48" s="396">
        <v>8574</v>
      </c>
    </row>
    <row r="49" ht="17.4" hidden="1" spans="1:11">
      <c r="A49" s="387">
        <v>19</v>
      </c>
      <c r="B49" s="388" t="s">
        <v>48</v>
      </c>
      <c r="C49" s="398">
        <v>50003432</v>
      </c>
      <c r="D49" s="390">
        <v>2943</v>
      </c>
      <c r="E49" s="390">
        <v>3111</v>
      </c>
      <c r="F49" s="390">
        <v>3336.82</v>
      </c>
      <c r="G49" s="390"/>
      <c r="H49" s="396">
        <v>3477.55</v>
      </c>
      <c r="I49" s="396">
        <v>3621</v>
      </c>
      <c r="J49" s="396">
        <v>3734</v>
      </c>
      <c r="K49" s="396">
        <v>3797</v>
      </c>
    </row>
    <row r="50" ht="17.4" hidden="1" spans="1:11">
      <c r="A50" s="387">
        <v>20</v>
      </c>
      <c r="B50" s="388" t="s">
        <v>48</v>
      </c>
      <c r="C50" s="398">
        <v>50002972</v>
      </c>
      <c r="D50" s="390">
        <v>7692</v>
      </c>
      <c r="E50" s="390">
        <v>8257</v>
      </c>
      <c r="F50" s="390">
        <v>9309.98</v>
      </c>
      <c r="G50" s="390"/>
      <c r="H50" s="396">
        <v>10030.08</v>
      </c>
      <c r="I50" s="396">
        <v>10535</v>
      </c>
      <c r="J50" s="396">
        <v>10841</v>
      </c>
      <c r="K50" s="396">
        <v>11032</v>
      </c>
    </row>
    <row r="51" ht="17.4" hidden="1" spans="1:11">
      <c r="A51" s="387">
        <v>21</v>
      </c>
      <c r="B51" s="388" t="s">
        <v>48</v>
      </c>
      <c r="C51" s="398">
        <v>50002650</v>
      </c>
      <c r="D51" s="390">
        <v>8532</v>
      </c>
      <c r="E51" s="390">
        <v>9362</v>
      </c>
      <c r="F51" s="390">
        <v>10850.49</v>
      </c>
      <c r="G51" s="390"/>
      <c r="H51" s="396">
        <v>11951.93</v>
      </c>
      <c r="I51" s="396">
        <v>12589</v>
      </c>
      <c r="J51" s="396">
        <v>13063</v>
      </c>
      <c r="K51" s="396">
        <v>13391</v>
      </c>
    </row>
    <row r="52" ht="18" hidden="1" spans="1:11">
      <c r="A52" s="394" t="s">
        <v>334</v>
      </c>
      <c r="B52" s="388" t="s">
        <v>48</v>
      </c>
      <c r="C52" s="398">
        <v>40002670</v>
      </c>
      <c r="D52" s="390">
        <v>2994.53</v>
      </c>
      <c r="E52" s="390">
        <v>16774.87</v>
      </c>
      <c r="F52" s="390">
        <v>36287.57</v>
      </c>
      <c r="G52" s="390"/>
      <c r="H52" s="396">
        <v>53456</v>
      </c>
      <c r="I52" s="396">
        <v>65774</v>
      </c>
      <c r="J52" s="396">
        <v>73412</v>
      </c>
      <c r="K52" s="396">
        <v>78445</v>
      </c>
    </row>
    <row r="53" ht="17.4" hidden="1" spans="1:11">
      <c r="A53" s="387" t="s">
        <v>336</v>
      </c>
      <c r="B53" s="388" t="s">
        <v>48</v>
      </c>
      <c r="C53" s="398">
        <v>40002667</v>
      </c>
      <c r="D53" s="390">
        <v>0</v>
      </c>
      <c r="E53" s="390">
        <v>573.98</v>
      </c>
      <c r="F53" s="390">
        <v>2192.17</v>
      </c>
      <c r="G53" s="390"/>
      <c r="H53" s="396">
        <v>2917.32</v>
      </c>
      <c r="I53" s="396">
        <v>4038</v>
      </c>
      <c r="J53" s="396">
        <v>4645</v>
      </c>
      <c r="K53" s="396">
        <v>5054</v>
      </c>
    </row>
    <row r="54" ht="17.4" hidden="1" spans="1:11">
      <c r="A54" s="387" t="s">
        <v>339</v>
      </c>
      <c r="B54" s="388" t="s">
        <v>48</v>
      </c>
      <c r="C54" s="398">
        <v>50003399</v>
      </c>
      <c r="D54" s="390">
        <v>2962.64</v>
      </c>
      <c r="E54" s="390">
        <v>4507</v>
      </c>
      <c r="F54" s="390">
        <v>5116.63</v>
      </c>
      <c r="G54" s="390"/>
      <c r="H54" s="396">
        <v>5851.25</v>
      </c>
      <c r="I54" s="396">
        <v>7136</v>
      </c>
      <c r="J54" s="396">
        <v>8127</v>
      </c>
      <c r="K54" s="396">
        <v>8705</v>
      </c>
    </row>
    <row r="55" ht="18" hidden="1" spans="1:11">
      <c r="A55" s="395" t="s">
        <v>341</v>
      </c>
      <c r="B55" s="388" t="s">
        <v>48</v>
      </c>
      <c r="C55" s="398"/>
      <c r="D55" s="390"/>
      <c r="E55" s="390"/>
      <c r="F55" s="390"/>
      <c r="G55" s="390"/>
      <c r="H55" s="396"/>
      <c r="I55" s="396">
        <v>129</v>
      </c>
      <c r="J55" s="402">
        <v>129</v>
      </c>
      <c r="K55" s="402">
        <v>129</v>
      </c>
    </row>
    <row r="56" ht="18" hidden="1" spans="1:11">
      <c r="A56" s="397" t="s">
        <v>342</v>
      </c>
      <c r="B56" s="388" t="s">
        <v>48</v>
      </c>
      <c r="C56" s="398"/>
      <c r="D56" s="390"/>
      <c r="E56" s="390"/>
      <c r="F56" s="390"/>
      <c r="G56" s="390"/>
      <c r="H56" s="396"/>
      <c r="I56" s="396">
        <v>204</v>
      </c>
      <c r="J56" s="402">
        <v>204</v>
      </c>
      <c r="K56" s="402">
        <v>204</v>
      </c>
    </row>
    <row r="57" ht="17.4" hidden="1" spans="1:11">
      <c r="A57" s="387">
        <v>1</v>
      </c>
      <c r="B57" s="388" t="s">
        <v>52</v>
      </c>
      <c r="C57" s="398">
        <v>50003397</v>
      </c>
      <c r="D57" s="390">
        <v>6177</v>
      </c>
      <c r="E57" s="390">
        <v>6575</v>
      </c>
      <c r="F57" s="390">
        <v>7272.25</v>
      </c>
      <c r="G57" s="390"/>
      <c r="H57" s="396">
        <v>7838.17</v>
      </c>
      <c r="I57" s="396">
        <v>8252</v>
      </c>
      <c r="J57" s="396">
        <v>8549</v>
      </c>
      <c r="K57" s="396">
        <v>8747</v>
      </c>
    </row>
    <row r="58" ht="17.4" hidden="1" spans="1:11">
      <c r="A58" s="387">
        <v>2</v>
      </c>
      <c r="B58" s="388" t="s">
        <v>52</v>
      </c>
      <c r="C58" s="398">
        <v>50003402</v>
      </c>
      <c r="D58" s="390">
        <v>2694</v>
      </c>
      <c r="E58" s="390">
        <v>2919</v>
      </c>
      <c r="F58" s="390">
        <v>3307.24</v>
      </c>
      <c r="G58" s="390"/>
      <c r="H58" s="396">
        <v>3594.1</v>
      </c>
      <c r="I58" s="396">
        <v>3795</v>
      </c>
      <c r="J58" s="396">
        <v>3940</v>
      </c>
      <c r="K58" s="396">
        <v>4028</v>
      </c>
    </row>
    <row r="59" ht="17.4" hidden="1" spans="1:11">
      <c r="A59" s="387">
        <v>3</v>
      </c>
      <c r="B59" s="388" t="s">
        <v>52</v>
      </c>
      <c r="C59" s="398">
        <v>50003431</v>
      </c>
      <c r="D59" s="390">
        <v>1847</v>
      </c>
      <c r="E59" s="390">
        <v>2157</v>
      </c>
      <c r="F59" s="390">
        <v>2635.52</v>
      </c>
      <c r="G59" s="390"/>
      <c r="H59" s="396">
        <v>2961.07</v>
      </c>
      <c r="I59" s="396">
        <v>3227</v>
      </c>
      <c r="J59" s="396">
        <v>3414</v>
      </c>
      <c r="K59" s="396">
        <v>3513</v>
      </c>
    </row>
    <row r="60" ht="17.4" hidden="1" spans="1:11">
      <c r="A60" s="387">
        <v>4</v>
      </c>
      <c r="B60" s="388" t="s">
        <v>52</v>
      </c>
      <c r="C60" s="398">
        <v>50003394</v>
      </c>
      <c r="D60" s="390">
        <v>1137</v>
      </c>
      <c r="E60" s="390">
        <v>1399</v>
      </c>
      <c r="F60" s="390">
        <v>1985.58</v>
      </c>
      <c r="G60" s="390"/>
      <c r="H60" s="396">
        <v>2578.83</v>
      </c>
      <c r="I60" s="396">
        <v>2811</v>
      </c>
      <c r="J60" s="396">
        <v>2944</v>
      </c>
      <c r="K60" s="396">
        <v>3033</v>
      </c>
    </row>
    <row r="61" ht="17.4" hidden="1" spans="1:11">
      <c r="A61" s="387">
        <v>5</v>
      </c>
      <c r="B61" s="388" t="s">
        <v>52</v>
      </c>
      <c r="C61" s="398">
        <v>50003433</v>
      </c>
      <c r="D61" s="390">
        <v>3232</v>
      </c>
      <c r="E61" s="390">
        <v>4074</v>
      </c>
      <c r="F61" s="390">
        <v>4889.35</v>
      </c>
      <c r="G61" s="390"/>
      <c r="H61" s="396">
        <v>5089.98</v>
      </c>
      <c r="I61" s="396">
        <v>6084</v>
      </c>
      <c r="J61" s="396">
        <v>6727</v>
      </c>
      <c r="K61" s="396">
        <v>6998</v>
      </c>
    </row>
    <row r="62" ht="17.4" hidden="1" spans="1:11">
      <c r="A62" s="387">
        <v>6</v>
      </c>
      <c r="B62" s="387" t="s">
        <v>52</v>
      </c>
      <c r="C62" s="398">
        <v>50003421</v>
      </c>
      <c r="D62" s="390">
        <v>3268</v>
      </c>
      <c r="E62" s="390">
        <v>3601</v>
      </c>
      <c r="F62" s="390">
        <v>4367.83</v>
      </c>
      <c r="G62" s="390"/>
      <c r="H62" s="396">
        <v>5046.41</v>
      </c>
      <c r="I62" s="396">
        <v>5469</v>
      </c>
      <c r="J62" s="396">
        <v>5726</v>
      </c>
      <c r="K62" s="396">
        <v>5889</v>
      </c>
    </row>
    <row r="63" ht="17.4" hidden="1" spans="1:11">
      <c r="A63" s="387">
        <v>7</v>
      </c>
      <c r="B63" s="387" t="s">
        <v>52</v>
      </c>
      <c r="C63" s="398">
        <v>50002953</v>
      </c>
      <c r="D63" s="390">
        <v>119</v>
      </c>
      <c r="E63" s="390">
        <v>134</v>
      </c>
      <c r="F63" s="390">
        <v>144</v>
      </c>
      <c r="G63" s="390"/>
      <c r="H63" s="396">
        <v>160</v>
      </c>
      <c r="I63" s="396">
        <v>164</v>
      </c>
      <c r="J63" s="396">
        <v>164</v>
      </c>
      <c r="K63" s="396"/>
    </row>
    <row r="64" ht="17.4" hidden="1" spans="1:11">
      <c r="A64" s="387">
        <v>8</v>
      </c>
      <c r="B64" s="387" t="s">
        <v>52</v>
      </c>
      <c r="C64" s="398">
        <v>50003395</v>
      </c>
      <c r="D64" s="390">
        <v>9469</v>
      </c>
      <c r="E64" s="390">
        <v>9976</v>
      </c>
      <c r="F64" s="390">
        <v>10886</v>
      </c>
      <c r="G64" s="390"/>
      <c r="H64" s="396">
        <v>11948.49</v>
      </c>
      <c r="I64" s="396">
        <v>12726</v>
      </c>
      <c r="J64" s="396">
        <v>13095</v>
      </c>
      <c r="K64" s="396">
        <v>13279</v>
      </c>
    </row>
    <row r="65" ht="17.4" hidden="1" spans="1:11">
      <c r="A65" s="387">
        <v>9</v>
      </c>
      <c r="B65" s="387" t="s">
        <v>52</v>
      </c>
      <c r="C65" s="398">
        <v>50003435</v>
      </c>
      <c r="D65" s="390">
        <v>0</v>
      </c>
      <c r="E65" s="390"/>
      <c r="F65" s="390">
        <v>0</v>
      </c>
      <c r="G65" s="390"/>
      <c r="H65" s="396">
        <v>5</v>
      </c>
      <c r="I65" s="396">
        <v>76</v>
      </c>
      <c r="J65" s="396">
        <v>135</v>
      </c>
      <c r="K65" s="396"/>
    </row>
    <row r="66" ht="17.4" hidden="1" spans="1:11">
      <c r="A66" s="387">
        <v>10</v>
      </c>
      <c r="B66" s="387" t="s">
        <v>52</v>
      </c>
      <c r="C66" s="398">
        <v>50002952</v>
      </c>
      <c r="D66" s="390">
        <v>5326</v>
      </c>
      <c r="E66" s="390">
        <v>5685</v>
      </c>
      <c r="F66" s="390">
        <v>6174.26</v>
      </c>
      <c r="G66" s="390"/>
      <c r="H66" s="396">
        <v>6481.42</v>
      </c>
      <c r="I66" s="396">
        <v>6735</v>
      </c>
      <c r="J66" s="396">
        <v>6900</v>
      </c>
      <c r="K66" s="396">
        <v>6989</v>
      </c>
    </row>
    <row r="67" ht="17.4" hidden="1" spans="1:11">
      <c r="A67" s="387">
        <v>11</v>
      </c>
      <c r="B67" s="387" t="s">
        <v>52</v>
      </c>
      <c r="C67" s="398">
        <v>50002944</v>
      </c>
      <c r="D67" s="390">
        <v>0</v>
      </c>
      <c r="E67" s="390">
        <v>0</v>
      </c>
      <c r="F67" s="390">
        <v>7</v>
      </c>
      <c r="G67" s="390"/>
      <c r="H67" s="396">
        <v>24</v>
      </c>
      <c r="I67" s="396">
        <v>36</v>
      </c>
      <c r="J67" s="396">
        <v>149</v>
      </c>
      <c r="K67" s="396"/>
    </row>
    <row r="68" ht="17.4" hidden="1" spans="1:11">
      <c r="A68" s="387">
        <v>12</v>
      </c>
      <c r="B68" s="387" t="s">
        <v>52</v>
      </c>
      <c r="C68" s="398">
        <v>3308026898</v>
      </c>
      <c r="D68" s="390">
        <v>5</v>
      </c>
      <c r="E68" s="390">
        <v>145</v>
      </c>
      <c r="F68" s="390">
        <v>644</v>
      </c>
      <c r="G68" s="390"/>
      <c r="H68" s="396">
        <v>1411.81</v>
      </c>
      <c r="I68" s="396">
        <v>1704.76</v>
      </c>
      <c r="J68" s="396">
        <v>1835.49</v>
      </c>
      <c r="K68" s="396">
        <v>1900.16</v>
      </c>
    </row>
    <row r="69" ht="17.4" hidden="1" spans="1:11">
      <c r="A69" s="387">
        <v>13</v>
      </c>
      <c r="B69" s="387" t="s">
        <v>52</v>
      </c>
      <c r="C69" s="398">
        <v>50003424</v>
      </c>
      <c r="D69" s="390">
        <v>4602</v>
      </c>
      <c r="E69" s="390">
        <v>4723</v>
      </c>
      <c r="F69" s="390">
        <v>5053.76</v>
      </c>
      <c r="G69" s="390"/>
      <c r="H69" s="396">
        <v>5542.59</v>
      </c>
      <c r="I69" s="396">
        <v>6030</v>
      </c>
      <c r="J69" s="396">
        <v>6168</v>
      </c>
      <c r="K69" s="396">
        <v>6221</v>
      </c>
    </row>
    <row r="70" ht="17.4" hidden="1" spans="1:11">
      <c r="A70" s="387">
        <v>14</v>
      </c>
      <c r="B70" s="387" t="s">
        <v>52</v>
      </c>
      <c r="C70" s="398">
        <v>50003438</v>
      </c>
      <c r="D70" s="390">
        <v>10279</v>
      </c>
      <c r="E70" s="390">
        <v>10681</v>
      </c>
      <c r="F70" s="390">
        <v>11670.13</v>
      </c>
      <c r="G70" s="390"/>
      <c r="H70" s="396">
        <v>12371.82</v>
      </c>
      <c r="I70" s="396">
        <v>12736</v>
      </c>
      <c r="J70" s="396">
        <v>13010</v>
      </c>
      <c r="K70" s="396">
        <v>13164</v>
      </c>
    </row>
    <row r="71" ht="17.4" hidden="1" spans="1:11">
      <c r="A71" s="387">
        <v>15</v>
      </c>
      <c r="B71" s="387" t="s">
        <v>52</v>
      </c>
      <c r="C71" s="398">
        <v>50003404</v>
      </c>
      <c r="D71" s="390">
        <v>4850</v>
      </c>
      <c r="E71" s="390">
        <v>5295</v>
      </c>
      <c r="F71" s="390">
        <v>5967.28</v>
      </c>
      <c r="G71" s="390"/>
      <c r="H71" s="396">
        <v>6566.27</v>
      </c>
      <c r="I71" s="396">
        <v>7111</v>
      </c>
      <c r="J71" s="396">
        <v>7404</v>
      </c>
      <c r="K71" s="396">
        <v>7561</v>
      </c>
    </row>
    <row r="72" ht="17.4" hidden="1" spans="1:11">
      <c r="A72" s="387">
        <v>16</v>
      </c>
      <c r="B72" s="387" t="s">
        <v>52</v>
      </c>
      <c r="C72" s="398">
        <v>50003419</v>
      </c>
      <c r="D72" s="390">
        <v>4762</v>
      </c>
      <c r="E72" s="390">
        <v>5338</v>
      </c>
      <c r="F72" s="390">
        <v>6243.76</v>
      </c>
      <c r="G72" s="390"/>
      <c r="H72" s="396">
        <v>6963.45</v>
      </c>
      <c r="I72" s="396">
        <v>7360</v>
      </c>
      <c r="J72" s="396">
        <v>7627</v>
      </c>
      <c r="K72" s="396">
        <v>7763</v>
      </c>
    </row>
    <row r="73" ht="17.4" hidden="1" spans="1:11">
      <c r="A73" s="387">
        <v>17</v>
      </c>
      <c r="B73" s="387" t="s">
        <v>52</v>
      </c>
      <c r="C73" s="398">
        <v>50003428</v>
      </c>
      <c r="D73" s="390">
        <v>6</v>
      </c>
      <c r="E73" s="390">
        <v>14</v>
      </c>
      <c r="F73" s="390">
        <v>48</v>
      </c>
      <c r="G73" s="390"/>
      <c r="H73" s="396">
        <v>195</v>
      </c>
      <c r="I73" s="396">
        <v>227</v>
      </c>
      <c r="J73" s="396">
        <v>279</v>
      </c>
      <c r="K73" s="396"/>
    </row>
    <row r="74" ht="17.4" hidden="1" spans="1:11">
      <c r="A74" s="387">
        <v>18</v>
      </c>
      <c r="B74" s="387" t="s">
        <v>52</v>
      </c>
      <c r="C74" s="398">
        <v>50002935</v>
      </c>
      <c r="D74" s="390">
        <v>0</v>
      </c>
      <c r="E74" s="390"/>
      <c r="F74" s="390">
        <v>881.37</v>
      </c>
      <c r="G74" s="390"/>
      <c r="H74" s="396">
        <v>2710.92</v>
      </c>
      <c r="I74" s="396">
        <v>4379</v>
      </c>
      <c r="J74" s="396">
        <v>5697</v>
      </c>
      <c r="K74" s="396">
        <v>6007</v>
      </c>
    </row>
    <row r="75" ht="17.4" hidden="1" spans="1:11">
      <c r="A75" s="387">
        <v>19</v>
      </c>
      <c r="B75" s="387" t="s">
        <v>52</v>
      </c>
      <c r="C75" s="398">
        <v>50003417</v>
      </c>
      <c r="D75" s="390">
        <v>6873</v>
      </c>
      <c r="E75" s="390">
        <v>7464</v>
      </c>
      <c r="F75" s="390">
        <v>8646.84</v>
      </c>
      <c r="G75" s="390"/>
      <c r="H75" s="396">
        <v>9744.86</v>
      </c>
      <c r="I75" s="396">
        <v>10411</v>
      </c>
      <c r="J75" s="396">
        <v>10756</v>
      </c>
      <c r="K75" s="396">
        <v>10951</v>
      </c>
    </row>
    <row r="76" ht="17.4" hidden="1" spans="1:11">
      <c r="A76" s="387" t="s">
        <v>334</v>
      </c>
      <c r="B76" s="387" t="s">
        <v>52</v>
      </c>
      <c r="C76" s="398">
        <v>40002722</v>
      </c>
      <c r="D76" s="390">
        <v>1886.05</v>
      </c>
      <c r="E76" s="390">
        <v>11537.28</v>
      </c>
      <c r="F76" s="390">
        <v>24413.85</v>
      </c>
      <c r="G76" s="390"/>
      <c r="H76" s="396">
        <v>36340.52</v>
      </c>
      <c r="I76" s="396">
        <v>42252</v>
      </c>
      <c r="J76" s="396">
        <v>47738</v>
      </c>
      <c r="K76" s="396">
        <v>50626</v>
      </c>
    </row>
    <row r="77" ht="17.4" hidden="1" spans="1:11">
      <c r="A77" s="387" t="s">
        <v>336</v>
      </c>
      <c r="B77" s="387" t="s">
        <v>52</v>
      </c>
      <c r="C77" s="398">
        <v>40002728</v>
      </c>
      <c r="D77" s="390">
        <v>0</v>
      </c>
      <c r="E77" s="390">
        <v>0</v>
      </c>
      <c r="F77" s="390">
        <v>0</v>
      </c>
      <c r="G77" s="390"/>
      <c r="H77" s="396">
        <v>0</v>
      </c>
      <c r="I77" s="409">
        <v>7349</v>
      </c>
      <c r="J77" s="396">
        <v>9137</v>
      </c>
      <c r="K77" s="396"/>
    </row>
    <row r="78" ht="17.4" hidden="1" spans="1:11">
      <c r="A78" s="387" t="s">
        <v>339</v>
      </c>
      <c r="B78" s="387" t="s">
        <v>52</v>
      </c>
      <c r="C78" s="398">
        <v>50003429</v>
      </c>
      <c r="D78" s="390">
        <v>1885.1</v>
      </c>
      <c r="E78" s="390">
        <v>2434.68</v>
      </c>
      <c r="F78" s="390">
        <v>2817.94</v>
      </c>
      <c r="G78" s="390"/>
      <c r="H78" s="396">
        <v>3213.91</v>
      </c>
      <c r="I78" s="396">
        <v>3640</v>
      </c>
      <c r="J78" s="396">
        <v>4070</v>
      </c>
      <c r="K78" s="396">
        <v>4295</v>
      </c>
    </row>
    <row r="79" ht="17.4" hidden="1" spans="1:11">
      <c r="A79" s="387" t="s">
        <v>341</v>
      </c>
      <c r="B79" s="387" t="s">
        <v>52</v>
      </c>
      <c r="C79" s="398">
        <v>50003406</v>
      </c>
      <c r="D79" s="390"/>
      <c r="E79" s="390"/>
      <c r="F79" s="390"/>
      <c r="G79" s="390"/>
      <c r="H79" s="396"/>
      <c r="I79" s="396">
        <v>149</v>
      </c>
      <c r="J79" s="396">
        <v>162</v>
      </c>
      <c r="K79" s="396"/>
    </row>
    <row r="80" ht="17.4" hidden="1" spans="1:11">
      <c r="A80" s="387" t="s">
        <v>342</v>
      </c>
      <c r="B80" s="387" t="s">
        <v>52</v>
      </c>
      <c r="C80" s="398">
        <v>50003408</v>
      </c>
      <c r="D80" s="390"/>
      <c r="E80" s="390"/>
      <c r="F80" s="390"/>
      <c r="G80" s="390"/>
      <c r="H80" s="396"/>
      <c r="I80" s="396">
        <v>128</v>
      </c>
      <c r="J80" s="396">
        <v>143</v>
      </c>
      <c r="K80" s="396"/>
    </row>
    <row r="81" ht="17.4" hidden="1" spans="1:11">
      <c r="A81" s="387">
        <v>1</v>
      </c>
      <c r="B81" s="388" t="s">
        <v>54</v>
      </c>
      <c r="C81" s="398">
        <v>50002920</v>
      </c>
      <c r="D81" s="390"/>
      <c r="E81" s="390">
        <v>0</v>
      </c>
      <c r="F81" s="390"/>
      <c r="G81" s="390">
        <v>7</v>
      </c>
      <c r="H81" s="396"/>
      <c r="I81" s="396">
        <v>17</v>
      </c>
      <c r="J81" s="396"/>
      <c r="K81" s="396">
        <v>42</v>
      </c>
    </row>
    <row r="82" ht="17.4" hidden="1" spans="1:11">
      <c r="A82" s="387">
        <v>2</v>
      </c>
      <c r="B82" s="388" t="s">
        <v>54</v>
      </c>
      <c r="C82" s="398">
        <v>50002903</v>
      </c>
      <c r="D82" s="390"/>
      <c r="E82" s="390">
        <v>3112</v>
      </c>
      <c r="F82" s="390"/>
      <c r="G82" s="390">
        <v>3903</v>
      </c>
      <c r="H82" s="396"/>
      <c r="I82" s="396">
        <v>4264</v>
      </c>
      <c r="J82" s="396">
        <v>4504</v>
      </c>
      <c r="K82" s="396">
        <v>4655</v>
      </c>
    </row>
    <row r="83" ht="17.4" hidden="1" spans="1:11">
      <c r="A83" s="387">
        <v>3</v>
      </c>
      <c r="B83" s="388" t="s">
        <v>54</v>
      </c>
      <c r="C83" s="398"/>
      <c r="D83" s="390"/>
      <c r="E83" s="390">
        <v>0</v>
      </c>
      <c r="F83" s="390"/>
      <c r="G83" s="390">
        <v>0</v>
      </c>
      <c r="H83" s="396"/>
      <c r="I83" s="396"/>
      <c r="J83" s="396"/>
      <c r="K83" s="396"/>
    </row>
    <row r="84" ht="17.4" hidden="1" spans="1:11">
      <c r="A84" s="387">
        <v>4</v>
      </c>
      <c r="B84" s="388" t="s">
        <v>54</v>
      </c>
      <c r="C84" s="398"/>
      <c r="D84" s="390"/>
      <c r="E84" s="390">
        <v>0</v>
      </c>
      <c r="F84" s="390"/>
      <c r="G84" s="390">
        <v>0</v>
      </c>
      <c r="H84" s="396"/>
      <c r="I84" s="396"/>
      <c r="J84" s="396"/>
      <c r="K84" s="396"/>
    </row>
    <row r="85" ht="17.4" hidden="1" spans="1:11">
      <c r="A85" s="387">
        <v>5</v>
      </c>
      <c r="B85" s="388" t="s">
        <v>54</v>
      </c>
      <c r="C85" s="398">
        <v>50002911</v>
      </c>
      <c r="D85" s="390"/>
      <c r="E85" s="390">
        <v>3539</v>
      </c>
      <c r="F85" s="390"/>
      <c r="G85" s="390">
        <v>6860</v>
      </c>
      <c r="H85" s="396"/>
      <c r="I85" s="396">
        <v>7368</v>
      </c>
      <c r="J85" s="396">
        <v>7592</v>
      </c>
      <c r="K85" s="396">
        <v>7728</v>
      </c>
    </row>
    <row r="86" ht="17.4" hidden="1" spans="1:11">
      <c r="A86" s="387">
        <v>6</v>
      </c>
      <c r="B86" s="388" t="s">
        <v>54</v>
      </c>
      <c r="C86" s="398"/>
      <c r="D86" s="390"/>
      <c r="E86" s="390">
        <v>0</v>
      </c>
      <c r="F86" s="390"/>
      <c r="G86" s="390">
        <v>0</v>
      </c>
      <c r="H86" s="396"/>
      <c r="I86" s="396"/>
      <c r="J86" s="396"/>
      <c r="K86" s="396"/>
    </row>
    <row r="87" ht="17.4" hidden="1" spans="1:11">
      <c r="A87" s="387">
        <v>7</v>
      </c>
      <c r="B87" s="388" t="s">
        <v>54</v>
      </c>
      <c r="C87" s="398"/>
      <c r="D87" s="390"/>
      <c r="E87" s="390">
        <v>0</v>
      </c>
      <c r="F87" s="390"/>
      <c r="G87" s="390">
        <v>0</v>
      </c>
      <c r="H87" s="396"/>
      <c r="I87" s="396"/>
      <c r="J87" s="396"/>
      <c r="K87" s="396">
        <v>0</v>
      </c>
    </row>
    <row r="88" ht="17.4" hidden="1" spans="1:11">
      <c r="A88" s="387">
        <v>8</v>
      </c>
      <c r="B88" s="388" t="s">
        <v>54</v>
      </c>
      <c r="C88" s="398"/>
      <c r="D88" s="390"/>
      <c r="E88" s="390">
        <v>0</v>
      </c>
      <c r="F88" s="390"/>
      <c r="G88" s="390">
        <v>0</v>
      </c>
      <c r="H88" s="396"/>
      <c r="I88" s="396"/>
      <c r="J88" s="396"/>
      <c r="K88" s="396"/>
    </row>
    <row r="89" ht="17.4" hidden="1" spans="1:11">
      <c r="A89" s="387">
        <v>9</v>
      </c>
      <c r="B89" s="388" t="s">
        <v>54</v>
      </c>
      <c r="C89" s="398">
        <v>50002909</v>
      </c>
      <c r="D89" s="390"/>
      <c r="E89" s="390">
        <v>11631</v>
      </c>
      <c r="F89" s="390"/>
      <c r="G89" s="390">
        <v>16215</v>
      </c>
      <c r="H89" s="396"/>
      <c r="I89" s="396">
        <v>18671</v>
      </c>
      <c r="J89" s="396">
        <v>20407</v>
      </c>
      <c r="K89" s="396">
        <v>21306</v>
      </c>
    </row>
    <row r="90" ht="17.4" hidden="1" spans="1:11">
      <c r="A90" s="387">
        <v>10</v>
      </c>
      <c r="B90" s="388" t="s">
        <v>54</v>
      </c>
      <c r="C90" s="398"/>
      <c r="D90" s="390"/>
      <c r="E90" s="390">
        <v>0</v>
      </c>
      <c r="F90" s="390"/>
      <c r="G90" s="390">
        <v>0</v>
      </c>
      <c r="H90" s="396"/>
      <c r="I90" s="396"/>
      <c r="J90" s="396"/>
      <c r="K90" s="396"/>
    </row>
    <row r="91" ht="17.4" hidden="1" spans="1:11">
      <c r="A91" s="387">
        <v>11</v>
      </c>
      <c r="B91" s="388" t="s">
        <v>54</v>
      </c>
      <c r="C91" s="398"/>
      <c r="D91" s="390"/>
      <c r="E91" s="390">
        <v>0</v>
      </c>
      <c r="F91" s="390"/>
      <c r="G91" s="390">
        <v>0</v>
      </c>
      <c r="H91" s="396"/>
      <c r="I91" s="396"/>
      <c r="J91" s="396"/>
      <c r="K91" s="396"/>
    </row>
    <row r="92" ht="17.4" hidden="1" spans="1:11">
      <c r="A92" s="387">
        <v>12</v>
      </c>
      <c r="B92" s="388" t="s">
        <v>54</v>
      </c>
      <c r="C92" s="398">
        <v>50002897</v>
      </c>
      <c r="D92" s="390"/>
      <c r="E92" s="390">
        <v>5181</v>
      </c>
      <c r="F92" s="390"/>
      <c r="G92" s="390">
        <v>6991</v>
      </c>
      <c r="H92" s="396"/>
      <c r="I92" s="396">
        <v>7897</v>
      </c>
      <c r="J92" s="396">
        <v>8462</v>
      </c>
      <c r="K92" s="396">
        <v>8807</v>
      </c>
    </row>
    <row r="93" ht="17.4" hidden="1" spans="1:11">
      <c r="A93" s="387">
        <v>13</v>
      </c>
      <c r="B93" s="388" t="s">
        <v>54</v>
      </c>
      <c r="C93" s="398">
        <v>50002839</v>
      </c>
      <c r="D93" s="390"/>
      <c r="E93" s="390">
        <v>1740</v>
      </c>
      <c r="F93" s="390"/>
      <c r="G93" s="390">
        <v>3194</v>
      </c>
      <c r="H93" s="396"/>
      <c r="I93" s="396">
        <v>3610</v>
      </c>
      <c r="J93" s="396">
        <v>3840</v>
      </c>
      <c r="K93" s="396">
        <v>3997</v>
      </c>
    </row>
    <row r="94" ht="17.4" hidden="1" spans="1:11">
      <c r="A94" s="387">
        <v>14</v>
      </c>
      <c r="B94" s="388" t="s">
        <v>54</v>
      </c>
      <c r="C94" s="398">
        <v>50002863</v>
      </c>
      <c r="D94" s="390"/>
      <c r="E94" s="390">
        <v>1157</v>
      </c>
      <c r="F94" s="390"/>
      <c r="G94" s="390">
        <v>2480</v>
      </c>
      <c r="H94" s="396"/>
      <c r="I94" s="396">
        <v>2707</v>
      </c>
      <c r="J94" s="396">
        <v>2843</v>
      </c>
      <c r="K94" s="396">
        <v>2927</v>
      </c>
    </row>
    <row r="95" ht="17.4" hidden="1" spans="1:11">
      <c r="A95" s="387">
        <v>15</v>
      </c>
      <c r="B95" s="388" t="s">
        <v>54</v>
      </c>
      <c r="C95" s="398">
        <v>50002947</v>
      </c>
      <c r="D95" s="390"/>
      <c r="E95" s="390">
        <v>131</v>
      </c>
      <c r="F95" s="390"/>
      <c r="G95" s="390">
        <v>1108</v>
      </c>
      <c r="H95" s="396"/>
      <c r="I95" s="396">
        <v>1489</v>
      </c>
      <c r="J95" s="396">
        <v>1726</v>
      </c>
      <c r="K95" s="396">
        <v>1885</v>
      </c>
    </row>
    <row r="96" ht="17.4" hidden="1" spans="1:11">
      <c r="A96" s="387">
        <v>16</v>
      </c>
      <c r="B96" s="388" t="s">
        <v>54</v>
      </c>
      <c r="C96" s="398"/>
      <c r="D96" s="390"/>
      <c r="E96" s="390">
        <v>0</v>
      </c>
      <c r="F96" s="390"/>
      <c r="G96" s="390">
        <v>0</v>
      </c>
      <c r="H96" s="396"/>
      <c r="I96" s="396"/>
      <c r="J96" s="396"/>
      <c r="K96" s="396"/>
    </row>
    <row r="97" ht="17.4" hidden="1" spans="1:11">
      <c r="A97" s="387">
        <v>17</v>
      </c>
      <c r="B97" s="388" t="s">
        <v>54</v>
      </c>
      <c r="C97" s="398">
        <v>50002902</v>
      </c>
      <c r="D97" s="390"/>
      <c r="E97" s="390">
        <v>1331</v>
      </c>
      <c r="F97" s="390"/>
      <c r="G97" s="390">
        <v>2233</v>
      </c>
      <c r="H97" s="396"/>
      <c r="I97" s="396">
        <v>2464</v>
      </c>
      <c r="J97" s="396">
        <v>2630</v>
      </c>
      <c r="K97" s="396">
        <v>2713</v>
      </c>
    </row>
    <row r="98" ht="17.4" hidden="1" spans="1:11">
      <c r="A98" s="387">
        <v>18</v>
      </c>
      <c r="B98" s="388" t="s">
        <v>54</v>
      </c>
      <c r="C98" s="398">
        <v>50002950</v>
      </c>
      <c r="D98" s="390"/>
      <c r="E98" s="390">
        <v>1201</v>
      </c>
      <c r="F98" s="390"/>
      <c r="G98" s="390">
        <v>2088</v>
      </c>
      <c r="H98" s="396"/>
      <c r="I98" s="396">
        <v>2302</v>
      </c>
      <c r="J98" s="396">
        <v>2449</v>
      </c>
      <c r="K98" s="396">
        <v>2527</v>
      </c>
    </row>
    <row r="99" ht="17.4" hidden="1" spans="1:11">
      <c r="A99" s="387">
        <v>19</v>
      </c>
      <c r="B99" s="388" t="s">
        <v>54</v>
      </c>
      <c r="C99" s="398">
        <v>50002936</v>
      </c>
      <c r="D99" s="390"/>
      <c r="E99" s="390">
        <v>1265</v>
      </c>
      <c r="F99" s="390"/>
      <c r="G99" s="390">
        <v>3040</v>
      </c>
      <c r="H99" s="396"/>
      <c r="I99" s="396">
        <v>3568</v>
      </c>
      <c r="J99" s="396">
        <v>3832</v>
      </c>
      <c r="K99" s="396">
        <v>4004</v>
      </c>
    </row>
    <row r="100" ht="17.4" hidden="1" spans="1:11">
      <c r="A100" s="387">
        <v>20</v>
      </c>
      <c r="B100" s="388" t="s">
        <v>54</v>
      </c>
      <c r="C100" s="398"/>
      <c r="D100" s="390"/>
      <c r="E100" s="390">
        <v>0</v>
      </c>
      <c r="F100" s="390"/>
      <c r="G100" s="390">
        <v>0</v>
      </c>
      <c r="H100" s="396"/>
      <c r="I100" s="396"/>
      <c r="J100" s="396"/>
      <c r="K100" s="396"/>
    </row>
    <row r="101" ht="17.4" hidden="1" spans="1:11">
      <c r="A101" s="387">
        <v>21</v>
      </c>
      <c r="B101" s="388" t="s">
        <v>54</v>
      </c>
      <c r="C101" s="398">
        <v>50002922</v>
      </c>
      <c r="D101" s="390"/>
      <c r="E101" s="390">
        <v>5446</v>
      </c>
      <c r="F101" s="390"/>
      <c r="G101" s="390">
        <v>6429</v>
      </c>
      <c r="H101" s="396"/>
      <c r="I101" s="396">
        <v>6720</v>
      </c>
      <c r="J101" s="396"/>
      <c r="K101" s="396">
        <v>6994</v>
      </c>
    </row>
    <row r="102" ht="17.4" hidden="1" spans="1:11">
      <c r="A102" s="387">
        <v>22</v>
      </c>
      <c r="B102" s="388" t="s">
        <v>54</v>
      </c>
      <c r="C102" s="398"/>
      <c r="D102" s="390"/>
      <c r="E102" s="390">
        <v>0</v>
      </c>
      <c r="F102" s="390"/>
      <c r="G102" s="390">
        <v>0</v>
      </c>
      <c r="H102" s="396"/>
      <c r="I102" s="396"/>
      <c r="J102" s="396"/>
      <c r="K102" s="396"/>
    </row>
    <row r="103" ht="17.4" hidden="1" spans="1:11">
      <c r="A103" s="387">
        <v>23</v>
      </c>
      <c r="B103" s="388" t="s">
        <v>54</v>
      </c>
      <c r="C103" s="398">
        <v>50002928</v>
      </c>
      <c r="D103" s="390"/>
      <c r="E103" s="390">
        <v>2659</v>
      </c>
      <c r="F103" s="390"/>
      <c r="G103" s="390">
        <v>4233</v>
      </c>
      <c r="H103" s="396"/>
      <c r="I103" s="396">
        <v>4923</v>
      </c>
      <c r="J103" s="396"/>
      <c r="K103" s="396">
        <v>5638</v>
      </c>
    </row>
    <row r="104" ht="18" hidden="1" spans="1:11">
      <c r="A104" s="394" t="s">
        <v>334</v>
      </c>
      <c r="B104" s="388" t="s">
        <v>54</v>
      </c>
      <c r="C104" s="398">
        <v>2902000692</v>
      </c>
      <c r="D104" s="390"/>
      <c r="E104" s="390">
        <v>0</v>
      </c>
      <c r="F104" s="390"/>
      <c r="G104" s="390">
        <v>1873.53</v>
      </c>
      <c r="H104" s="396"/>
      <c r="I104" s="396">
        <v>9894.16</v>
      </c>
      <c r="J104" s="396">
        <v>14827.34</v>
      </c>
      <c r="K104" s="396">
        <v>17768.15</v>
      </c>
    </row>
    <row r="105" ht="17.4" hidden="1" spans="1:11">
      <c r="A105" s="387" t="s">
        <v>336</v>
      </c>
      <c r="B105" s="388" t="s">
        <v>54</v>
      </c>
      <c r="C105" s="398">
        <v>2902000696</v>
      </c>
      <c r="D105" s="390"/>
      <c r="E105" s="390">
        <v>0</v>
      </c>
      <c r="F105" s="390"/>
      <c r="G105" s="390">
        <v>0</v>
      </c>
      <c r="H105" s="396"/>
      <c r="I105" s="396"/>
      <c r="J105" s="396"/>
      <c r="K105" s="396"/>
    </row>
    <row r="106" ht="17.4" hidden="1" spans="1:11">
      <c r="A106" s="387" t="s">
        <v>339</v>
      </c>
      <c r="B106" s="388" t="s">
        <v>54</v>
      </c>
      <c r="C106" s="398">
        <v>2912025475</v>
      </c>
      <c r="D106" s="390"/>
      <c r="E106" s="390">
        <v>5813.52</v>
      </c>
      <c r="F106" s="390"/>
      <c r="G106" s="390">
        <v>5953.22</v>
      </c>
      <c r="H106" s="396"/>
      <c r="I106" s="396">
        <v>6652.48</v>
      </c>
      <c r="J106" s="396">
        <v>7111.21</v>
      </c>
      <c r="K106" s="396">
        <v>7388.6</v>
      </c>
    </row>
    <row r="107" ht="18" hidden="1" spans="1:11">
      <c r="A107" s="395" t="s">
        <v>341</v>
      </c>
      <c r="B107" s="388" t="s">
        <v>54</v>
      </c>
      <c r="C107" s="398"/>
      <c r="D107" s="390"/>
      <c r="E107" s="390"/>
      <c r="F107" s="390"/>
      <c r="G107" s="390"/>
      <c r="H107" s="396"/>
      <c r="I107" s="396">
        <v>28.28</v>
      </c>
      <c r="J107" s="396"/>
      <c r="K107" s="396">
        <v>31.41</v>
      </c>
    </row>
    <row r="108" ht="18" hidden="1" spans="1:11">
      <c r="A108" s="397" t="s">
        <v>342</v>
      </c>
      <c r="B108" s="388" t="s">
        <v>54</v>
      </c>
      <c r="C108" s="398"/>
      <c r="D108" s="390"/>
      <c r="E108" s="390"/>
      <c r="F108" s="390"/>
      <c r="G108" s="390"/>
      <c r="H108" s="396"/>
      <c r="I108" s="396">
        <v>50.17</v>
      </c>
      <c r="J108" s="396"/>
      <c r="K108" s="396">
        <v>56</v>
      </c>
    </row>
    <row r="109" ht="17.4" hidden="1" spans="1:11">
      <c r="A109" s="387">
        <v>1</v>
      </c>
      <c r="B109" s="388" t="s">
        <v>58</v>
      </c>
      <c r="C109" s="389">
        <v>50003379</v>
      </c>
      <c r="D109" s="390"/>
      <c r="E109" s="390">
        <v>241</v>
      </c>
      <c r="F109" s="403">
        <f>(Reading_import[[#This Row],[9/10/2024]]-Reading_import[[#This Row],[1/5/2024]])/192*92+Reading_import[[#This Row],[1/5/2024]]</f>
        <v>739.572916666667</v>
      </c>
      <c r="G109" s="390"/>
      <c r="H109" s="396">
        <v>1281.5</v>
      </c>
      <c r="I109" s="396">
        <v>1514</v>
      </c>
      <c r="J109" s="396">
        <v>1680</v>
      </c>
      <c r="K109" s="396">
        <v>1782</v>
      </c>
    </row>
    <row r="110" ht="17.4" hidden="1" spans="1:11">
      <c r="A110" s="387">
        <v>2</v>
      </c>
      <c r="B110" s="388" t="s">
        <v>58</v>
      </c>
      <c r="C110" s="389">
        <v>50002906</v>
      </c>
      <c r="D110" s="390"/>
      <c r="E110" s="390">
        <v>1647</v>
      </c>
      <c r="F110" s="390">
        <v>2537</v>
      </c>
      <c r="G110" s="390"/>
      <c r="H110" s="396">
        <v>4071.09</v>
      </c>
      <c r="I110" s="390">
        <v>4319</v>
      </c>
      <c r="J110" s="396">
        <v>4500</v>
      </c>
      <c r="K110" s="396">
        <v>4597</v>
      </c>
    </row>
    <row r="111" ht="17.4" hidden="1" spans="1:11">
      <c r="A111" s="387">
        <v>3</v>
      </c>
      <c r="B111" s="388" t="s">
        <v>58</v>
      </c>
      <c r="C111" s="389">
        <v>50002924</v>
      </c>
      <c r="D111" s="390"/>
      <c r="E111" s="390">
        <v>2026.23</v>
      </c>
      <c r="F111" s="390">
        <v>2282</v>
      </c>
      <c r="G111" s="390"/>
      <c r="H111" s="390">
        <v>2434.71</v>
      </c>
      <c r="I111" s="390">
        <v>2589</v>
      </c>
      <c r="J111" s="396">
        <v>2701</v>
      </c>
      <c r="K111" s="396">
        <v>2765</v>
      </c>
    </row>
    <row r="112" ht="20.4" hidden="1" spans="1:11">
      <c r="A112" s="387">
        <v>4</v>
      </c>
      <c r="B112" s="388" t="s">
        <v>58</v>
      </c>
      <c r="C112" s="404">
        <v>50002908</v>
      </c>
      <c r="D112" s="390"/>
      <c r="E112" s="390"/>
      <c r="F112" s="390"/>
      <c r="G112" s="390"/>
      <c r="H112" s="396">
        <v>20</v>
      </c>
      <c r="I112" s="403">
        <v>58.4942148760331</v>
      </c>
      <c r="J112" s="396">
        <v>144</v>
      </c>
      <c r="K112" s="396">
        <v>242</v>
      </c>
    </row>
    <row r="113" ht="17.4" hidden="1" spans="1:11">
      <c r="A113" s="387">
        <v>5</v>
      </c>
      <c r="B113" s="388" t="s">
        <v>58</v>
      </c>
      <c r="C113" s="389">
        <v>50002894</v>
      </c>
      <c r="D113" s="390"/>
      <c r="E113" s="390">
        <v>3309</v>
      </c>
      <c r="F113" s="403">
        <f>(Reading_import[[#This Row],[9/10/2024]]-Reading_import[[#This Row],[1/5/2024]])/192*92+Reading_import[[#This Row],[1/5/2024]]</f>
        <v>3693.61270833333</v>
      </c>
      <c r="G113" s="390"/>
      <c r="H113" s="396">
        <v>4111.67</v>
      </c>
      <c r="I113" s="396">
        <v>4349</v>
      </c>
      <c r="J113" s="396">
        <v>4587</v>
      </c>
      <c r="K113" s="396">
        <v>4686</v>
      </c>
    </row>
    <row r="114" ht="17.4" hidden="1" spans="1:11">
      <c r="A114" s="387">
        <v>6</v>
      </c>
      <c r="B114" s="388" t="s">
        <v>58</v>
      </c>
      <c r="C114" s="389">
        <v>50002835</v>
      </c>
      <c r="D114" s="390"/>
      <c r="E114" s="390">
        <v>1620</v>
      </c>
      <c r="F114" s="390">
        <v>2447</v>
      </c>
      <c r="G114" s="390"/>
      <c r="H114" s="396">
        <v>2982.67</v>
      </c>
      <c r="I114" s="396">
        <v>3459</v>
      </c>
      <c r="J114" s="396">
        <v>3760</v>
      </c>
      <c r="K114" s="396">
        <v>3942</v>
      </c>
    </row>
    <row r="115" ht="17.4" hidden="1" spans="1:11">
      <c r="A115" s="387">
        <v>7</v>
      </c>
      <c r="B115" s="388" t="s">
        <v>58</v>
      </c>
      <c r="C115" s="389">
        <v>50002899</v>
      </c>
      <c r="D115" s="390"/>
      <c r="E115" s="390">
        <v>2827</v>
      </c>
      <c r="F115" s="390">
        <v>3333</v>
      </c>
      <c r="G115" s="390"/>
      <c r="H115" s="396">
        <v>3650.6</v>
      </c>
      <c r="I115" s="396">
        <v>3918</v>
      </c>
      <c r="J115" s="396">
        <v>4079</v>
      </c>
      <c r="K115" s="396">
        <v>4164</v>
      </c>
    </row>
    <row r="116" ht="17.4" hidden="1" spans="1:11">
      <c r="A116" s="387">
        <v>8</v>
      </c>
      <c r="B116" s="388" t="s">
        <v>58</v>
      </c>
      <c r="C116" s="389">
        <v>50002910</v>
      </c>
      <c r="D116" s="390"/>
      <c r="E116" s="390">
        <v>4397</v>
      </c>
      <c r="F116" s="390">
        <v>4909</v>
      </c>
      <c r="G116" s="390"/>
      <c r="H116" s="396">
        <v>5132.24</v>
      </c>
      <c r="I116" s="396">
        <v>5371</v>
      </c>
      <c r="J116" s="396">
        <v>5533</v>
      </c>
      <c r="K116" s="396">
        <v>5626</v>
      </c>
    </row>
    <row r="117" ht="17.4" hidden="1" spans="1:11">
      <c r="A117" s="387">
        <v>9</v>
      </c>
      <c r="B117" s="388" t="s">
        <v>58</v>
      </c>
      <c r="C117" s="389">
        <v>50002960</v>
      </c>
      <c r="D117" s="390"/>
      <c r="E117" s="390">
        <v>3534</v>
      </c>
      <c r="F117" s="390">
        <v>4884</v>
      </c>
      <c r="G117" s="390"/>
      <c r="H117" s="396">
        <v>5886.13</v>
      </c>
      <c r="I117" s="396">
        <v>6458</v>
      </c>
      <c r="J117" s="396">
        <v>6805</v>
      </c>
      <c r="K117" s="396">
        <v>7011</v>
      </c>
    </row>
    <row r="118" ht="17.4" hidden="1" spans="1:11">
      <c r="A118" s="387">
        <v>10</v>
      </c>
      <c r="B118" s="388" t="s">
        <v>58</v>
      </c>
      <c r="C118" s="389">
        <v>50002926</v>
      </c>
      <c r="D118" s="390"/>
      <c r="E118" s="390">
        <v>2323</v>
      </c>
      <c r="F118" s="390">
        <v>3619</v>
      </c>
      <c r="G118" s="390"/>
      <c r="H118" s="396">
        <v>4130.67</v>
      </c>
      <c r="I118" s="396">
        <v>4996</v>
      </c>
      <c r="J118" s="396">
        <v>5523</v>
      </c>
      <c r="K118" s="396">
        <v>5860</v>
      </c>
    </row>
    <row r="119" ht="17.4" hidden="1" spans="1:11">
      <c r="A119" s="387">
        <v>11</v>
      </c>
      <c r="B119" s="388" t="s">
        <v>58</v>
      </c>
      <c r="C119" s="405"/>
      <c r="D119" s="390"/>
      <c r="E119" s="390"/>
      <c r="F119" s="390"/>
      <c r="G119" s="390"/>
      <c r="H119" s="396"/>
      <c r="I119" s="396"/>
      <c r="J119" s="396"/>
      <c r="K119" s="396"/>
    </row>
    <row r="120" ht="20.4" hidden="1" spans="1:11">
      <c r="A120" s="387">
        <v>12</v>
      </c>
      <c r="B120" s="388" t="s">
        <v>58</v>
      </c>
      <c r="C120" s="406">
        <v>3308026743</v>
      </c>
      <c r="D120" s="390"/>
      <c r="E120" s="390">
        <v>19.06</v>
      </c>
      <c r="F120" s="403">
        <f>(Reading_import[[#This Row],[9/10/2024]]-Reading_import[[#This Row],[1/5/2024]])/192*92+Reading_import[[#This Row],[1/5/2024]]</f>
        <v>45.8645833333333</v>
      </c>
      <c r="G120" s="390"/>
      <c r="H120" s="396">
        <v>75</v>
      </c>
      <c r="I120" s="403">
        <v>75.9552066115702</v>
      </c>
      <c r="J120" s="396">
        <v>2893</v>
      </c>
      <c r="K120" s="396">
        <v>2893</v>
      </c>
    </row>
    <row r="121" ht="20.4" hidden="1" spans="1:11">
      <c r="A121" s="387">
        <v>13</v>
      </c>
      <c r="B121" s="388" t="s">
        <v>58</v>
      </c>
      <c r="C121" s="404">
        <v>50002961</v>
      </c>
      <c r="D121" s="390"/>
      <c r="E121" s="390"/>
      <c r="F121" s="390"/>
      <c r="G121" s="390"/>
      <c r="H121" s="396">
        <v>1</v>
      </c>
      <c r="I121" s="403">
        <v>5.06611570247934</v>
      </c>
      <c r="J121" s="396">
        <v>338</v>
      </c>
      <c r="K121" s="396"/>
    </row>
    <row r="122" ht="17.4" hidden="1" spans="1:11">
      <c r="A122" s="387">
        <v>14</v>
      </c>
      <c r="B122" s="388" t="s">
        <v>58</v>
      </c>
      <c r="C122" s="405"/>
      <c r="D122" s="390"/>
      <c r="E122" s="390"/>
      <c r="F122" s="390"/>
      <c r="G122" s="390"/>
      <c r="H122" s="396"/>
      <c r="I122" s="396"/>
      <c r="J122" s="396"/>
      <c r="K122" s="396"/>
    </row>
    <row r="123" ht="17.4" hidden="1" spans="1:11">
      <c r="A123" s="387">
        <v>15</v>
      </c>
      <c r="B123" s="388" t="s">
        <v>58</v>
      </c>
      <c r="C123" s="389">
        <v>50002930</v>
      </c>
      <c r="D123" s="390"/>
      <c r="E123" s="390">
        <v>437</v>
      </c>
      <c r="F123" s="403">
        <f>(Reading_import[[#This Row],[9/10/2024]]-Reading_import[[#This Row],[1/5/2024]])/192*92+Reading_import[[#This Row],[1/5/2024]]</f>
        <v>800.620416666667</v>
      </c>
      <c r="G123" s="390"/>
      <c r="H123" s="396">
        <v>1195.86</v>
      </c>
      <c r="I123" s="396">
        <v>1377</v>
      </c>
      <c r="J123" s="396">
        <v>1598</v>
      </c>
      <c r="K123" s="396">
        <v>1825</v>
      </c>
    </row>
    <row r="124" ht="17.4" hidden="1" spans="1:11">
      <c r="A124" s="387">
        <v>16</v>
      </c>
      <c r="B124" s="388" t="s">
        <v>58</v>
      </c>
      <c r="C124" s="389">
        <v>50002843</v>
      </c>
      <c r="D124" s="390"/>
      <c r="E124" s="390">
        <v>1987</v>
      </c>
      <c r="F124" s="390">
        <v>2175</v>
      </c>
      <c r="G124" s="390"/>
      <c r="H124" s="396">
        <v>2360.63</v>
      </c>
      <c r="I124" s="396">
        <v>2534</v>
      </c>
      <c r="J124" s="396">
        <v>2650</v>
      </c>
      <c r="K124" s="396">
        <v>2704</v>
      </c>
    </row>
    <row r="125" ht="17.4" hidden="1" spans="1:11">
      <c r="A125" s="387">
        <v>17</v>
      </c>
      <c r="B125" s="388" t="s">
        <v>58</v>
      </c>
      <c r="C125" s="389">
        <v>50002929</v>
      </c>
      <c r="D125" s="390"/>
      <c r="E125" s="390">
        <v>904</v>
      </c>
      <c r="F125" s="390">
        <v>1685</v>
      </c>
      <c r="G125" s="390"/>
      <c r="H125" s="396">
        <v>2478.88</v>
      </c>
      <c r="I125" s="396">
        <v>2797</v>
      </c>
      <c r="J125" s="396">
        <v>2959</v>
      </c>
      <c r="K125" s="396">
        <v>3038</v>
      </c>
    </row>
    <row r="126" ht="17.4" hidden="1" spans="1:11">
      <c r="A126" s="387">
        <v>18</v>
      </c>
      <c r="B126" s="388" t="s">
        <v>58</v>
      </c>
      <c r="C126" s="405"/>
      <c r="D126" s="390"/>
      <c r="E126" s="390"/>
      <c r="F126" s="390"/>
      <c r="G126" s="390"/>
      <c r="H126" s="396"/>
      <c r="I126" s="396"/>
      <c r="J126" s="396"/>
      <c r="K126" s="396"/>
    </row>
    <row r="127" ht="17.4" hidden="1" spans="1:11">
      <c r="A127" s="387">
        <v>19</v>
      </c>
      <c r="B127" s="388" t="s">
        <v>58</v>
      </c>
      <c r="C127" s="407"/>
      <c r="D127" s="390"/>
      <c r="E127" s="390"/>
      <c r="F127" s="390"/>
      <c r="G127" s="390"/>
      <c r="H127" s="396">
        <v>0</v>
      </c>
      <c r="I127" s="403">
        <v>0.482456140350877</v>
      </c>
      <c r="J127" s="396">
        <v>74</v>
      </c>
      <c r="K127" s="396"/>
    </row>
    <row r="128" ht="17.4" hidden="1" spans="1:11">
      <c r="A128" s="387">
        <v>20</v>
      </c>
      <c r="B128" s="388" t="s">
        <v>58</v>
      </c>
      <c r="C128" s="408"/>
      <c r="D128" s="390"/>
      <c r="E128" s="390">
        <v>112</v>
      </c>
      <c r="F128" s="403">
        <f>(Reading_import[[#This Row],[9/10/2024]]-Reading_import[[#This Row],[1/5/2024]])/192*92+Reading_import[[#This Row],[1/5/2024]]</f>
        <v>137.875</v>
      </c>
      <c r="G128" s="390"/>
      <c r="H128" s="396">
        <v>166</v>
      </c>
      <c r="I128" s="403">
        <v>166.350877192982</v>
      </c>
      <c r="J128" s="396">
        <v>216</v>
      </c>
      <c r="K128" s="396"/>
    </row>
    <row r="129" ht="20.4" hidden="1" spans="1:11">
      <c r="A129" s="387">
        <v>21</v>
      </c>
      <c r="B129" s="388" t="s">
        <v>58</v>
      </c>
      <c r="C129" s="406">
        <v>50002916</v>
      </c>
      <c r="D129" s="390"/>
      <c r="E129" s="390">
        <v>6818</v>
      </c>
      <c r="F129" s="390">
        <v>7458</v>
      </c>
      <c r="G129" s="390"/>
      <c r="H129" s="396">
        <v>7996.8</v>
      </c>
      <c r="I129" s="396">
        <v>8483</v>
      </c>
      <c r="J129" s="396">
        <v>8930</v>
      </c>
      <c r="K129" s="396">
        <v>9200</v>
      </c>
    </row>
    <row r="130" ht="17.4" hidden="1" spans="1:11">
      <c r="A130" s="387">
        <v>22</v>
      </c>
      <c r="B130" s="388" t="s">
        <v>58</v>
      </c>
      <c r="C130" s="405"/>
      <c r="D130" s="390"/>
      <c r="E130" s="390"/>
      <c r="F130" s="390"/>
      <c r="G130" s="390"/>
      <c r="H130" s="396"/>
      <c r="I130" s="396"/>
      <c r="J130" s="396"/>
      <c r="K130" s="396"/>
    </row>
    <row r="131" ht="18" hidden="1" spans="1:11">
      <c r="A131" s="394" t="s">
        <v>334</v>
      </c>
      <c r="B131" s="388" t="s">
        <v>58</v>
      </c>
      <c r="C131" s="389">
        <v>2902000956</v>
      </c>
      <c r="D131" s="390"/>
      <c r="E131" s="390">
        <v>0</v>
      </c>
      <c r="F131" s="390">
        <v>0</v>
      </c>
      <c r="G131" s="390"/>
      <c r="H131" s="396">
        <v>2349.14</v>
      </c>
      <c r="I131" s="396">
        <v>9052.59</v>
      </c>
      <c r="J131" s="396">
        <v>13487.18</v>
      </c>
      <c r="K131" s="396">
        <v>15942.4</v>
      </c>
    </row>
    <row r="132" ht="17.4" hidden="1" spans="1:11">
      <c r="A132" s="387" t="s">
        <v>336</v>
      </c>
      <c r="B132" s="388" t="s">
        <v>58</v>
      </c>
      <c r="C132" s="389">
        <v>2902000944</v>
      </c>
      <c r="D132" s="390"/>
      <c r="E132" s="390">
        <v>0</v>
      </c>
      <c r="F132" s="390"/>
      <c r="G132" s="390"/>
      <c r="H132" s="396">
        <v>0</v>
      </c>
      <c r="I132" s="396"/>
      <c r="J132" s="396"/>
      <c r="K132" s="396"/>
    </row>
    <row r="133" ht="17.4" hidden="1" spans="1:11">
      <c r="A133" s="387" t="s">
        <v>339</v>
      </c>
      <c r="B133" s="388" t="s">
        <v>58</v>
      </c>
      <c r="C133" s="389">
        <v>2912025226</v>
      </c>
      <c r="D133" s="390"/>
      <c r="E133" s="390">
        <v>9095.3</v>
      </c>
      <c r="F133" s="390">
        <v>9508.19</v>
      </c>
      <c r="G133" s="390"/>
      <c r="H133" s="396">
        <v>9771.3</v>
      </c>
      <c r="I133" s="403">
        <f>Reading_import[[#This Row],[9/10/2024]]+542.64</f>
        <v>10313.94</v>
      </c>
      <c r="J133" s="396">
        <v>10689.6</v>
      </c>
      <c r="K133" s="396">
        <v>11103.86</v>
      </c>
    </row>
    <row r="134" ht="18" hidden="1" spans="1:11">
      <c r="A134" s="395" t="s">
        <v>341</v>
      </c>
      <c r="B134" s="388" t="s">
        <v>58</v>
      </c>
      <c r="C134" s="389"/>
      <c r="D134" s="390"/>
      <c r="E134" s="390"/>
      <c r="F134" s="390"/>
      <c r="G134" s="390"/>
      <c r="H134" s="396"/>
      <c r="I134" s="396"/>
      <c r="J134" s="396"/>
      <c r="K134" s="396"/>
    </row>
    <row r="135" ht="18" hidden="1" spans="1:11">
      <c r="A135" s="397" t="s">
        <v>342</v>
      </c>
      <c r="B135" s="388" t="s">
        <v>58</v>
      </c>
      <c r="C135" s="389"/>
      <c r="D135" s="390"/>
      <c r="E135" s="390"/>
      <c r="F135" s="390"/>
      <c r="G135" s="390"/>
      <c r="H135" s="396"/>
      <c r="I135" s="396"/>
      <c r="J135" s="396"/>
      <c r="K135" s="396"/>
    </row>
    <row r="136" ht="17.4" spans="1:11">
      <c r="A136" s="387">
        <v>1</v>
      </c>
      <c r="B136" s="388" t="s">
        <v>59</v>
      </c>
      <c r="C136" s="410"/>
      <c r="D136" s="390"/>
      <c r="E136" s="390">
        <v>47</v>
      </c>
      <c r="F136" s="390"/>
      <c r="G136" s="390"/>
      <c r="H136" s="396">
        <v>86</v>
      </c>
      <c r="I136" s="403">
        <v>407.138211382114</v>
      </c>
      <c r="J136" s="420"/>
      <c r="K136" s="420">
        <v>700</v>
      </c>
    </row>
    <row r="137" ht="17.4" hidden="1" spans="1:11">
      <c r="A137" s="387">
        <v>2</v>
      </c>
      <c r="B137" s="388" t="s">
        <v>59</v>
      </c>
      <c r="C137" s="393"/>
      <c r="D137" s="390"/>
      <c r="E137" s="390"/>
      <c r="F137" s="390"/>
      <c r="G137" s="390"/>
      <c r="H137" s="396"/>
      <c r="I137" s="421"/>
      <c r="J137" s="420"/>
      <c r="K137" s="420"/>
    </row>
    <row r="138" ht="17.4" hidden="1" spans="1:11">
      <c r="A138" s="387">
        <v>3</v>
      </c>
      <c r="B138" s="388" t="s">
        <v>59</v>
      </c>
      <c r="C138" s="389"/>
      <c r="D138" s="390"/>
      <c r="E138" s="390"/>
      <c r="F138" s="390"/>
      <c r="G138" s="390"/>
      <c r="H138" s="396"/>
      <c r="I138" s="421"/>
      <c r="J138" s="420"/>
      <c r="K138" s="420"/>
    </row>
    <row r="139" ht="17.4" spans="1:11">
      <c r="A139" s="387">
        <v>4</v>
      </c>
      <c r="B139" s="388" t="s">
        <v>59</v>
      </c>
      <c r="C139" s="389">
        <v>50002962</v>
      </c>
      <c r="D139" s="390"/>
      <c r="E139" s="390">
        <v>2312</v>
      </c>
      <c r="F139" s="390"/>
      <c r="G139" s="390"/>
      <c r="H139" s="396">
        <v>2690.14</v>
      </c>
      <c r="I139" s="421">
        <v>3040</v>
      </c>
      <c r="J139" s="420">
        <v>3294</v>
      </c>
      <c r="K139" s="420">
        <v>3402</v>
      </c>
    </row>
    <row r="140" ht="17.4" hidden="1" spans="1:11">
      <c r="A140" s="387">
        <v>5</v>
      </c>
      <c r="B140" s="388" t="s">
        <v>59</v>
      </c>
      <c r="C140" s="389"/>
      <c r="D140" s="390"/>
      <c r="E140" s="390"/>
      <c r="F140" s="390"/>
      <c r="G140" s="390"/>
      <c r="H140" s="396"/>
      <c r="I140" s="421"/>
      <c r="J140" s="420"/>
      <c r="K140" s="420"/>
    </row>
    <row r="141" ht="17.4" hidden="1" spans="1:11">
      <c r="A141" s="387">
        <v>6</v>
      </c>
      <c r="B141" s="388" t="s">
        <v>59</v>
      </c>
      <c r="C141" s="389"/>
      <c r="D141" s="390"/>
      <c r="E141" s="390"/>
      <c r="F141" s="390"/>
      <c r="G141" s="390"/>
      <c r="H141" s="396"/>
      <c r="I141" s="421"/>
      <c r="J141" s="420"/>
      <c r="K141" s="420"/>
    </row>
    <row r="142" ht="17.4" spans="1:11">
      <c r="A142" s="387">
        <v>7</v>
      </c>
      <c r="B142" s="388" t="s">
        <v>59</v>
      </c>
      <c r="C142" s="389">
        <v>50003423</v>
      </c>
      <c r="D142" s="390"/>
      <c r="E142" s="390">
        <v>2223</v>
      </c>
      <c r="F142" s="390"/>
      <c r="G142" s="390"/>
      <c r="H142" s="396">
        <v>2428</v>
      </c>
      <c r="I142" s="421">
        <v>3790</v>
      </c>
      <c r="J142" s="420">
        <v>4400</v>
      </c>
      <c r="K142" s="420">
        <v>4701</v>
      </c>
    </row>
    <row r="143" ht="17.4" hidden="1" spans="1:11">
      <c r="A143" s="387">
        <v>8</v>
      </c>
      <c r="B143" s="388" t="s">
        <v>59</v>
      </c>
      <c r="C143" s="389"/>
      <c r="D143" s="390"/>
      <c r="E143" s="390"/>
      <c r="F143" s="390"/>
      <c r="G143" s="390"/>
      <c r="H143" s="396"/>
      <c r="I143" s="421"/>
      <c r="J143" s="420"/>
      <c r="K143" s="420"/>
    </row>
    <row r="144" ht="20.4" spans="1:11">
      <c r="A144" s="387">
        <v>9</v>
      </c>
      <c r="B144" s="388" t="s">
        <v>59</v>
      </c>
      <c r="C144" s="406">
        <v>50002998</v>
      </c>
      <c r="D144" s="390"/>
      <c r="E144" s="390">
        <v>133</v>
      </c>
      <c r="F144" s="390"/>
      <c r="G144" s="390"/>
      <c r="H144" s="396">
        <v>197</v>
      </c>
      <c r="I144" s="403">
        <v>366.512195121951</v>
      </c>
      <c r="J144" s="420">
        <v>732</v>
      </c>
      <c r="K144" s="420">
        <v>1034</v>
      </c>
    </row>
    <row r="145" ht="17.4" hidden="1" spans="1:11">
      <c r="A145" s="387">
        <v>10</v>
      </c>
      <c r="B145" s="388" t="s">
        <v>59</v>
      </c>
      <c r="C145" s="389"/>
      <c r="D145" s="390"/>
      <c r="E145" s="390"/>
      <c r="F145" s="390"/>
      <c r="G145" s="390"/>
      <c r="H145" s="396"/>
      <c r="I145" s="421"/>
      <c r="J145" s="420"/>
      <c r="K145" s="420"/>
    </row>
    <row r="146" ht="17.4" hidden="1" spans="1:11">
      <c r="A146" s="387">
        <v>11</v>
      </c>
      <c r="B146" s="388" t="s">
        <v>59</v>
      </c>
      <c r="C146" s="389"/>
      <c r="D146" s="390"/>
      <c r="E146" s="390">
        <v>0</v>
      </c>
      <c r="F146" s="390"/>
      <c r="G146" s="390"/>
      <c r="H146" s="396">
        <v>0</v>
      </c>
      <c r="I146" s="421"/>
      <c r="J146" s="420"/>
      <c r="K146" s="420"/>
    </row>
    <row r="147" ht="17.4" spans="1:11">
      <c r="A147" s="387">
        <v>12</v>
      </c>
      <c r="B147" s="388" t="s">
        <v>59</v>
      </c>
      <c r="C147" s="411"/>
      <c r="D147" s="390"/>
      <c r="E147" s="390">
        <v>38</v>
      </c>
      <c r="F147" s="390"/>
      <c r="G147" s="390"/>
      <c r="H147" s="396">
        <v>215</v>
      </c>
      <c r="I147" s="403">
        <v>540.20325203252</v>
      </c>
      <c r="J147" s="420"/>
      <c r="K147" s="420">
        <v>700</v>
      </c>
    </row>
    <row r="148" ht="17.4" hidden="1" spans="1:11">
      <c r="A148" s="387">
        <v>13</v>
      </c>
      <c r="B148" s="388" t="s">
        <v>59</v>
      </c>
      <c r="C148" s="389"/>
      <c r="D148" s="390"/>
      <c r="E148" s="390"/>
      <c r="F148" s="390"/>
      <c r="G148" s="390"/>
      <c r="H148" s="396"/>
      <c r="I148" s="421"/>
      <c r="J148" s="420"/>
      <c r="K148" s="420"/>
    </row>
    <row r="149" ht="17.4" hidden="1" spans="1:11">
      <c r="A149" s="387">
        <v>14</v>
      </c>
      <c r="B149" s="388" t="s">
        <v>59</v>
      </c>
      <c r="C149" s="389"/>
      <c r="D149" s="390"/>
      <c r="E149" s="390"/>
      <c r="F149" s="390"/>
      <c r="G149" s="390"/>
      <c r="H149" s="396"/>
      <c r="I149" s="421"/>
      <c r="J149" s="420"/>
      <c r="K149" s="420"/>
    </row>
    <row r="150" ht="17.4" spans="1:11">
      <c r="A150" s="387">
        <v>15</v>
      </c>
      <c r="B150" s="388" t="s">
        <v>59</v>
      </c>
      <c r="C150" s="411"/>
      <c r="D150" s="390"/>
      <c r="E150" s="390">
        <v>5254</v>
      </c>
      <c r="F150" s="390"/>
      <c r="G150" s="390"/>
      <c r="H150" s="396">
        <v>6002</v>
      </c>
      <c r="I150" s="403">
        <v>6640.53658536585</v>
      </c>
      <c r="J150" s="420"/>
      <c r="K150" s="420">
        <v>6800</v>
      </c>
    </row>
    <row r="151" ht="20.4" spans="1:11">
      <c r="A151" s="387">
        <v>16</v>
      </c>
      <c r="B151" s="388" t="s">
        <v>59</v>
      </c>
      <c r="C151" s="406">
        <v>50002956</v>
      </c>
      <c r="D151" s="390"/>
      <c r="E151" s="390">
        <v>3338</v>
      </c>
      <c r="F151" s="390"/>
      <c r="G151" s="390"/>
      <c r="H151" s="396">
        <v>3566</v>
      </c>
      <c r="I151" s="403">
        <v>3962.62341463415</v>
      </c>
      <c r="J151" s="420">
        <v>4235</v>
      </c>
      <c r="K151" s="420">
        <v>4406</v>
      </c>
    </row>
    <row r="152" ht="17.4" hidden="1" spans="1:11">
      <c r="A152" s="387">
        <v>17</v>
      </c>
      <c r="B152" s="388" t="s">
        <v>59</v>
      </c>
      <c r="C152" s="389"/>
      <c r="D152" s="390"/>
      <c r="E152" s="390"/>
      <c r="F152" s="390"/>
      <c r="G152" s="390"/>
      <c r="H152" s="396"/>
      <c r="I152" s="392"/>
      <c r="J152" s="420"/>
      <c r="K152" s="420"/>
    </row>
    <row r="153" ht="17.4" spans="1:11">
      <c r="A153" s="387">
        <v>18</v>
      </c>
      <c r="B153" s="388" t="s">
        <v>59</v>
      </c>
      <c r="C153" s="410"/>
      <c r="D153" s="390"/>
      <c r="E153" s="390">
        <v>754</v>
      </c>
      <c r="F153" s="390"/>
      <c r="G153" s="390"/>
      <c r="H153" s="396">
        <v>1122</v>
      </c>
      <c r="I153" s="403">
        <v>1395.9837398374</v>
      </c>
      <c r="J153" s="420"/>
      <c r="K153" s="420">
        <v>1480</v>
      </c>
    </row>
    <row r="154" ht="17.4" spans="1:11">
      <c r="A154" s="387">
        <v>19</v>
      </c>
      <c r="B154" s="388" t="s">
        <v>59</v>
      </c>
      <c r="C154" s="389">
        <v>50003387</v>
      </c>
      <c r="D154" s="390"/>
      <c r="E154" s="390">
        <v>1671</v>
      </c>
      <c r="F154" s="390"/>
      <c r="G154" s="390"/>
      <c r="H154" s="396">
        <v>1945</v>
      </c>
      <c r="I154" s="392">
        <v>2170</v>
      </c>
      <c r="J154" s="420">
        <v>2342</v>
      </c>
      <c r="K154" s="420">
        <v>2438</v>
      </c>
    </row>
    <row r="155" ht="17.4" spans="1:11">
      <c r="A155" s="387">
        <v>20</v>
      </c>
      <c r="B155" s="388" t="s">
        <v>59</v>
      </c>
      <c r="C155" s="411"/>
      <c r="D155" s="390"/>
      <c r="E155" s="390"/>
      <c r="F155" s="390"/>
      <c r="G155" s="390"/>
      <c r="H155" s="396"/>
      <c r="I155" s="403">
        <v>46.7479674796748</v>
      </c>
      <c r="J155" s="420"/>
      <c r="K155" s="420">
        <v>48</v>
      </c>
    </row>
    <row r="156" ht="17.4" hidden="1" spans="1:11">
      <c r="A156" s="387">
        <v>21</v>
      </c>
      <c r="B156" s="388" t="s">
        <v>59</v>
      </c>
      <c r="C156" s="389"/>
      <c r="D156" s="390"/>
      <c r="E156" s="390"/>
      <c r="F156" s="390"/>
      <c r="G156" s="390"/>
      <c r="H156" s="396"/>
      <c r="I156" s="421"/>
      <c r="J156" s="420"/>
      <c r="K156" s="420"/>
    </row>
    <row r="157" ht="17.4" spans="1:11">
      <c r="A157" s="387">
        <v>22</v>
      </c>
      <c r="B157" s="388" t="s">
        <v>59</v>
      </c>
      <c r="C157" s="389">
        <v>50002397</v>
      </c>
      <c r="D157" s="390"/>
      <c r="E157" s="390">
        <v>997</v>
      </c>
      <c r="F157" s="390"/>
      <c r="G157" s="390"/>
      <c r="H157" s="396">
        <v>1540</v>
      </c>
      <c r="I157" s="421">
        <v>1768</v>
      </c>
      <c r="J157" s="420">
        <v>1951</v>
      </c>
      <c r="K157" s="420">
        <v>2145</v>
      </c>
    </row>
    <row r="158" ht="17.4" hidden="1" spans="1:11">
      <c r="A158" s="387">
        <v>23</v>
      </c>
      <c r="B158" s="388" t="s">
        <v>59</v>
      </c>
      <c r="C158" s="389"/>
      <c r="D158" s="390"/>
      <c r="E158" s="390"/>
      <c r="F158" s="390"/>
      <c r="G158" s="390"/>
      <c r="H158" s="396"/>
      <c r="I158" s="421"/>
      <c r="J158" s="420"/>
      <c r="K158" s="420"/>
    </row>
    <row r="159" ht="17.4" spans="1:11">
      <c r="A159" s="387">
        <v>24</v>
      </c>
      <c r="B159" s="388" t="s">
        <v>59</v>
      </c>
      <c r="C159" s="389">
        <v>50002985</v>
      </c>
      <c r="D159" s="390"/>
      <c r="E159" s="390">
        <v>2226</v>
      </c>
      <c r="F159" s="390"/>
      <c r="G159" s="390"/>
      <c r="H159" s="396">
        <v>3064</v>
      </c>
      <c r="I159" s="421">
        <v>3551</v>
      </c>
      <c r="J159" s="420">
        <v>3807</v>
      </c>
      <c r="K159" s="420">
        <v>3974</v>
      </c>
    </row>
    <row r="160" ht="17.4" spans="1:11">
      <c r="A160" s="387">
        <v>25</v>
      </c>
      <c r="B160" s="388" t="s">
        <v>59</v>
      </c>
      <c r="C160" s="389">
        <v>50002966</v>
      </c>
      <c r="D160" s="390"/>
      <c r="E160" s="390">
        <v>805</v>
      </c>
      <c r="F160" s="390"/>
      <c r="G160" s="390"/>
      <c r="H160" s="396">
        <v>3145</v>
      </c>
      <c r="I160" s="421">
        <v>3560</v>
      </c>
      <c r="J160" s="420">
        <v>3822</v>
      </c>
      <c r="K160" s="420">
        <v>3980</v>
      </c>
    </row>
    <row r="161" ht="17.4" hidden="1" spans="1:11">
      <c r="A161" s="387">
        <v>26</v>
      </c>
      <c r="B161" s="388" t="s">
        <v>59</v>
      </c>
      <c r="C161" s="389"/>
      <c r="D161" s="390"/>
      <c r="E161" s="390"/>
      <c r="F161" s="390"/>
      <c r="G161" s="390"/>
      <c r="H161" s="396"/>
      <c r="I161" s="421"/>
      <c r="J161" s="420"/>
      <c r="K161" s="420"/>
    </row>
    <row r="162" ht="20.4" spans="1:11">
      <c r="A162" s="387">
        <v>27</v>
      </c>
      <c r="B162" s="388" t="s">
        <v>59</v>
      </c>
      <c r="C162" s="406">
        <v>50002956</v>
      </c>
      <c r="D162" s="390"/>
      <c r="E162" s="390">
        <v>0</v>
      </c>
      <c r="F162" s="390"/>
      <c r="G162" s="390"/>
      <c r="H162" s="396">
        <v>42</v>
      </c>
      <c r="I162" s="403">
        <v>198.467479674797</v>
      </c>
      <c r="J162" s="420">
        <v>504</v>
      </c>
      <c r="K162" s="420">
        <v>623</v>
      </c>
    </row>
    <row r="163" ht="18" spans="1:11">
      <c r="A163" s="394" t="s">
        <v>334</v>
      </c>
      <c r="B163" s="388" t="s">
        <v>59</v>
      </c>
      <c r="C163" s="389">
        <v>2911041070</v>
      </c>
      <c r="D163" s="390"/>
      <c r="E163" s="390">
        <v>302.2</v>
      </c>
      <c r="F163" s="390"/>
      <c r="G163" s="390"/>
      <c r="H163" s="396">
        <v>342.55</v>
      </c>
      <c r="I163" s="396">
        <v>2169.59</v>
      </c>
      <c r="J163" s="420">
        <v>4068.01</v>
      </c>
      <c r="K163" s="420">
        <v>4113.52</v>
      </c>
    </row>
    <row r="164" ht="17.4" hidden="1" spans="1:11">
      <c r="A164" s="387" t="s">
        <v>336</v>
      </c>
      <c r="B164" s="388" t="s">
        <v>59</v>
      </c>
      <c r="C164" s="389">
        <v>2911041113</v>
      </c>
      <c r="D164" s="390"/>
      <c r="E164" s="390">
        <v>0</v>
      </c>
      <c r="F164" s="390"/>
      <c r="G164" s="390"/>
      <c r="H164" s="396">
        <v>0</v>
      </c>
      <c r="I164" s="396"/>
      <c r="J164" s="420"/>
      <c r="K164" s="420"/>
    </row>
    <row r="165" ht="17.4" spans="1:11">
      <c r="A165" s="387" t="s">
        <v>339</v>
      </c>
      <c r="B165" s="388" t="s">
        <v>59</v>
      </c>
      <c r="C165" s="389"/>
      <c r="D165" s="390"/>
      <c r="E165" s="390"/>
      <c r="F165" s="390"/>
      <c r="G165" s="390"/>
      <c r="H165" s="396"/>
      <c r="I165" s="396">
        <v>3200</v>
      </c>
      <c r="J165" s="420">
        <v>3299.92</v>
      </c>
      <c r="K165" s="420">
        <v>3424.25</v>
      </c>
    </row>
    <row r="166" ht="18" hidden="1" spans="1:11">
      <c r="A166" s="395" t="s">
        <v>341</v>
      </c>
      <c r="B166" s="388" t="s">
        <v>59</v>
      </c>
      <c r="C166" s="389"/>
      <c r="D166" s="390"/>
      <c r="E166" s="390"/>
      <c r="F166" s="390"/>
      <c r="G166" s="390"/>
      <c r="H166" s="396"/>
      <c r="I166" s="396"/>
      <c r="J166" s="420"/>
      <c r="K166" s="420"/>
    </row>
    <row r="167" ht="18" hidden="1" spans="1:11">
      <c r="A167" s="397" t="s">
        <v>342</v>
      </c>
      <c r="B167" s="388" t="s">
        <v>59</v>
      </c>
      <c r="C167" s="389"/>
      <c r="D167" s="390"/>
      <c r="E167" s="390"/>
      <c r="F167" s="390"/>
      <c r="G167" s="390"/>
      <c r="H167" s="396"/>
      <c r="I167" s="396"/>
      <c r="J167" s="420"/>
      <c r="K167" s="420"/>
    </row>
    <row r="168" ht="18" hidden="1" spans="1:11">
      <c r="A168" s="412">
        <v>1</v>
      </c>
      <c r="B168" s="388" t="s">
        <v>60</v>
      </c>
      <c r="C168" s="393"/>
      <c r="D168" s="390"/>
      <c r="E168" s="390">
        <v>0</v>
      </c>
      <c r="F168" s="390">
        <v>0</v>
      </c>
      <c r="G168" s="390">
        <v>0</v>
      </c>
      <c r="H168" s="396">
        <v>0</v>
      </c>
      <c r="I168" s="396">
        <v>0</v>
      </c>
      <c r="J168" s="396">
        <v>0</v>
      </c>
      <c r="K168" s="396"/>
    </row>
    <row r="169" ht="18" hidden="1" spans="1:11">
      <c r="A169" s="412">
        <v>2</v>
      </c>
      <c r="B169" s="388" t="s">
        <v>60</v>
      </c>
      <c r="C169" s="413"/>
      <c r="D169" s="390"/>
      <c r="E169" s="390">
        <v>105</v>
      </c>
      <c r="F169" s="390">
        <v>444.32</v>
      </c>
      <c r="G169" s="390">
        <v>800.75</v>
      </c>
      <c r="H169" s="396">
        <v>846.45</v>
      </c>
      <c r="I169" s="396">
        <v>1359.77</v>
      </c>
      <c r="J169" s="396">
        <v>1706.63</v>
      </c>
      <c r="K169" s="396"/>
    </row>
    <row r="170" ht="18" hidden="1" spans="1:11">
      <c r="A170" s="412">
        <v>3</v>
      </c>
      <c r="B170" s="388" t="s">
        <v>60</v>
      </c>
      <c r="C170" s="389"/>
      <c r="D170" s="390"/>
      <c r="E170" s="390">
        <v>0</v>
      </c>
      <c r="F170" s="390">
        <v>0</v>
      </c>
      <c r="G170" s="390">
        <v>0</v>
      </c>
      <c r="H170" s="396">
        <v>0</v>
      </c>
      <c r="I170" s="396">
        <v>0</v>
      </c>
      <c r="J170" s="396">
        <v>0</v>
      </c>
      <c r="K170" s="396"/>
    </row>
    <row r="171" ht="18" hidden="1" spans="1:11">
      <c r="A171" s="412">
        <v>4</v>
      </c>
      <c r="B171" s="388" t="s">
        <v>60</v>
      </c>
      <c r="C171" s="389">
        <v>50002962</v>
      </c>
      <c r="D171" s="390"/>
      <c r="E171" s="390">
        <v>0</v>
      </c>
      <c r="F171" s="390">
        <v>0</v>
      </c>
      <c r="G171" s="390">
        <v>0</v>
      </c>
      <c r="H171" s="396">
        <v>0</v>
      </c>
      <c r="I171" s="396">
        <v>0</v>
      </c>
      <c r="J171" s="396">
        <v>0</v>
      </c>
      <c r="K171" s="396"/>
    </row>
    <row r="172" ht="20.4" hidden="1" spans="1:11">
      <c r="A172" s="412">
        <v>5</v>
      </c>
      <c r="B172" s="388" t="s">
        <v>60</v>
      </c>
      <c r="C172" s="406">
        <v>3203067051</v>
      </c>
      <c r="D172" s="390"/>
      <c r="E172" s="390">
        <v>3379</v>
      </c>
      <c r="F172" s="390">
        <v>4352.46</v>
      </c>
      <c r="G172" s="390">
        <v>4829.3</v>
      </c>
      <c r="H172" s="396">
        <v>4857.13</v>
      </c>
      <c r="I172" s="396">
        <v>5065.84</v>
      </c>
      <c r="J172" s="396">
        <v>5216.15</v>
      </c>
      <c r="K172" s="396"/>
    </row>
    <row r="173" ht="18" hidden="1" spans="1:11">
      <c r="A173" s="412">
        <v>6</v>
      </c>
      <c r="B173" s="388" t="s">
        <v>60</v>
      </c>
      <c r="C173" s="414"/>
      <c r="D173" s="390"/>
      <c r="E173" s="390">
        <v>34</v>
      </c>
      <c r="F173" s="390">
        <v>55.22</v>
      </c>
      <c r="G173" s="390">
        <v>351.88</v>
      </c>
      <c r="H173" s="396">
        <v>392.41</v>
      </c>
      <c r="I173" s="396">
        <v>938.63</v>
      </c>
      <c r="J173" s="396">
        <v>1179.71</v>
      </c>
      <c r="K173" s="396"/>
    </row>
    <row r="174" ht="18" hidden="1" spans="1:11">
      <c r="A174" s="412">
        <v>7</v>
      </c>
      <c r="B174" s="388" t="s">
        <v>60</v>
      </c>
      <c r="C174" s="389">
        <v>50003423</v>
      </c>
      <c r="D174" s="390"/>
      <c r="E174" s="390">
        <v>1158</v>
      </c>
      <c r="F174" s="390">
        <v>1711.92</v>
      </c>
      <c r="G174" s="390">
        <v>2101.47</v>
      </c>
      <c r="H174" s="396">
        <v>2154.43</v>
      </c>
      <c r="I174" s="396">
        <v>2486.29</v>
      </c>
      <c r="J174" s="396">
        <v>2699.25</v>
      </c>
      <c r="K174" s="396">
        <v>2803.62</v>
      </c>
    </row>
    <row r="175" ht="18" hidden="1" spans="1:11">
      <c r="A175" s="412">
        <v>8</v>
      </c>
      <c r="B175" s="388" t="s">
        <v>60</v>
      </c>
      <c r="C175" s="413"/>
      <c r="D175" s="390"/>
      <c r="E175" s="390">
        <v>68</v>
      </c>
      <c r="F175" s="390">
        <v>541.2</v>
      </c>
      <c r="G175" s="390">
        <v>1659.85</v>
      </c>
      <c r="H175" s="396">
        <v>1759.51</v>
      </c>
      <c r="I175" s="396">
        <v>3522.09</v>
      </c>
      <c r="J175" s="396">
        <v>4582.01</v>
      </c>
      <c r="K175" s="396">
        <v>5096.03</v>
      </c>
    </row>
    <row r="176" ht="18" hidden="1" spans="1:11">
      <c r="A176" s="412">
        <v>9</v>
      </c>
      <c r="B176" s="388" t="s">
        <v>60</v>
      </c>
      <c r="C176" s="393"/>
      <c r="D176" s="390"/>
      <c r="E176" s="390">
        <v>0</v>
      </c>
      <c r="F176" s="390">
        <v>0</v>
      </c>
      <c r="G176" s="390">
        <v>0</v>
      </c>
      <c r="H176" s="396">
        <v>0</v>
      </c>
      <c r="I176" s="396">
        <v>0</v>
      </c>
      <c r="J176" s="396">
        <v>0</v>
      </c>
      <c r="K176" s="396"/>
    </row>
    <row r="177" ht="18" hidden="1" spans="1:11">
      <c r="A177" s="412">
        <v>10</v>
      </c>
      <c r="B177" s="388" t="s">
        <v>60</v>
      </c>
      <c r="C177" s="413"/>
      <c r="D177" s="390"/>
      <c r="E177" s="390">
        <v>33</v>
      </c>
      <c r="F177" s="390">
        <v>79.07</v>
      </c>
      <c r="G177" s="390">
        <v>115.53</v>
      </c>
      <c r="H177" s="396">
        <v>120.02</v>
      </c>
      <c r="I177" s="396">
        <v>597.06</v>
      </c>
      <c r="J177" s="396">
        <v>955.97</v>
      </c>
      <c r="K177" s="396"/>
    </row>
    <row r="178" ht="18" hidden="1" spans="1:11">
      <c r="A178" s="412">
        <v>11</v>
      </c>
      <c r="B178" s="388" t="s">
        <v>60</v>
      </c>
      <c r="C178" s="393"/>
      <c r="D178" s="390"/>
      <c r="E178" s="390">
        <v>0</v>
      </c>
      <c r="F178" s="390">
        <v>0</v>
      </c>
      <c r="G178" s="390">
        <v>0</v>
      </c>
      <c r="H178" s="396">
        <v>0</v>
      </c>
      <c r="I178" s="396">
        <v>0</v>
      </c>
      <c r="J178" s="396">
        <v>0</v>
      </c>
      <c r="K178" s="396"/>
    </row>
    <row r="179" ht="18" hidden="1" spans="1:11">
      <c r="A179" s="412">
        <v>12</v>
      </c>
      <c r="B179" s="388" t="s">
        <v>60</v>
      </c>
      <c r="C179" s="389"/>
      <c r="D179" s="390"/>
      <c r="E179" s="390">
        <v>0</v>
      </c>
      <c r="F179" s="390">
        <v>0</v>
      </c>
      <c r="G179" s="390">
        <v>0</v>
      </c>
      <c r="H179" s="396">
        <v>0</v>
      </c>
      <c r="I179" s="396">
        <v>0</v>
      </c>
      <c r="J179" s="396">
        <v>0</v>
      </c>
      <c r="K179" s="396"/>
    </row>
    <row r="180" ht="18" hidden="1" spans="1:11">
      <c r="A180" s="412">
        <v>13</v>
      </c>
      <c r="B180" s="388" t="s">
        <v>60</v>
      </c>
      <c r="C180" s="413"/>
      <c r="D180" s="390"/>
      <c r="E180" s="390">
        <v>46</v>
      </c>
      <c r="F180" s="390">
        <v>136.83</v>
      </c>
      <c r="G180" s="390">
        <v>164.39</v>
      </c>
      <c r="H180" s="396">
        <v>175.38</v>
      </c>
      <c r="I180" s="396">
        <v>747.14</v>
      </c>
      <c r="J180" s="396">
        <v>1218.37</v>
      </c>
      <c r="K180" s="396"/>
    </row>
    <row r="181" ht="18" hidden="1" spans="1:11">
      <c r="A181" s="412">
        <v>14</v>
      </c>
      <c r="B181" s="388" t="s">
        <v>60</v>
      </c>
      <c r="C181" s="413"/>
      <c r="D181" s="390"/>
      <c r="E181" s="390">
        <v>0</v>
      </c>
      <c r="F181" s="390">
        <v>0</v>
      </c>
      <c r="G181" s="390">
        <v>0</v>
      </c>
      <c r="H181" s="396">
        <v>0.03</v>
      </c>
      <c r="I181" s="396">
        <v>48.27</v>
      </c>
      <c r="J181" s="396">
        <v>70.31</v>
      </c>
      <c r="K181" s="396"/>
    </row>
    <row r="182" ht="18" hidden="1" spans="1:11">
      <c r="A182" s="412">
        <v>15</v>
      </c>
      <c r="B182" s="388" t="s">
        <v>60</v>
      </c>
      <c r="C182" s="413"/>
      <c r="D182" s="390"/>
      <c r="E182" s="390">
        <v>0</v>
      </c>
      <c r="F182" s="390">
        <v>0</v>
      </c>
      <c r="G182" s="390">
        <v>0</v>
      </c>
      <c r="H182" s="396">
        <v>0</v>
      </c>
      <c r="I182" s="396">
        <v>0</v>
      </c>
      <c r="J182" s="396">
        <v>11.44</v>
      </c>
      <c r="K182" s="396"/>
    </row>
    <row r="183" ht="18" hidden="1" spans="1:11">
      <c r="A183" s="412">
        <v>16</v>
      </c>
      <c r="B183" s="388" t="s">
        <v>60</v>
      </c>
      <c r="C183" s="389"/>
      <c r="D183" s="390"/>
      <c r="E183" s="390">
        <v>0</v>
      </c>
      <c r="F183" s="390">
        <v>0</v>
      </c>
      <c r="G183" s="390">
        <v>0</v>
      </c>
      <c r="H183" s="396">
        <v>0</v>
      </c>
      <c r="I183" s="396">
        <v>0</v>
      </c>
      <c r="J183" s="396">
        <v>0</v>
      </c>
      <c r="K183" s="396"/>
    </row>
    <row r="184" ht="18" hidden="1" spans="1:11">
      <c r="A184" s="412">
        <v>17</v>
      </c>
      <c r="B184" s="388" t="s">
        <v>60</v>
      </c>
      <c r="C184" s="393"/>
      <c r="D184" s="390"/>
      <c r="E184" s="390">
        <v>0</v>
      </c>
      <c r="F184" s="390">
        <v>0</v>
      </c>
      <c r="G184" s="390">
        <v>0</v>
      </c>
      <c r="H184" s="396">
        <v>0</v>
      </c>
      <c r="I184" s="396">
        <v>0</v>
      </c>
      <c r="J184" s="396">
        <v>0</v>
      </c>
      <c r="K184" s="396"/>
    </row>
    <row r="185" ht="18" hidden="1" spans="1:11">
      <c r="A185" s="412">
        <v>18</v>
      </c>
      <c r="B185" s="388" t="s">
        <v>60</v>
      </c>
      <c r="C185" s="413"/>
      <c r="D185" s="390"/>
      <c r="E185" s="390">
        <v>50</v>
      </c>
      <c r="F185" s="390">
        <v>66.34</v>
      </c>
      <c r="G185" s="390">
        <v>88.43</v>
      </c>
      <c r="H185" s="396">
        <v>90.04</v>
      </c>
      <c r="I185" s="396">
        <v>105.27</v>
      </c>
      <c r="J185" s="396">
        <v>204.72</v>
      </c>
      <c r="K185" s="396"/>
    </row>
    <row r="186" ht="18" hidden="1" spans="1:11">
      <c r="A186" s="412">
        <v>19</v>
      </c>
      <c r="B186" s="388" t="s">
        <v>60</v>
      </c>
      <c r="C186" s="389">
        <v>50003387</v>
      </c>
      <c r="D186" s="390"/>
      <c r="E186" s="390">
        <v>90</v>
      </c>
      <c r="F186" s="390">
        <v>174.86</v>
      </c>
      <c r="G186" s="390">
        <v>184.05</v>
      </c>
      <c r="H186" s="396">
        <v>188.61</v>
      </c>
      <c r="I186" s="396">
        <v>830.88</v>
      </c>
      <c r="J186" s="396">
        <v>1094.04</v>
      </c>
      <c r="K186" s="396"/>
    </row>
    <row r="187" ht="18" hidden="1" spans="1:11">
      <c r="A187" s="394" t="s">
        <v>334</v>
      </c>
      <c r="B187" s="388" t="s">
        <v>60</v>
      </c>
      <c r="C187" s="389">
        <v>2911041070</v>
      </c>
      <c r="D187" s="390"/>
      <c r="E187" s="390">
        <v>60.62</v>
      </c>
      <c r="F187" s="390">
        <v>60.79</v>
      </c>
      <c r="G187" s="390">
        <v>1965.67</v>
      </c>
      <c r="H187" s="415">
        <v>2454.72043478261</v>
      </c>
      <c r="I187" s="415">
        <v>7589.75</v>
      </c>
      <c r="J187" s="396">
        <v>11303.17</v>
      </c>
      <c r="K187" s="396">
        <v>13092.21</v>
      </c>
    </row>
    <row r="188" ht="17.4" hidden="1" spans="1:11">
      <c r="A188" s="387" t="s">
        <v>336</v>
      </c>
      <c r="B188" s="388" t="s">
        <v>60</v>
      </c>
      <c r="C188" s="389">
        <v>2911041113</v>
      </c>
      <c r="D188" s="390"/>
      <c r="E188" s="390">
        <v>0</v>
      </c>
      <c r="F188" s="390">
        <v>0</v>
      </c>
      <c r="G188" s="390">
        <v>0</v>
      </c>
      <c r="H188" s="415">
        <v>0</v>
      </c>
      <c r="I188" s="415">
        <v>0</v>
      </c>
      <c r="J188" s="396">
        <v>4351.33</v>
      </c>
      <c r="K188" s="396"/>
    </row>
    <row r="189" ht="17.4" hidden="1" spans="1:11">
      <c r="A189" s="416" t="s">
        <v>339</v>
      </c>
      <c r="B189" s="417" t="s">
        <v>60</v>
      </c>
      <c r="C189" s="413"/>
      <c r="D189" s="418"/>
      <c r="E189" s="418">
        <v>3243.64</v>
      </c>
      <c r="F189" s="418">
        <v>3441.94</v>
      </c>
      <c r="G189" s="418">
        <v>3542.24</v>
      </c>
      <c r="H189" s="415">
        <v>3587.36347826087</v>
      </c>
      <c r="I189" s="415">
        <v>4061.16</v>
      </c>
      <c r="J189" s="396">
        <v>4497.04</v>
      </c>
      <c r="K189" s="396">
        <v>4657.72</v>
      </c>
    </row>
    <row r="190" ht="18" hidden="1" spans="1:11">
      <c r="A190" s="395" t="s">
        <v>341</v>
      </c>
      <c r="B190" s="417" t="s">
        <v>60</v>
      </c>
      <c r="C190" s="413"/>
      <c r="D190" s="390"/>
      <c r="E190" s="390">
        <v>35.93</v>
      </c>
      <c r="F190" s="390">
        <v>42.58</v>
      </c>
      <c r="G190" s="390">
        <v>46.91</v>
      </c>
      <c r="H190" s="415">
        <v>47.4595652173913</v>
      </c>
      <c r="I190" s="415">
        <v>53.23</v>
      </c>
      <c r="J190" s="396">
        <v>57.23</v>
      </c>
      <c r="K190" s="396"/>
    </row>
    <row r="191" ht="18" hidden="1" spans="1:11">
      <c r="A191" s="397" t="s">
        <v>342</v>
      </c>
      <c r="B191" s="417" t="s">
        <v>60</v>
      </c>
      <c r="C191" s="419"/>
      <c r="D191" s="418"/>
      <c r="E191" s="418"/>
      <c r="F191" s="418"/>
      <c r="G191" s="418"/>
      <c r="H191" s="418"/>
      <c r="I191" s="418"/>
      <c r="J191" s="396"/>
      <c r="K191" s="396"/>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1"/>
  <sheetViews>
    <sheetView zoomScale="85" zoomScaleNormal="85" workbookViewId="0">
      <pane xSplit="1" topLeftCell="B1" activePane="topRight" state="frozen"/>
      <selection/>
      <selection pane="topRight" activeCell="I163" sqref="I163"/>
    </sheetView>
  </sheetViews>
  <sheetFormatPr defaultColWidth="11" defaultRowHeight="18"/>
  <cols>
    <col min="1" max="1" width="7.3" style="340" customWidth="1"/>
    <col min="2" max="2" width="11.3" style="341" customWidth="1"/>
    <col min="3" max="3" width="16.7" style="341" customWidth="1"/>
    <col min="4" max="6" width="12.8" style="342" customWidth="1"/>
    <col min="7" max="9" width="14.2" style="342" customWidth="1"/>
    <col min="11" max="11" width="13.7"/>
  </cols>
  <sheetData>
    <row r="1" ht="17.4" spans="1:12">
      <c r="A1" s="343" t="s">
        <v>190</v>
      </c>
      <c r="B1" s="344" t="s">
        <v>191</v>
      </c>
      <c r="C1" s="344" t="s">
        <v>192</v>
      </c>
      <c r="D1" s="345" t="s">
        <v>835</v>
      </c>
      <c r="E1" s="345" t="s">
        <v>836</v>
      </c>
      <c r="F1" s="345" t="s">
        <v>837</v>
      </c>
      <c r="G1" s="345" t="s">
        <v>838</v>
      </c>
      <c r="H1" s="346" t="s">
        <v>839</v>
      </c>
      <c r="I1" s="345" t="s">
        <v>840</v>
      </c>
      <c r="J1" s="345" t="s">
        <v>841</v>
      </c>
      <c r="K1" s="345" t="s">
        <v>842</v>
      </c>
      <c r="L1" s="365" t="s">
        <v>843</v>
      </c>
    </row>
    <row r="2" ht="17.4" hidden="1" spans="1:11">
      <c r="A2" s="347">
        <v>1</v>
      </c>
      <c r="B2" s="348" t="s">
        <v>44</v>
      </c>
      <c r="C2" s="349">
        <v>50002845</v>
      </c>
      <c r="D2" s="350">
        <v>0</v>
      </c>
      <c r="E2" s="350">
        <v>0</v>
      </c>
      <c r="F2" s="350"/>
      <c r="G2" s="350"/>
      <c r="H2" s="351"/>
      <c r="I2" s="366"/>
      <c r="J2" s="366">
        <v>0</v>
      </c>
      <c r="K2" s="366"/>
    </row>
    <row r="3" ht="17.4" hidden="1" spans="1:11">
      <c r="A3" s="347">
        <v>2</v>
      </c>
      <c r="B3" s="348" t="s">
        <v>44</v>
      </c>
      <c r="C3" s="349">
        <v>50002862</v>
      </c>
      <c r="D3" s="350">
        <v>0</v>
      </c>
      <c r="E3" s="350">
        <v>0</v>
      </c>
      <c r="F3" s="350"/>
      <c r="G3" s="350"/>
      <c r="H3" s="351"/>
      <c r="I3" s="364"/>
      <c r="J3" s="366">
        <v>0</v>
      </c>
      <c r="K3" s="366"/>
    </row>
    <row r="4" ht="17.4" hidden="1" spans="1:11">
      <c r="A4" s="347">
        <v>3</v>
      </c>
      <c r="B4" s="348" t="s">
        <v>44</v>
      </c>
      <c r="C4" s="349">
        <v>50002872</v>
      </c>
      <c r="D4" s="350">
        <v>0</v>
      </c>
      <c r="E4" s="350">
        <v>0</v>
      </c>
      <c r="F4" s="350"/>
      <c r="G4" s="350">
        <v>0</v>
      </c>
      <c r="H4" s="351"/>
      <c r="I4" s="364">
        <v>0</v>
      </c>
      <c r="J4" s="364">
        <v>0</v>
      </c>
      <c r="K4" s="364">
        <v>0</v>
      </c>
    </row>
    <row r="5" ht="17.4" hidden="1" spans="1:11">
      <c r="A5" s="347">
        <v>4</v>
      </c>
      <c r="B5" s="348" t="s">
        <v>44</v>
      </c>
      <c r="C5" s="349">
        <v>50002869</v>
      </c>
      <c r="D5" s="350">
        <v>1100</v>
      </c>
      <c r="E5" s="350">
        <v>3828</v>
      </c>
      <c r="F5" s="350">
        <v>5318.8</v>
      </c>
      <c r="G5" s="350">
        <v>6465</v>
      </c>
      <c r="H5" s="351"/>
      <c r="I5" s="364">
        <v>9031</v>
      </c>
      <c r="J5" s="364">
        <v>10612</v>
      </c>
      <c r="K5" s="364">
        <v>11476</v>
      </c>
    </row>
    <row r="6" ht="17.4" hidden="1" spans="1:11">
      <c r="A6" s="347">
        <v>5</v>
      </c>
      <c r="B6" s="348" t="s">
        <v>44</v>
      </c>
      <c r="C6" s="349">
        <v>50002879</v>
      </c>
      <c r="D6" s="350">
        <v>4250</v>
      </c>
      <c r="E6" s="350">
        <v>7203</v>
      </c>
      <c r="F6" s="350">
        <v>8765.43</v>
      </c>
      <c r="G6" s="350">
        <v>10052</v>
      </c>
      <c r="H6" s="351"/>
      <c r="I6" s="364">
        <v>12884</v>
      </c>
      <c r="J6" s="364">
        <v>14647</v>
      </c>
      <c r="K6" s="364">
        <v>15571</v>
      </c>
    </row>
    <row r="7" ht="17.4" hidden="1" spans="1:11">
      <c r="A7" s="347">
        <v>6</v>
      </c>
      <c r="B7" s="348" t="s">
        <v>44</v>
      </c>
      <c r="C7" s="349">
        <v>50002865</v>
      </c>
      <c r="D7" s="350">
        <v>5911</v>
      </c>
      <c r="E7" s="350">
        <v>10438</v>
      </c>
      <c r="F7" s="350">
        <v>12556.76</v>
      </c>
      <c r="G7" s="350">
        <v>14094</v>
      </c>
      <c r="H7" s="351"/>
      <c r="I7" s="364">
        <v>18121</v>
      </c>
      <c r="J7" s="364">
        <v>20965</v>
      </c>
      <c r="K7" s="364">
        <v>22324</v>
      </c>
    </row>
    <row r="8" ht="17.4" hidden="1" spans="1:11">
      <c r="A8" s="347">
        <v>7</v>
      </c>
      <c r="B8" s="348" t="s">
        <v>44</v>
      </c>
      <c r="C8" s="349">
        <v>50002887</v>
      </c>
      <c r="D8" s="350">
        <v>0</v>
      </c>
      <c r="E8" s="350">
        <v>0</v>
      </c>
      <c r="F8" s="350"/>
      <c r="G8" s="350"/>
      <c r="H8" s="351"/>
      <c r="I8" s="364"/>
      <c r="J8" s="364">
        <v>0</v>
      </c>
      <c r="K8" s="364"/>
    </row>
    <row r="9" ht="17.4" hidden="1" spans="1:11">
      <c r="A9" s="347">
        <v>8</v>
      </c>
      <c r="B9" s="348" t="s">
        <v>44</v>
      </c>
      <c r="C9" s="349">
        <v>50002846</v>
      </c>
      <c r="D9" s="350">
        <v>0</v>
      </c>
      <c r="E9" s="350">
        <v>0</v>
      </c>
      <c r="F9" s="350"/>
      <c r="G9" s="350">
        <v>0</v>
      </c>
      <c r="H9" s="351"/>
      <c r="I9" s="364">
        <v>2569</v>
      </c>
      <c r="J9" s="364">
        <v>4165</v>
      </c>
      <c r="K9" s="364">
        <v>5027</v>
      </c>
    </row>
    <row r="10" ht="17.4" hidden="1" spans="1:11">
      <c r="A10" s="347">
        <v>9</v>
      </c>
      <c r="B10" s="348" t="s">
        <v>44</v>
      </c>
      <c r="C10" s="349">
        <v>50002885</v>
      </c>
      <c r="D10" s="350">
        <v>0</v>
      </c>
      <c r="E10" s="350">
        <v>0</v>
      </c>
      <c r="F10" s="350"/>
      <c r="G10" s="350"/>
      <c r="H10" s="351"/>
      <c r="I10" s="364"/>
      <c r="J10" s="364">
        <v>0</v>
      </c>
      <c r="K10" s="364"/>
    </row>
    <row r="11" ht="17.4" hidden="1" spans="1:11">
      <c r="A11" s="347">
        <v>10</v>
      </c>
      <c r="B11" s="348" t="s">
        <v>44</v>
      </c>
      <c r="C11" s="352"/>
      <c r="D11" s="350">
        <v>12347</v>
      </c>
      <c r="E11" s="350">
        <v>15095</v>
      </c>
      <c r="F11" s="350">
        <v>16643.58</v>
      </c>
      <c r="G11" s="350">
        <v>17815</v>
      </c>
      <c r="H11" s="351"/>
      <c r="I11" s="364">
        <v>20316</v>
      </c>
      <c r="J11" s="364">
        <v>21130</v>
      </c>
      <c r="K11" s="364">
        <v>22009</v>
      </c>
    </row>
    <row r="12" ht="17.4" hidden="1" spans="1:11">
      <c r="A12" s="347">
        <v>11</v>
      </c>
      <c r="B12" s="348" t="s">
        <v>44</v>
      </c>
      <c r="C12" s="349">
        <v>50002848</v>
      </c>
      <c r="D12" s="350">
        <v>13447</v>
      </c>
      <c r="E12" s="350">
        <v>16509</v>
      </c>
      <c r="F12" s="350">
        <v>18262.11</v>
      </c>
      <c r="G12" s="350">
        <v>19650</v>
      </c>
      <c r="H12" s="351"/>
      <c r="I12" s="364">
        <v>22593</v>
      </c>
      <c r="J12" s="364">
        <v>24391</v>
      </c>
      <c r="K12" s="364">
        <v>25470</v>
      </c>
    </row>
    <row r="13" ht="17.4" hidden="1" spans="1:11">
      <c r="A13" s="347">
        <v>12</v>
      </c>
      <c r="B13" s="348" t="s">
        <v>44</v>
      </c>
      <c r="C13" s="349">
        <v>50002847</v>
      </c>
      <c r="D13" s="350">
        <v>0</v>
      </c>
      <c r="E13" s="350">
        <v>0</v>
      </c>
      <c r="F13" s="350"/>
      <c r="G13" s="350"/>
      <c r="H13" s="351"/>
      <c r="I13" s="364"/>
      <c r="J13" s="364">
        <v>0</v>
      </c>
      <c r="K13" s="364"/>
    </row>
    <row r="14" ht="17.4" hidden="1" spans="1:11">
      <c r="A14" s="347">
        <v>13</v>
      </c>
      <c r="B14" s="348" t="s">
        <v>44</v>
      </c>
      <c r="C14" s="349">
        <v>50002739</v>
      </c>
      <c r="D14" s="350">
        <v>25717</v>
      </c>
      <c r="E14" s="350">
        <v>30627</v>
      </c>
      <c r="F14" s="350">
        <v>33475.85</v>
      </c>
      <c r="G14" s="350">
        <v>36023</v>
      </c>
      <c r="H14" s="351"/>
      <c r="I14" s="364">
        <v>41072</v>
      </c>
      <c r="J14" s="364">
        <v>44319</v>
      </c>
      <c r="K14" s="364">
        <v>46143</v>
      </c>
    </row>
    <row r="15" ht="17.4" hidden="1" spans="1:11">
      <c r="A15" s="347">
        <v>14</v>
      </c>
      <c r="B15" s="348" t="s">
        <v>44</v>
      </c>
      <c r="C15" s="349">
        <v>50002709</v>
      </c>
      <c r="D15" s="350">
        <v>0</v>
      </c>
      <c r="E15" s="350">
        <v>0</v>
      </c>
      <c r="F15" s="350"/>
      <c r="G15" s="350"/>
      <c r="H15" s="351"/>
      <c r="I15" s="364"/>
      <c r="J15" s="364">
        <v>2399</v>
      </c>
      <c r="K15" s="364">
        <v>3999</v>
      </c>
    </row>
    <row r="16" ht="17.4" hidden="1" spans="1:11">
      <c r="A16" s="347">
        <v>15</v>
      </c>
      <c r="B16" s="348" t="s">
        <v>44</v>
      </c>
      <c r="C16" s="349">
        <v>50002714</v>
      </c>
      <c r="D16" s="350">
        <v>0</v>
      </c>
      <c r="E16" s="350">
        <v>0</v>
      </c>
      <c r="F16" s="350"/>
      <c r="G16" s="350"/>
      <c r="H16" s="351"/>
      <c r="I16" s="364"/>
      <c r="J16" s="364">
        <v>0</v>
      </c>
      <c r="K16" s="364"/>
    </row>
    <row r="17" ht="17.4" hidden="1" spans="1:11">
      <c r="A17" s="347">
        <v>16</v>
      </c>
      <c r="B17" s="348" t="s">
        <v>44</v>
      </c>
      <c r="C17" s="349">
        <v>50002855</v>
      </c>
      <c r="D17" s="350">
        <v>0</v>
      </c>
      <c r="E17" s="350">
        <v>2568</v>
      </c>
      <c r="F17" s="350">
        <v>4134.29</v>
      </c>
      <c r="G17" s="350">
        <v>5245</v>
      </c>
      <c r="H17" s="351"/>
      <c r="I17" s="364">
        <v>7804</v>
      </c>
      <c r="J17" s="364">
        <v>9378</v>
      </c>
      <c r="K17" s="364">
        <v>10186</v>
      </c>
    </row>
    <row r="18" ht="17.4" hidden="1" spans="1:11">
      <c r="A18" s="347">
        <v>17</v>
      </c>
      <c r="B18" s="348" t="s">
        <v>44</v>
      </c>
      <c r="C18" s="349">
        <v>50002877</v>
      </c>
      <c r="D18" s="350">
        <v>4293</v>
      </c>
      <c r="E18" s="350">
        <v>7088</v>
      </c>
      <c r="F18" s="350">
        <v>8027</v>
      </c>
      <c r="G18" s="350">
        <v>9059</v>
      </c>
      <c r="H18" s="351"/>
      <c r="I18" s="364">
        <v>12029</v>
      </c>
      <c r="J18" s="364">
        <v>14003</v>
      </c>
      <c r="K18" s="364">
        <v>14923</v>
      </c>
    </row>
    <row r="19" ht="17.4" hidden="1" spans="1:11">
      <c r="A19" s="347">
        <v>18</v>
      </c>
      <c r="B19" s="348" t="s">
        <v>44</v>
      </c>
      <c r="C19" s="353"/>
      <c r="D19" s="350">
        <v>0</v>
      </c>
      <c r="E19" s="350">
        <v>0</v>
      </c>
      <c r="F19" s="350"/>
      <c r="G19" s="350"/>
      <c r="H19" s="351"/>
      <c r="I19" s="364"/>
      <c r="J19" s="364">
        <v>0</v>
      </c>
      <c r="K19" s="364"/>
    </row>
    <row r="20" ht="17.4" hidden="1" spans="1:11">
      <c r="A20" s="347">
        <v>19</v>
      </c>
      <c r="B20" s="348" t="s">
        <v>44</v>
      </c>
      <c r="C20" s="349">
        <v>50002864</v>
      </c>
      <c r="D20" s="350">
        <v>26703</v>
      </c>
      <c r="E20" s="350">
        <v>32368</v>
      </c>
      <c r="F20" s="350">
        <v>35423.8</v>
      </c>
      <c r="G20" s="350">
        <v>38020</v>
      </c>
      <c r="H20" s="351"/>
      <c r="I20" s="364">
        <v>43757</v>
      </c>
      <c r="J20" s="364">
        <v>47349</v>
      </c>
      <c r="K20" s="364">
        <v>49180</v>
      </c>
    </row>
    <row r="21" ht="17.4" hidden="1" spans="1:11">
      <c r="A21" s="347">
        <v>20</v>
      </c>
      <c r="B21" s="348" t="s">
        <v>44</v>
      </c>
      <c r="C21" s="349">
        <v>50002710</v>
      </c>
      <c r="D21" s="350">
        <v>3903</v>
      </c>
      <c r="E21" s="350">
        <v>6356</v>
      </c>
      <c r="F21" s="350">
        <v>7464.47</v>
      </c>
      <c r="G21" s="350">
        <v>8589</v>
      </c>
      <c r="H21" s="351"/>
      <c r="I21" s="364">
        <v>11511</v>
      </c>
      <c r="J21" s="364">
        <v>13341</v>
      </c>
      <c r="K21" s="364">
        <v>14162</v>
      </c>
    </row>
    <row r="22" ht="17.4" hidden="1" spans="1:11">
      <c r="A22" s="347">
        <v>21</v>
      </c>
      <c r="B22" s="348" t="s">
        <v>44</v>
      </c>
      <c r="C22" s="349">
        <v>50002719</v>
      </c>
      <c r="D22" s="350">
        <v>4515</v>
      </c>
      <c r="E22" s="350">
        <v>7478</v>
      </c>
      <c r="F22" s="350">
        <v>9166.34</v>
      </c>
      <c r="G22" s="350">
        <v>10489</v>
      </c>
      <c r="H22" s="351"/>
      <c r="I22" s="364">
        <v>13350</v>
      </c>
      <c r="J22" s="364">
        <v>15149</v>
      </c>
      <c r="K22" s="364">
        <v>16096</v>
      </c>
    </row>
    <row r="23" ht="17.4" hidden="1" spans="1:11">
      <c r="A23" s="347">
        <v>22</v>
      </c>
      <c r="B23" s="348" t="s">
        <v>44</v>
      </c>
      <c r="C23" s="349">
        <v>50002876</v>
      </c>
      <c r="D23" s="350">
        <v>4040</v>
      </c>
      <c r="E23" s="350">
        <v>6783</v>
      </c>
      <c r="F23" s="350">
        <v>8314.63</v>
      </c>
      <c r="G23" s="350">
        <v>9617</v>
      </c>
      <c r="H23" s="351"/>
      <c r="I23" s="364">
        <v>12269</v>
      </c>
      <c r="J23" s="364">
        <v>13938</v>
      </c>
      <c r="K23" s="364">
        <v>14832</v>
      </c>
    </row>
    <row r="24" ht="17.4" hidden="1" spans="1:11">
      <c r="A24" s="347">
        <v>23</v>
      </c>
      <c r="B24" s="348" t="s">
        <v>44</v>
      </c>
      <c r="C24" s="349">
        <v>50002860</v>
      </c>
      <c r="D24" s="350">
        <v>5498</v>
      </c>
      <c r="E24" s="350">
        <v>8307</v>
      </c>
      <c r="F24" s="350">
        <v>9976.39</v>
      </c>
      <c r="G24" s="350">
        <v>11307</v>
      </c>
      <c r="H24" s="351"/>
      <c r="I24" s="364">
        <v>14010</v>
      </c>
      <c r="J24" s="364">
        <v>15720</v>
      </c>
      <c r="K24" s="364">
        <v>16609</v>
      </c>
    </row>
    <row r="25" ht="17.4" hidden="1" spans="1:11">
      <c r="A25" s="347">
        <v>24</v>
      </c>
      <c r="B25" s="348" t="s">
        <v>44</v>
      </c>
      <c r="C25" s="349">
        <v>50002649</v>
      </c>
      <c r="D25" s="350">
        <v>0</v>
      </c>
      <c r="E25" s="350">
        <v>0</v>
      </c>
      <c r="F25" s="350"/>
      <c r="G25" s="350"/>
      <c r="H25" s="354"/>
      <c r="I25" s="367"/>
      <c r="J25" s="364">
        <v>0</v>
      </c>
      <c r="K25" s="364"/>
    </row>
    <row r="26" hidden="1" spans="1:11">
      <c r="A26" s="355" t="s">
        <v>334</v>
      </c>
      <c r="B26" s="348" t="s">
        <v>44</v>
      </c>
      <c r="C26" s="349">
        <v>40002686</v>
      </c>
      <c r="D26" s="356">
        <v>1833.14</v>
      </c>
      <c r="E26" s="356">
        <v>11017.34</v>
      </c>
      <c r="F26" s="357">
        <v>26071.13</v>
      </c>
      <c r="G26" s="357">
        <v>36413</v>
      </c>
      <c r="H26" s="354"/>
      <c r="I26" s="367">
        <v>48306</v>
      </c>
      <c r="J26" s="367">
        <v>55361</v>
      </c>
      <c r="K26" s="367">
        <v>59831</v>
      </c>
    </row>
    <row r="27" ht="17.4" hidden="1" spans="1:11">
      <c r="A27" s="347" t="s">
        <v>336</v>
      </c>
      <c r="B27" s="348" t="s">
        <v>44</v>
      </c>
      <c r="C27" s="349">
        <v>40002693</v>
      </c>
      <c r="D27" s="350">
        <v>0</v>
      </c>
      <c r="E27" s="350">
        <v>0</v>
      </c>
      <c r="F27" s="358">
        <v>0</v>
      </c>
      <c r="G27" s="358"/>
      <c r="H27" s="359"/>
      <c r="I27" s="368"/>
      <c r="J27" s="367"/>
      <c r="K27" s="367">
        <v>0</v>
      </c>
    </row>
    <row r="28" ht="17.4" hidden="1" spans="1:11">
      <c r="A28" s="347" t="s">
        <v>339</v>
      </c>
      <c r="B28" s="348" t="s">
        <v>44</v>
      </c>
      <c r="C28" s="349">
        <v>50002858</v>
      </c>
      <c r="D28" s="350">
        <v>0</v>
      </c>
      <c r="E28" s="350">
        <v>0</v>
      </c>
      <c r="F28" s="358">
        <v>0</v>
      </c>
      <c r="G28" s="358">
        <v>0</v>
      </c>
      <c r="H28" s="359"/>
      <c r="I28" s="368">
        <v>0</v>
      </c>
      <c r="J28" s="368">
        <v>0</v>
      </c>
      <c r="K28" s="368">
        <v>0</v>
      </c>
    </row>
    <row r="29" hidden="1" spans="1:11">
      <c r="A29" s="360" t="s">
        <v>341</v>
      </c>
      <c r="B29" s="348" t="s">
        <v>44</v>
      </c>
      <c r="C29" s="349">
        <v>40002852</v>
      </c>
      <c r="D29" s="350"/>
      <c r="E29" s="350"/>
      <c r="F29" s="358"/>
      <c r="G29" s="358"/>
      <c r="H29" s="359"/>
      <c r="I29" s="368"/>
      <c r="J29" s="368"/>
      <c r="K29" s="368"/>
    </row>
    <row r="30" hidden="1" spans="1:11">
      <c r="A30" s="361" t="s">
        <v>342</v>
      </c>
      <c r="B30" s="348" t="s">
        <v>44</v>
      </c>
      <c r="C30" s="349">
        <v>40002693</v>
      </c>
      <c r="D30" s="350"/>
      <c r="E30" s="350"/>
      <c r="F30" s="358"/>
      <c r="G30" s="358"/>
      <c r="H30" s="359"/>
      <c r="I30" s="368"/>
      <c r="J30" s="368"/>
      <c r="K30" s="368"/>
    </row>
    <row r="31" ht="17.4" hidden="1" spans="1:11">
      <c r="A31" s="347">
        <v>1</v>
      </c>
      <c r="B31" s="348" t="s">
        <v>48</v>
      </c>
      <c r="C31" s="362">
        <v>50003409</v>
      </c>
      <c r="D31" s="350">
        <v>3498</v>
      </c>
      <c r="E31" s="350">
        <v>5938</v>
      </c>
      <c r="F31" s="350">
        <v>7210.69</v>
      </c>
      <c r="G31" s="350"/>
      <c r="H31" s="351">
        <v>8291.68</v>
      </c>
      <c r="I31" s="364">
        <v>10303</v>
      </c>
      <c r="J31" s="364">
        <v>11728</v>
      </c>
      <c r="K31" s="364">
        <v>12488</v>
      </c>
    </row>
    <row r="32" ht="17.4" hidden="1" spans="1:11">
      <c r="A32" s="347">
        <v>2</v>
      </c>
      <c r="B32" s="348" t="s">
        <v>48</v>
      </c>
      <c r="C32" s="362">
        <v>50003436</v>
      </c>
      <c r="D32" s="350">
        <v>265</v>
      </c>
      <c r="E32" s="350">
        <v>4070</v>
      </c>
      <c r="F32" s="350">
        <v>5442.96</v>
      </c>
      <c r="G32" s="350"/>
      <c r="H32" s="351">
        <v>7233.44</v>
      </c>
      <c r="I32" s="364">
        <v>11104</v>
      </c>
      <c r="J32" s="364">
        <v>13586</v>
      </c>
      <c r="K32" s="364">
        <v>14779</v>
      </c>
    </row>
    <row r="33" ht="17.4" hidden="1" spans="1:11">
      <c r="A33" s="347">
        <v>3</v>
      </c>
      <c r="B33" s="348" t="s">
        <v>48</v>
      </c>
      <c r="C33" s="362">
        <v>50004064</v>
      </c>
      <c r="D33" s="350">
        <v>0</v>
      </c>
      <c r="E33" s="350">
        <v>0</v>
      </c>
      <c r="F33" s="350">
        <v>684.6</v>
      </c>
      <c r="G33" s="350"/>
      <c r="H33" s="351">
        <v>1696.37</v>
      </c>
      <c r="I33" s="364">
        <v>3777</v>
      </c>
      <c r="J33" s="364">
        <v>5275</v>
      </c>
      <c r="K33" s="364">
        <v>5973</v>
      </c>
    </row>
    <row r="34" ht="17.4" hidden="1" spans="1:11">
      <c r="A34" s="347">
        <v>4</v>
      </c>
      <c r="B34" s="348" t="s">
        <v>48</v>
      </c>
      <c r="C34" s="362">
        <v>50003414</v>
      </c>
      <c r="D34" s="350">
        <v>0</v>
      </c>
      <c r="E34" s="350">
        <v>0</v>
      </c>
      <c r="F34" s="350">
        <v>458</v>
      </c>
      <c r="G34" s="350"/>
      <c r="H34" s="351">
        <v>1460.91</v>
      </c>
      <c r="I34" s="364">
        <v>4228</v>
      </c>
      <c r="J34" s="364">
        <v>5871</v>
      </c>
      <c r="K34" s="364">
        <v>6615</v>
      </c>
    </row>
    <row r="35" ht="17.4" hidden="1" spans="1:11">
      <c r="A35" s="347">
        <v>5</v>
      </c>
      <c r="B35" s="348" t="s">
        <v>48</v>
      </c>
      <c r="C35" s="362">
        <v>50003389</v>
      </c>
      <c r="D35" s="350">
        <v>5814</v>
      </c>
      <c r="E35" s="350">
        <v>9155</v>
      </c>
      <c r="F35" s="350">
        <v>10239.42</v>
      </c>
      <c r="G35" s="350"/>
      <c r="H35" s="351">
        <v>11614.69</v>
      </c>
      <c r="I35" s="364">
        <v>15198</v>
      </c>
      <c r="J35" s="364">
        <v>17553</v>
      </c>
      <c r="K35" s="364">
        <v>18600</v>
      </c>
    </row>
    <row r="36" ht="17.4" hidden="1" spans="1:11">
      <c r="A36" s="347">
        <v>6</v>
      </c>
      <c r="B36" s="348" t="s">
        <v>48</v>
      </c>
      <c r="C36" s="362">
        <v>50002969</v>
      </c>
      <c r="D36" s="350">
        <v>854</v>
      </c>
      <c r="E36" s="350">
        <v>4535</v>
      </c>
      <c r="F36" s="350">
        <v>5754.6</v>
      </c>
      <c r="G36" s="350"/>
      <c r="H36" s="351">
        <v>7410.18</v>
      </c>
      <c r="I36" s="364">
        <v>11083</v>
      </c>
      <c r="J36" s="364">
        <v>13497</v>
      </c>
      <c r="K36" s="364">
        <v>14615</v>
      </c>
    </row>
    <row r="37" ht="17.4" hidden="1" spans="1:11">
      <c r="A37" s="347">
        <v>7</v>
      </c>
      <c r="B37" s="348" t="s">
        <v>48</v>
      </c>
      <c r="C37" s="362">
        <v>50002951</v>
      </c>
      <c r="D37" s="350">
        <v>3559</v>
      </c>
      <c r="E37" s="350">
        <v>5963</v>
      </c>
      <c r="F37" s="350">
        <v>7249.59</v>
      </c>
      <c r="G37" s="350"/>
      <c r="H37" s="351">
        <v>8203.86</v>
      </c>
      <c r="I37" s="364">
        <v>10036</v>
      </c>
      <c r="J37" s="364">
        <v>11379</v>
      </c>
      <c r="K37" s="364">
        <v>12093</v>
      </c>
    </row>
    <row r="38" ht="17.4" hidden="1" spans="1:11">
      <c r="A38" s="347">
        <v>8</v>
      </c>
      <c r="B38" s="348" t="s">
        <v>48</v>
      </c>
      <c r="C38" s="362">
        <v>50002959</v>
      </c>
      <c r="D38" s="350">
        <v>17</v>
      </c>
      <c r="E38" s="350">
        <v>2480</v>
      </c>
      <c r="F38" s="350">
        <v>3838.25</v>
      </c>
      <c r="G38" s="350"/>
      <c r="H38" s="351">
        <v>5415.75</v>
      </c>
      <c r="I38" s="364">
        <v>8407</v>
      </c>
      <c r="J38" s="364">
        <v>10346</v>
      </c>
      <c r="K38" s="364">
        <v>11149</v>
      </c>
    </row>
    <row r="39" ht="17.4" hidden="1" spans="1:11">
      <c r="A39" s="347">
        <v>9</v>
      </c>
      <c r="B39" s="348" t="s">
        <v>48</v>
      </c>
      <c r="C39" s="353"/>
      <c r="D39" s="350">
        <v>0</v>
      </c>
      <c r="E39" s="350">
        <v>0</v>
      </c>
      <c r="F39" s="350">
        <v>0</v>
      </c>
      <c r="G39" s="350"/>
      <c r="H39" s="351"/>
      <c r="I39" s="364"/>
      <c r="J39" s="364"/>
      <c r="K39" s="364"/>
    </row>
    <row r="40" ht="17.4" hidden="1" spans="1:11">
      <c r="A40" s="347">
        <v>10</v>
      </c>
      <c r="B40" s="348" t="s">
        <v>48</v>
      </c>
      <c r="C40" s="362">
        <v>50003420</v>
      </c>
      <c r="D40" s="350">
        <v>12138</v>
      </c>
      <c r="E40" s="350">
        <v>14501</v>
      </c>
      <c r="F40" s="350">
        <v>15561</v>
      </c>
      <c r="G40" s="350"/>
      <c r="H40" s="351">
        <v>16512.4</v>
      </c>
      <c r="I40" s="364">
        <v>18452</v>
      </c>
      <c r="J40" s="364">
        <v>19803</v>
      </c>
      <c r="K40" s="364">
        <v>20554</v>
      </c>
    </row>
    <row r="41" ht="17.4" hidden="1" spans="1:11">
      <c r="A41" s="347">
        <v>11</v>
      </c>
      <c r="B41" s="348" t="s">
        <v>48</v>
      </c>
      <c r="C41" s="363">
        <v>50003410</v>
      </c>
      <c r="D41" s="350">
        <v>3886</v>
      </c>
      <c r="E41" s="350">
        <v>7001</v>
      </c>
      <c r="F41" s="350">
        <v>8634.89</v>
      </c>
      <c r="G41" s="350"/>
      <c r="H41" s="351">
        <v>9978.43</v>
      </c>
      <c r="I41" s="364">
        <v>12683</v>
      </c>
      <c r="J41" s="364">
        <v>14556</v>
      </c>
      <c r="K41" s="364">
        <v>15620</v>
      </c>
    </row>
    <row r="42" ht="17.4" hidden="1" spans="1:11">
      <c r="A42" s="347">
        <v>12</v>
      </c>
      <c r="B42" s="348" t="s">
        <v>48</v>
      </c>
      <c r="C42" s="362">
        <v>50003418</v>
      </c>
      <c r="D42" s="350">
        <v>7374</v>
      </c>
      <c r="E42" s="350">
        <v>12649</v>
      </c>
      <c r="F42" s="350">
        <v>15529.02</v>
      </c>
      <c r="G42" s="350"/>
      <c r="H42" s="351">
        <v>18068.36</v>
      </c>
      <c r="I42" s="364">
        <v>22544</v>
      </c>
      <c r="J42" s="364">
        <v>25441</v>
      </c>
      <c r="K42" s="364">
        <v>26958</v>
      </c>
    </row>
    <row r="43" ht="17.4" hidden="1" spans="1:11">
      <c r="A43" s="347">
        <v>13</v>
      </c>
      <c r="B43" s="348" t="s">
        <v>48</v>
      </c>
      <c r="C43" s="362">
        <v>50002859</v>
      </c>
      <c r="D43" s="350">
        <v>7339</v>
      </c>
      <c r="E43" s="350">
        <v>12702</v>
      </c>
      <c r="F43" s="350">
        <v>15409</v>
      </c>
      <c r="G43" s="350"/>
      <c r="H43" s="351">
        <v>17371.93</v>
      </c>
      <c r="I43" s="364">
        <v>21569</v>
      </c>
      <c r="J43" s="364">
        <v>24315</v>
      </c>
      <c r="K43" s="364">
        <v>25704</v>
      </c>
    </row>
    <row r="44" ht="17.4" hidden="1" spans="1:11">
      <c r="A44" s="347">
        <v>14</v>
      </c>
      <c r="B44" s="348" t="s">
        <v>48</v>
      </c>
      <c r="C44" s="362">
        <v>50003396</v>
      </c>
      <c r="D44" s="350">
        <v>0</v>
      </c>
      <c r="E44" s="350">
        <v>2</v>
      </c>
      <c r="F44" s="350">
        <v>1827.01</v>
      </c>
      <c r="G44" s="350"/>
      <c r="H44" s="351">
        <v>4120.68</v>
      </c>
      <c r="I44" s="364">
        <v>8268</v>
      </c>
      <c r="J44" s="364">
        <v>10948</v>
      </c>
      <c r="K44" s="364">
        <v>12390</v>
      </c>
    </row>
    <row r="45" ht="17.4" hidden="1" spans="1:11">
      <c r="A45" s="347">
        <v>15</v>
      </c>
      <c r="B45" s="348" t="s">
        <v>48</v>
      </c>
      <c r="C45" s="362">
        <v>50003401</v>
      </c>
      <c r="D45" s="350">
        <v>3840</v>
      </c>
      <c r="E45" s="350">
        <v>6062</v>
      </c>
      <c r="F45" s="350">
        <v>6901.57</v>
      </c>
      <c r="G45" s="350"/>
      <c r="H45" s="351">
        <v>7887.39</v>
      </c>
      <c r="I45" s="364">
        <v>10135</v>
      </c>
      <c r="J45" s="364">
        <v>11621</v>
      </c>
      <c r="K45" s="364">
        <v>12299</v>
      </c>
    </row>
    <row r="46" ht="17.4" hidden="1" spans="1:11">
      <c r="A46" s="347">
        <v>16</v>
      </c>
      <c r="B46" s="348" t="s">
        <v>48</v>
      </c>
      <c r="C46" s="362">
        <v>50003430</v>
      </c>
      <c r="D46" s="350">
        <v>3504</v>
      </c>
      <c r="E46" s="350">
        <v>6007</v>
      </c>
      <c r="F46" s="350">
        <v>7399.42</v>
      </c>
      <c r="G46" s="350"/>
      <c r="H46" s="351">
        <v>8490.27</v>
      </c>
      <c r="I46" s="364">
        <v>10472</v>
      </c>
      <c r="J46" s="364">
        <v>11911</v>
      </c>
      <c r="K46" s="364">
        <v>12675</v>
      </c>
    </row>
    <row r="47" ht="17.4" hidden="1" spans="1:11">
      <c r="A47" s="347">
        <v>17</v>
      </c>
      <c r="B47" s="348" t="s">
        <v>48</v>
      </c>
      <c r="C47" s="362">
        <v>50003415</v>
      </c>
      <c r="D47" s="350">
        <v>10794</v>
      </c>
      <c r="E47" s="350">
        <v>12766</v>
      </c>
      <c r="F47" s="350">
        <v>13535</v>
      </c>
      <c r="G47" s="350"/>
      <c r="H47" s="351">
        <v>14606</v>
      </c>
      <c r="I47" s="364">
        <v>16887</v>
      </c>
      <c r="J47" s="364">
        <v>18209</v>
      </c>
      <c r="K47" s="364">
        <v>18878</v>
      </c>
    </row>
    <row r="48" ht="17.4" hidden="1" spans="1:11">
      <c r="A48" s="347">
        <v>18</v>
      </c>
      <c r="B48" s="348" t="s">
        <v>48</v>
      </c>
      <c r="C48" s="362">
        <v>50002895</v>
      </c>
      <c r="D48" s="350">
        <v>0</v>
      </c>
      <c r="E48" s="350">
        <v>0</v>
      </c>
      <c r="F48" s="350">
        <v>0</v>
      </c>
      <c r="G48" s="350"/>
      <c r="H48" s="351">
        <v>0</v>
      </c>
      <c r="I48" s="364"/>
      <c r="J48" s="364">
        <v>702</v>
      </c>
      <c r="K48" s="364">
        <v>1345</v>
      </c>
    </row>
    <row r="49" ht="17.4" hidden="1" spans="1:11">
      <c r="A49" s="347">
        <v>19</v>
      </c>
      <c r="B49" s="348" t="s">
        <v>48</v>
      </c>
      <c r="C49" s="362">
        <v>50003432</v>
      </c>
      <c r="D49" s="350">
        <v>3403</v>
      </c>
      <c r="E49" s="350">
        <v>5961</v>
      </c>
      <c r="F49" s="350">
        <v>7410.45</v>
      </c>
      <c r="G49" s="350"/>
      <c r="H49" s="351">
        <v>8570.52</v>
      </c>
      <c r="I49" s="364">
        <v>10481</v>
      </c>
      <c r="J49" s="364">
        <v>11806</v>
      </c>
      <c r="K49" s="364">
        <v>12573</v>
      </c>
    </row>
    <row r="50" ht="17.4" hidden="1" spans="1:11">
      <c r="A50" s="347">
        <v>20</v>
      </c>
      <c r="B50" s="348" t="s">
        <v>48</v>
      </c>
      <c r="C50" s="362">
        <v>50002972</v>
      </c>
      <c r="D50" s="350">
        <v>24099</v>
      </c>
      <c r="E50" s="350">
        <v>29256</v>
      </c>
      <c r="F50" s="350">
        <v>31484.53</v>
      </c>
      <c r="G50" s="350"/>
      <c r="H50" s="351">
        <v>33564.89</v>
      </c>
      <c r="I50" s="364">
        <v>37964</v>
      </c>
      <c r="J50" s="364">
        <v>40923</v>
      </c>
      <c r="K50" s="364">
        <v>42471</v>
      </c>
    </row>
    <row r="51" ht="17.4" hidden="1" spans="1:11">
      <c r="A51" s="347">
        <v>21</v>
      </c>
      <c r="B51" s="348" t="s">
        <v>48</v>
      </c>
      <c r="C51" s="362">
        <v>50002650</v>
      </c>
      <c r="D51" s="350">
        <v>24156</v>
      </c>
      <c r="E51" s="350">
        <v>28297</v>
      </c>
      <c r="F51" s="350">
        <v>29924.37</v>
      </c>
      <c r="G51" s="350"/>
      <c r="H51" s="351">
        <v>31896.88</v>
      </c>
      <c r="I51" s="364">
        <v>36318</v>
      </c>
      <c r="J51" s="364">
        <v>39181</v>
      </c>
      <c r="K51" s="364">
        <v>40534</v>
      </c>
    </row>
    <row r="52" hidden="1" spans="1:11">
      <c r="A52" s="355" t="s">
        <v>334</v>
      </c>
      <c r="B52" s="348" t="s">
        <v>48</v>
      </c>
      <c r="C52" s="362">
        <v>40002670</v>
      </c>
      <c r="D52" s="350">
        <v>2093.81</v>
      </c>
      <c r="E52" s="350">
        <v>13451.22</v>
      </c>
      <c r="F52" s="350">
        <v>29901.46</v>
      </c>
      <c r="G52" s="350"/>
      <c r="H52" s="351">
        <v>44114.54</v>
      </c>
      <c r="I52" s="364">
        <v>53961</v>
      </c>
      <c r="J52" s="364">
        <v>60162</v>
      </c>
      <c r="K52" s="364">
        <v>64245</v>
      </c>
    </row>
    <row r="53" ht="17.4" hidden="1" spans="1:11">
      <c r="A53" s="347" t="s">
        <v>336</v>
      </c>
      <c r="B53" s="348" t="s">
        <v>48</v>
      </c>
      <c r="C53" s="362">
        <v>40002667</v>
      </c>
      <c r="D53" s="350">
        <v>0</v>
      </c>
      <c r="E53" s="350">
        <v>0</v>
      </c>
      <c r="F53" s="350">
        <v>0</v>
      </c>
      <c r="G53" s="350"/>
      <c r="H53" s="351">
        <v>0</v>
      </c>
      <c r="I53" s="364">
        <v>0</v>
      </c>
      <c r="J53" s="364">
        <v>0</v>
      </c>
      <c r="K53" s="364">
        <v>0</v>
      </c>
    </row>
    <row r="54" ht="17.4" hidden="1" spans="1:11">
      <c r="A54" s="347" t="s">
        <v>339</v>
      </c>
      <c r="B54" s="348" t="s">
        <v>48</v>
      </c>
      <c r="C54" s="362">
        <v>50003399</v>
      </c>
      <c r="D54" s="350">
        <v>0</v>
      </c>
      <c r="E54" s="350">
        <v>0</v>
      </c>
      <c r="F54" s="350">
        <v>0</v>
      </c>
      <c r="G54" s="350"/>
      <c r="H54" s="351">
        <v>0</v>
      </c>
      <c r="I54" s="364">
        <v>0</v>
      </c>
      <c r="J54" s="364">
        <v>0</v>
      </c>
      <c r="K54" s="364">
        <v>0</v>
      </c>
    </row>
    <row r="55" hidden="1" spans="1:11">
      <c r="A55" s="360" t="s">
        <v>341</v>
      </c>
      <c r="B55" s="348" t="s">
        <v>48</v>
      </c>
      <c r="C55" s="362"/>
      <c r="D55" s="364"/>
      <c r="E55" s="350"/>
      <c r="F55" s="364"/>
      <c r="G55" s="364"/>
      <c r="H55" s="351"/>
      <c r="I55" s="364"/>
      <c r="J55" s="364"/>
      <c r="K55" s="364"/>
    </row>
    <row r="56" hidden="1" spans="1:11">
      <c r="A56" s="361" t="s">
        <v>342</v>
      </c>
      <c r="B56" s="348" t="s">
        <v>48</v>
      </c>
      <c r="C56" s="362"/>
      <c r="D56" s="364"/>
      <c r="E56" s="350"/>
      <c r="F56" s="364"/>
      <c r="G56" s="364"/>
      <c r="H56" s="351"/>
      <c r="I56" s="364"/>
      <c r="J56" s="364"/>
      <c r="K56" s="364"/>
    </row>
    <row r="57" ht="17.4" hidden="1" spans="1:11">
      <c r="A57" s="347">
        <v>1</v>
      </c>
      <c r="B57" s="348" t="s">
        <v>52</v>
      </c>
      <c r="C57" s="362">
        <v>50003397</v>
      </c>
      <c r="D57" s="350">
        <v>22466</v>
      </c>
      <c r="E57" s="350">
        <v>26592</v>
      </c>
      <c r="F57" s="350">
        <v>28434.59</v>
      </c>
      <c r="G57" s="350"/>
      <c r="H57" s="351">
        <v>30242.14</v>
      </c>
      <c r="I57" s="364">
        <v>33585</v>
      </c>
      <c r="J57" s="364">
        <v>36147</v>
      </c>
      <c r="K57" s="364">
        <v>37477</v>
      </c>
    </row>
    <row r="58" ht="17.4" hidden="1" spans="1:11">
      <c r="A58" s="347">
        <v>2</v>
      </c>
      <c r="B58" s="348" t="s">
        <v>52</v>
      </c>
      <c r="C58" s="362">
        <v>50003402</v>
      </c>
      <c r="D58" s="350">
        <v>7976</v>
      </c>
      <c r="E58" s="350">
        <v>10495</v>
      </c>
      <c r="F58" s="350">
        <v>11875.44</v>
      </c>
      <c r="G58" s="350"/>
      <c r="H58" s="351">
        <v>13112.99</v>
      </c>
      <c r="I58" s="364">
        <v>15113</v>
      </c>
      <c r="J58" s="364">
        <v>16602</v>
      </c>
      <c r="K58" s="364">
        <v>17462</v>
      </c>
    </row>
    <row r="59" ht="17.4" hidden="1" spans="1:11">
      <c r="A59" s="347">
        <v>3</v>
      </c>
      <c r="B59" s="348" t="s">
        <v>52</v>
      </c>
      <c r="C59" s="362">
        <v>50003431</v>
      </c>
      <c r="D59" s="350">
        <v>8104</v>
      </c>
      <c r="E59" s="350">
        <v>11934</v>
      </c>
      <c r="F59" s="350">
        <v>13449.26</v>
      </c>
      <c r="G59" s="350"/>
      <c r="H59" s="351">
        <v>15190.17</v>
      </c>
      <c r="I59" s="364">
        <v>18755</v>
      </c>
      <c r="J59" s="364">
        <v>21422</v>
      </c>
      <c r="K59" s="364">
        <v>22749</v>
      </c>
    </row>
    <row r="60" ht="17.4" hidden="1" spans="1:11">
      <c r="A60" s="347">
        <v>4</v>
      </c>
      <c r="B60" s="348" t="s">
        <v>52</v>
      </c>
      <c r="C60" s="362">
        <v>50003394</v>
      </c>
      <c r="D60" s="350">
        <v>5365</v>
      </c>
      <c r="E60" s="350">
        <v>7545</v>
      </c>
      <c r="F60" s="350">
        <v>8389.8</v>
      </c>
      <c r="G60" s="350"/>
      <c r="H60" s="351">
        <v>9245.87</v>
      </c>
      <c r="I60" s="364">
        <v>11256</v>
      </c>
      <c r="J60" s="364">
        <v>12825</v>
      </c>
      <c r="K60" s="364">
        <v>13492</v>
      </c>
    </row>
    <row r="61" ht="17.4" hidden="1" spans="1:11">
      <c r="A61" s="347">
        <v>5</v>
      </c>
      <c r="B61" s="348" t="s">
        <v>52</v>
      </c>
      <c r="C61" s="362">
        <v>50003433</v>
      </c>
      <c r="D61" s="350">
        <v>23221</v>
      </c>
      <c r="E61" s="350">
        <v>26772</v>
      </c>
      <c r="F61" s="350">
        <v>28547.9</v>
      </c>
      <c r="G61" s="350"/>
      <c r="H61" s="351">
        <v>29022.8</v>
      </c>
      <c r="I61" s="364">
        <v>34752</v>
      </c>
      <c r="J61" s="364">
        <v>37400</v>
      </c>
      <c r="K61" s="364">
        <v>38690</v>
      </c>
    </row>
    <row r="62" ht="17.4" hidden="1" spans="1:11">
      <c r="A62" s="347">
        <v>6</v>
      </c>
      <c r="B62" s="348" t="s">
        <v>52</v>
      </c>
      <c r="C62" s="362">
        <v>50003421</v>
      </c>
      <c r="D62" s="350">
        <v>1616</v>
      </c>
      <c r="E62" s="350">
        <v>6999</v>
      </c>
      <c r="F62" s="350">
        <v>9599.41</v>
      </c>
      <c r="G62" s="350"/>
      <c r="H62" s="351">
        <v>11712.14</v>
      </c>
      <c r="I62" s="364">
        <v>15827</v>
      </c>
      <c r="J62" s="364">
        <v>18997</v>
      </c>
      <c r="K62" s="364">
        <v>20723</v>
      </c>
    </row>
    <row r="63" ht="17.4" hidden="1" spans="1:11">
      <c r="A63" s="347">
        <v>7</v>
      </c>
      <c r="B63" s="348" t="s">
        <v>52</v>
      </c>
      <c r="C63" s="362">
        <v>50002953</v>
      </c>
      <c r="D63" s="350">
        <v>141</v>
      </c>
      <c r="E63" s="350">
        <v>141</v>
      </c>
      <c r="F63" s="350">
        <v>141</v>
      </c>
      <c r="G63" s="350"/>
      <c r="H63" s="351">
        <v>141</v>
      </c>
      <c r="I63" s="364">
        <v>142</v>
      </c>
      <c r="J63" s="364">
        <v>142</v>
      </c>
      <c r="K63" s="364"/>
    </row>
    <row r="64" ht="17.4" hidden="1" spans="1:11">
      <c r="A64" s="347">
        <v>8</v>
      </c>
      <c r="B64" s="348" t="s">
        <v>52</v>
      </c>
      <c r="C64" s="362">
        <v>50003395</v>
      </c>
      <c r="D64" s="350">
        <v>27333</v>
      </c>
      <c r="E64" s="350">
        <v>32684</v>
      </c>
      <c r="F64" s="350">
        <v>35790</v>
      </c>
      <c r="G64" s="350"/>
      <c r="H64" s="351">
        <v>38188.55</v>
      </c>
      <c r="I64" s="364">
        <v>41841</v>
      </c>
      <c r="J64" s="364">
        <v>44296</v>
      </c>
      <c r="K64" s="364">
        <v>46064</v>
      </c>
    </row>
    <row r="65" ht="17.4" hidden="1" spans="1:11">
      <c r="A65" s="347">
        <v>9</v>
      </c>
      <c r="B65" s="348" t="s">
        <v>52</v>
      </c>
      <c r="C65" s="362">
        <v>50003435</v>
      </c>
      <c r="D65" s="350">
        <v>0</v>
      </c>
      <c r="E65" s="350"/>
      <c r="F65" s="350"/>
      <c r="G65" s="350"/>
      <c r="H65" s="351"/>
      <c r="I65" s="364"/>
      <c r="J65" s="364"/>
      <c r="K65" s="364"/>
    </row>
    <row r="66" ht="17.4" hidden="1" spans="1:11">
      <c r="A66" s="347">
        <v>10</v>
      </c>
      <c r="B66" s="348" t="s">
        <v>52</v>
      </c>
      <c r="C66" s="362">
        <v>50002952</v>
      </c>
      <c r="D66" s="350">
        <v>3264</v>
      </c>
      <c r="E66" s="350">
        <v>5676</v>
      </c>
      <c r="F66" s="350">
        <v>7004.47</v>
      </c>
      <c r="G66" s="350"/>
      <c r="H66" s="351">
        <v>8189.7</v>
      </c>
      <c r="I66" s="364">
        <v>10088</v>
      </c>
      <c r="J66" s="364">
        <v>11546</v>
      </c>
      <c r="K66" s="364">
        <v>12402</v>
      </c>
    </row>
    <row r="67" ht="17.4" hidden="1" spans="1:11">
      <c r="A67" s="347">
        <v>11</v>
      </c>
      <c r="B67" s="348" t="s">
        <v>52</v>
      </c>
      <c r="C67" s="362">
        <v>50002944</v>
      </c>
      <c r="D67" s="350">
        <v>0</v>
      </c>
      <c r="E67" s="350"/>
      <c r="F67" s="350"/>
      <c r="G67" s="350"/>
      <c r="H67" s="351"/>
      <c r="I67" s="364"/>
      <c r="J67" s="364"/>
      <c r="K67" s="364"/>
    </row>
    <row r="68" ht="17.4" hidden="1" spans="1:11">
      <c r="A68" s="369">
        <v>12</v>
      </c>
      <c r="B68" s="369" t="s">
        <v>52</v>
      </c>
      <c r="C68" s="362">
        <v>3308026898</v>
      </c>
      <c r="D68" s="350">
        <v>0</v>
      </c>
      <c r="E68" s="350">
        <v>0</v>
      </c>
      <c r="F68" s="350">
        <v>187.42</v>
      </c>
      <c r="G68" s="350"/>
      <c r="H68" s="351">
        <v>1255.9</v>
      </c>
      <c r="I68" s="364">
        <v>3279.89</v>
      </c>
      <c r="J68" s="364">
        <v>4812.19</v>
      </c>
      <c r="K68" s="364">
        <v>5683.79</v>
      </c>
    </row>
    <row r="69" ht="17.4" hidden="1" spans="1:11">
      <c r="A69" s="347">
        <v>13</v>
      </c>
      <c r="B69" s="348" t="s">
        <v>52</v>
      </c>
      <c r="C69" s="362">
        <v>50003424</v>
      </c>
      <c r="D69" s="350">
        <v>3791</v>
      </c>
      <c r="E69" s="350">
        <v>6015</v>
      </c>
      <c r="F69" s="350">
        <v>7169</v>
      </c>
      <c r="G69" s="350"/>
      <c r="H69" s="351">
        <v>7899.89</v>
      </c>
      <c r="I69" s="364">
        <v>9864</v>
      </c>
      <c r="J69" s="364">
        <v>11307</v>
      </c>
      <c r="K69" s="364">
        <v>12061</v>
      </c>
    </row>
    <row r="70" ht="17.4" hidden="1" spans="1:11">
      <c r="A70" s="347">
        <v>14</v>
      </c>
      <c r="B70" s="348" t="s">
        <v>52</v>
      </c>
      <c r="C70" s="362">
        <v>50003438</v>
      </c>
      <c r="D70" s="350">
        <v>5315</v>
      </c>
      <c r="E70" s="350">
        <v>5695</v>
      </c>
      <c r="F70" s="350">
        <v>6442.82</v>
      </c>
      <c r="G70" s="350"/>
      <c r="H70" s="351">
        <v>7320.62</v>
      </c>
      <c r="I70" s="364">
        <v>9306</v>
      </c>
      <c r="J70" s="364">
        <v>10855</v>
      </c>
      <c r="K70" s="364">
        <v>11592</v>
      </c>
    </row>
    <row r="71" ht="17.4" hidden="1" spans="1:11">
      <c r="A71" s="347">
        <v>15</v>
      </c>
      <c r="B71" s="348" t="s">
        <v>52</v>
      </c>
      <c r="C71" s="362">
        <v>50003404</v>
      </c>
      <c r="D71" s="350">
        <v>5083</v>
      </c>
      <c r="E71" s="350">
        <v>9362</v>
      </c>
      <c r="F71" s="350">
        <v>11609.07</v>
      </c>
      <c r="G71" s="350"/>
      <c r="H71" s="351">
        <v>13649.03</v>
      </c>
      <c r="I71" s="364">
        <v>16919</v>
      </c>
      <c r="J71" s="364">
        <v>19466</v>
      </c>
      <c r="K71" s="364">
        <v>20916</v>
      </c>
    </row>
    <row r="72" ht="17.4" hidden="1" spans="1:11">
      <c r="A72" s="347">
        <v>16</v>
      </c>
      <c r="B72" s="348" t="s">
        <v>52</v>
      </c>
      <c r="C72" s="362">
        <v>50003419</v>
      </c>
      <c r="D72" s="350">
        <v>7655</v>
      </c>
      <c r="E72" s="350">
        <v>13525</v>
      </c>
      <c r="F72" s="350">
        <v>16903.4</v>
      </c>
      <c r="G72" s="350"/>
      <c r="H72" s="351">
        <v>19713.42</v>
      </c>
      <c r="I72" s="364">
        <v>24215</v>
      </c>
      <c r="J72" s="364">
        <v>27788</v>
      </c>
      <c r="K72" s="364">
        <v>29752</v>
      </c>
    </row>
    <row r="73" ht="17.4" hidden="1" spans="1:11">
      <c r="A73" s="347">
        <v>17</v>
      </c>
      <c r="B73" s="348" t="s">
        <v>52</v>
      </c>
      <c r="C73" s="362">
        <v>50003428</v>
      </c>
      <c r="D73" s="350">
        <v>0</v>
      </c>
      <c r="E73" s="350"/>
      <c r="F73" s="350"/>
      <c r="G73" s="350"/>
      <c r="H73" s="351"/>
      <c r="I73" s="364"/>
      <c r="J73" s="364"/>
      <c r="K73" s="364"/>
    </row>
    <row r="74" ht="17.4" hidden="1" spans="1:11">
      <c r="A74" s="347">
        <v>18</v>
      </c>
      <c r="B74" s="348" t="s">
        <v>52</v>
      </c>
      <c r="C74" s="362">
        <v>50002935</v>
      </c>
      <c r="D74" s="350">
        <v>0</v>
      </c>
      <c r="E74" s="350"/>
      <c r="F74" s="350">
        <v>1</v>
      </c>
      <c r="G74" s="350"/>
      <c r="H74" s="351">
        <v>705.36</v>
      </c>
      <c r="I74" s="364">
        <v>4017</v>
      </c>
      <c r="J74" s="364">
        <v>5995</v>
      </c>
      <c r="K74" s="364">
        <v>7545</v>
      </c>
    </row>
    <row r="75" ht="17.4" hidden="1" spans="1:11">
      <c r="A75" s="347">
        <v>19</v>
      </c>
      <c r="B75" s="348" t="s">
        <v>52</v>
      </c>
      <c r="C75" s="362">
        <v>50003417</v>
      </c>
      <c r="D75" s="350">
        <v>10388</v>
      </c>
      <c r="E75" s="350">
        <v>15762</v>
      </c>
      <c r="F75" s="350">
        <v>18813.23</v>
      </c>
      <c r="G75" s="350"/>
      <c r="H75" s="351">
        <v>21239.96</v>
      </c>
      <c r="I75" s="364">
        <v>25220</v>
      </c>
      <c r="J75" s="364">
        <v>28182</v>
      </c>
      <c r="K75" s="364">
        <v>29966</v>
      </c>
    </row>
    <row r="76" hidden="1" spans="1:11">
      <c r="A76" s="355" t="s">
        <v>334</v>
      </c>
      <c r="B76" s="348" t="s">
        <v>52</v>
      </c>
      <c r="C76" s="362">
        <v>40002722</v>
      </c>
      <c r="D76" s="350">
        <v>1185.25</v>
      </c>
      <c r="E76" s="350">
        <v>8547.62</v>
      </c>
      <c r="F76" s="350">
        <v>19040.97</v>
      </c>
      <c r="G76" s="350"/>
      <c r="H76" s="351">
        <v>29007.26</v>
      </c>
      <c r="I76" s="364">
        <v>33894</v>
      </c>
      <c r="J76" s="364">
        <v>38471</v>
      </c>
      <c r="K76" s="364">
        <v>40865</v>
      </c>
    </row>
    <row r="77" ht="17.4" hidden="1" spans="1:11">
      <c r="A77" s="347" t="s">
        <v>336</v>
      </c>
      <c r="B77" s="348" t="s">
        <v>52</v>
      </c>
      <c r="C77" s="362">
        <v>40002728</v>
      </c>
      <c r="D77" s="350">
        <v>0</v>
      </c>
      <c r="E77" s="350">
        <v>0</v>
      </c>
      <c r="F77" s="350">
        <v>0</v>
      </c>
      <c r="G77" s="350"/>
      <c r="H77" s="351">
        <v>0</v>
      </c>
      <c r="I77" s="364"/>
      <c r="J77" s="364"/>
      <c r="K77" s="364"/>
    </row>
    <row r="78" ht="17.4" hidden="1" spans="1:11">
      <c r="A78" s="347" t="s">
        <v>339</v>
      </c>
      <c r="B78" s="348" t="s">
        <v>52</v>
      </c>
      <c r="C78" s="362">
        <v>50003429</v>
      </c>
      <c r="D78" s="350">
        <v>0</v>
      </c>
      <c r="E78" s="350">
        <v>0</v>
      </c>
      <c r="F78" s="350">
        <v>0</v>
      </c>
      <c r="G78" s="350"/>
      <c r="H78" s="351">
        <v>0</v>
      </c>
      <c r="I78" s="364">
        <v>0</v>
      </c>
      <c r="J78" s="364">
        <v>0</v>
      </c>
      <c r="K78" s="364">
        <v>0</v>
      </c>
    </row>
    <row r="79" hidden="1" spans="1:11">
      <c r="A79" s="360" t="s">
        <v>341</v>
      </c>
      <c r="B79" s="348" t="s">
        <v>52</v>
      </c>
      <c r="C79" s="362">
        <v>50003406</v>
      </c>
      <c r="D79" s="364"/>
      <c r="E79" s="350"/>
      <c r="F79" s="364"/>
      <c r="G79" s="364"/>
      <c r="H79" s="351"/>
      <c r="I79" s="364"/>
      <c r="J79" s="364"/>
      <c r="K79" s="364"/>
    </row>
    <row r="80" hidden="1" spans="1:11">
      <c r="A80" s="361" t="s">
        <v>342</v>
      </c>
      <c r="B80" s="348" t="s">
        <v>52</v>
      </c>
      <c r="C80" s="362">
        <v>50003408</v>
      </c>
      <c r="D80" s="350"/>
      <c r="E80" s="350"/>
      <c r="F80" s="350"/>
      <c r="G80" s="350"/>
      <c r="H80" s="351"/>
      <c r="I80" s="364"/>
      <c r="J80" s="364"/>
      <c r="K80" s="364"/>
    </row>
    <row r="81" ht="17.4" hidden="1" spans="1:11">
      <c r="A81" s="347">
        <v>1</v>
      </c>
      <c r="B81" s="348" t="s">
        <v>54</v>
      </c>
      <c r="C81" s="352"/>
      <c r="D81" s="350"/>
      <c r="E81" s="350">
        <v>0</v>
      </c>
      <c r="F81" s="350"/>
      <c r="G81" s="350">
        <v>0</v>
      </c>
      <c r="H81" s="351"/>
      <c r="I81" s="364"/>
      <c r="J81" s="364"/>
      <c r="K81" s="364"/>
    </row>
    <row r="82" ht="17.4" hidden="1" spans="1:11">
      <c r="A82" s="347">
        <v>2</v>
      </c>
      <c r="B82" s="348" t="s">
        <v>54</v>
      </c>
      <c r="C82" s="362">
        <v>50002903</v>
      </c>
      <c r="D82" s="350"/>
      <c r="E82" s="350">
        <v>9441</v>
      </c>
      <c r="F82" s="350"/>
      <c r="G82" s="350">
        <v>14105</v>
      </c>
      <c r="H82" s="351"/>
      <c r="I82" s="364">
        <v>18618</v>
      </c>
      <c r="J82" s="364">
        <v>21526</v>
      </c>
      <c r="K82" s="364">
        <v>23084</v>
      </c>
    </row>
    <row r="83" ht="17.4" hidden="1" spans="1:11">
      <c r="A83" s="347">
        <v>3</v>
      </c>
      <c r="B83" s="348" t="s">
        <v>54</v>
      </c>
      <c r="C83" s="352"/>
      <c r="D83" s="350"/>
      <c r="E83" s="350">
        <v>0</v>
      </c>
      <c r="F83" s="350"/>
      <c r="G83" s="350">
        <v>0</v>
      </c>
      <c r="H83" s="351"/>
      <c r="I83" s="364"/>
      <c r="J83" s="364"/>
      <c r="K83" s="364"/>
    </row>
    <row r="84" ht="17.4" hidden="1" spans="1:11">
      <c r="A84" s="347">
        <v>4</v>
      </c>
      <c r="B84" s="348" t="s">
        <v>54</v>
      </c>
      <c r="C84" s="352"/>
      <c r="D84" s="350"/>
      <c r="E84" s="350">
        <v>0</v>
      </c>
      <c r="F84" s="350"/>
      <c r="G84" s="350">
        <v>0</v>
      </c>
      <c r="H84" s="351"/>
      <c r="I84" s="364"/>
      <c r="J84" s="364"/>
      <c r="K84" s="364"/>
    </row>
    <row r="85" ht="17.4" hidden="1" spans="1:11">
      <c r="A85" s="347">
        <v>5</v>
      </c>
      <c r="B85" s="348" t="s">
        <v>54</v>
      </c>
      <c r="C85" s="362">
        <v>50002911</v>
      </c>
      <c r="D85" s="350"/>
      <c r="E85" s="350">
        <v>2</v>
      </c>
      <c r="F85" s="350"/>
      <c r="G85" s="350">
        <v>3604</v>
      </c>
      <c r="H85" s="351"/>
      <c r="I85" s="364">
        <v>7727</v>
      </c>
      <c r="J85" s="364">
        <v>10460</v>
      </c>
      <c r="K85" s="364">
        <v>12017</v>
      </c>
    </row>
    <row r="86" ht="17.4" hidden="1" spans="1:11">
      <c r="A86" s="347">
        <v>6</v>
      </c>
      <c r="B86" s="348" t="s">
        <v>54</v>
      </c>
      <c r="C86" s="352"/>
      <c r="D86" s="350"/>
      <c r="E86" s="350">
        <v>0</v>
      </c>
      <c r="F86" s="350"/>
      <c r="G86" s="350">
        <v>0</v>
      </c>
      <c r="H86" s="351"/>
      <c r="I86" s="364"/>
      <c r="J86" s="364"/>
      <c r="K86" s="364"/>
    </row>
    <row r="87" ht="17.4" hidden="1" spans="1:11">
      <c r="A87" s="347">
        <v>7</v>
      </c>
      <c r="B87" s="348" t="s">
        <v>54</v>
      </c>
      <c r="C87" s="352"/>
      <c r="D87" s="350"/>
      <c r="E87" s="350">
        <v>0</v>
      </c>
      <c r="F87" s="350"/>
      <c r="G87" s="350">
        <v>0</v>
      </c>
      <c r="H87" s="351"/>
      <c r="I87" s="364"/>
      <c r="J87" s="364"/>
      <c r="K87" s="364"/>
    </row>
    <row r="88" ht="17.4" hidden="1" spans="1:11">
      <c r="A88" s="347">
        <v>8</v>
      </c>
      <c r="B88" s="348" t="s">
        <v>54</v>
      </c>
      <c r="C88" s="352"/>
      <c r="D88" s="350"/>
      <c r="E88" s="350">
        <v>0</v>
      </c>
      <c r="F88" s="350"/>
      <c r="G88" s="350">
        <v>0</v>
      </c>
      <c r="H88" s="351"/>
      <c r="I88" s="364"/>
      <c r="J88" s="364"/>
      <c r="K88" s="364"/>
    </row>
    <row r="89" ht="17.4" hidden="1" spans="1:11">
      <c r="A89" s="347">
        <v>9</v>
      </c>
      <c r="B89" s="348" t="s">
        <v>54</v>
      </c>
      <c r="C89" s="352"/>
      <c r="D89" s="350"/>
      <c r="E89" s="350">
        <v>2249</v>
      </c>
      <c r="F89" s="350"/>
      <c r="G89" s="350">
        <v>4489</v>
      </c>
      <c r="H89" s="351"/>
      <c r="I89" s="364">
        <v>6566</v>
      </c>
      <c r="J89" s="364">
        <v>7871</v>
      </c>
      <c r="K89" s="364">
        <v>8616</v>
      </c>
    </row>
    <row r="90" ht="17.4" hidden="1" spans="1:11">
      <c r="A90" s="347">
        <v>10</v>
      </c>
      <c r="B90" s="348" t="s">
        <v>54</v>
      </c>
      <c r="C90" s="352"/>
      <c r="D90" s="350"/>
      <c r="E90" s="350">
        <v>0</v>
      </c>
      <c r="F90" s="350"/>
      <c r="G90" s="350">
        <v>0</v>
      </c>
      <c r="H90" s="351"/>
      <c r="I90" s="364"/>
      <c r="J90" s="364"/>
      <c r="K90" s="364"/>
    </row>
    <row r="91" ht="17.4" hidden="1" spans="1:11">
      <c r="A91" s="347">
        <v>11</v>
      </c>
      <c r="B91" s="348" t="s">
        <v>54</v>
      </c>
      <c r="C91" s="352"/>
      <c r="D91" s="350"/>
      <c r="E91" s="350">
        <v>0</v>
      </c>
      <c r="F91" s="350"/>
      <c r="G91" s="350">
        <v>0</v>
      </c>
      <c r="H91" s="351"/>
      <c r="I91" s="364"/>
      <c r="J91" s="364"/>
      <c r="K91" s="364"/>
    </row>
    <row r="92" ht="17.4" hidden="1" spans="1:11">
      <c r="A92" s="347">
        <v>12</v>
      </c>
      <c r="B92" s="348" t="s">
        <v>54</v>
      </c>
      <c r="C92" s="362">
        <v>50002897</v>
      </c>
      <c r="D92" s="350"/>
      <c r="E92" s="350">
        <v>3431</v>
      </c>
      <c r="F92" s="350"/>
      <c r="G92" s="350">
        <v>8948</v>
      </c>
      <c r="H92" s="351"/>
      <c r="I92" s="364">
        <v>14259</v>
      </c>
      <c r="J92" s="364">
        <v>17674</v>
      </c>
      <c r="K92" s="364">
        <v>19526</v>
      </c>
    </row>
    <row r="93" ht="17.4" hidden="1" spans="1:11">
      <c r="A93" s="347">
        <v>13</v>
      </c>
      <c r="B93" s="348" t="s">
        <v>54</v>
      </c>
      <c r="C93" s="362">
        <v>50002839</v>
      </c>
      <c r="D93" s="350"/>
      <c r="E93" s="350">
        <v>7</v>
      </c>
      <c r="F93" s="350"/>
      <c r="G93" s="350">
        <v>602</v>
      </c>
      <c r="H93" s="351"/>
      <c r="I93" s="364">
        <v>4288</v>
      </c>
      <c r="J93" s="364">
        <v>6624</v>
      </c>
      <c r="K93" s="364">
        <v>7752</v>
      </c>
    </row>
    <row r="94" ht="17.4" hidden="1" spans="1:11">
      <c r="A94" s="347">
        <v>14</v>
      </c>
      <c r="B94" s="348" t="s">
        <v>54</v>
      </c>
      <c r="C94" s="370">
        <v>50002863</v>
      </c>
      <c r="D94" s="350"/>
      <c r="E94" s="350">
        <v>0</v>
      </c>
      <c r="F94" s="350"/>
      <c r="G94" s="350">
        <v>1026</v>
      </c>
      <c r="H94" s="351"/>
      <c r="I94" s="364">
        <v>3860</v>
      </c>
      <c r="J94" s="364">
        <v>5667</v>
      </c>
      <c r="K94" s="364">
        <v>6631</v>
      </c>
    </row>
    <row r="95" ht="17.4" hidden="1" spans="1:11">
      <c r="A95" s="347">
        <v>15</v>
      </c>
      <c r="B95" s="348" t="s">
        <v>54</v>
      </c>
      <c r="C95" s="362">
        <v>50002947</v>
      </c>
      <c r="D95" s="350"/>
      <c r="E95" s="350">
        <v>377</v>
      </c>
      <c r="F95" s="350"/>
      <c r="G95" s="350">
        <v>2687</v>
      </c>
      <c r="H95" s="351"/>
      <c r="I95" s="364">
        <v>5304</v>
      </c>
      <c r="J95" s="364">
        <v>7046</v>
      </c>
      <c r="K95" s="364">
        <v>7940</v>
      </c>
    </row>
    <row r="96" ht="17.4" hidden="1" spans="1:11">
      <c r="A96" s="347">
        <v>16</v>
      </c>
      <c r="B96" s="348" t="s">
        <v>54</v>
      </c>
      <c r="C96" s="352"/>
      <c r="D96" s="350"/>
      <c r="E96" s="350">
        <v>0</v>
      </c>
      <c r="F96" s="350"/>
      <c r="G96" s="350">
        <v>0</v>
      </c>
      <c r="H96" s="351"/>
      <c r="I96" s="364"/>
      <c r="J96" s="364"/>
      <c r="K96" s="364"/>
    </row>
    <row r="97" ht="17.4" hidden="1" spans="1:11">
      <c r="A97" s="347">
        <v>17</v>
      </c>
      <c r="B97" s="348" t="s">
        <v>54</v>
      </c>
      <c r="C97" s="362">
        <v>50002902</v>
      </c>
      <c r="D97" s="350"/>
      <c r="E97" s="350">
        <v>0</v>
      </c>
      <c r="F97" s="350"/>
      <c r="G97" s="350">
        <v>469</v>
      </c>
      <c r="H97" s="351"/>
      <c r="I97" s="364">
        <v>3363</v>
      </c>
      <c r="J97" s="364">
        <v>5183</v>
      </c>
      <c r="K97" s="364">
        <v>6184</v>
      </c>
    </row>
    <row r="98" ht="17.4" hidden="1" spans="1:11">
      <c r="A98" s="347">
        <v>18</v>
      </c>
      <c r="B98" s="348" t="s">
        <v>54</v>
      </c>
      <c r="C98" s="362">
        <v>50002950</v>
      </c>
      <c r="D98" s="350"/>
      <c r="E98" s="350">
        <v>0</v>
      </c>
      <c r="F98" s="350"/>
      <c r="G98" s="350">
        <v>455</v>
      </c>
      <c r="H98" s="351"/>
      <c r="I98" s="364">
        <v>1434</v>
      </c>
      <c r="J98" s="364">
        <v>2524</v>
      </c>
      <c r="K98" s="364">
        <v>3517</v>
      </c>
    </row>
    <row r="99" ht="17.4" hidden="1" spans="1:11">
      <c r="A99" s="347">
        <v>19</v>
      </c>
      <c r="B99" s="348" t="s">
        <v>54</v>
      </c>
      <c r="C99" s="362">
        <v>50002936</v>
      </c>
      <c r="D99" s="350"/>
      <c r="E99" s="350">
        <v>0</v>
      </c>
      <c r="F99" s="350"/>
      <c r="G99" s="350">
        <v>784</v>
      </c>
      <c r="H99" s="351"/>
      <c r="I99" s="364">
        <v>3488</v>
      </c>
      <c r="J99" s="364">
        <v>5300</v>
      </c>
      <c r="K99" s="364"/>
    </row>
    <row r="100" ht="17.4" hidden="1" spans="1:11">
      <c r="A100" s="347">
        <v>20</v>
      </c>
      <c r="B100" s="348" t="s">
        <v>54</v>
      </c>
      <c r="C100" s="352"/>
      <c r="D100" s="350"/>
      <c r="E100" s="350">
        <v>0</v>
      </c>
      <c r="F100" s="350"/>
      <c r="G100" s="350">
        <v>0</v>
      </c>
      <c r="H100" s="351"/>
      <c r="I100" s="364"/>
      <c r="J100" s="364"/>
      <c r="K100" s="364"/>
    </row>
    <row r="101" ht="17.4" hidden="1" spans="1:11">
      <c r="A101" s="347">
        <v>21</v>
      </c>
      <c r="B101" s="348" t="s">
        <v>54</v>
      </c>
      <c r="C101" s="362">
        <v>50002922</v>
      </c>
      <c r="D101" s="350"/>
      <c r="E101" s="350">
        <v>14215</v>
      </c>
      <c r="F101" s="350"/>
      <c r="G101" s="350">
        <v>20211</v>
      </c>
      <c r="H101" s="351"/>
      <c r="I101" s="364">
        <v>26103</v>
      </c>
      <c r="J101" s="364"/>
      <c r="K101" s="364"/>
    </row>
    <row r="102" ht="17.4" hidden="1" spans="1:11">
      <c r="A102" s="347">
        <v>22</v>
      </c>
      <c r="B102" s="348" t="s">
        <v>54</v>
      </c>
      <c r="C102" s="352"/>
      <c r="D102" s="350"/>
      <c r="E102" s="350">
        <v>0</v>
      </c>
      <c r="F102" s="350"/>
      <c r="G102" s="350">
        <v>0</v>
      </c>
      <c r="H102" s="351"/>
      <c r="I102" s="364"/>
      <c r="J102" s="364"/>
      <c r="K102" s="364"/>
    </row>
    <row r="103" ht="17.4" hidden="1" spans="1:11">
      <c r="A103" s="347">
        <v>23</v>
      </c>
      <c r="B103" s="348" t="s">
        <v>54</v>
      </c>
      <c r="C103" s="352"/>
      <c r="D103" s="350"/>
      <c r="E103" s="350">
        <v>0</v>
      </c>
      <c r="F103" s="350"/>
      <c r="G103" s="350">
        <v>0</v>
      </c>
      <c r="H103" s="351"/>
      <c r="I103" s="364"/>
      <c r="J103" s="364"/>
      <c r="K103" s="364"/>
    </row>
    <row r="104" hidden="1" spans="1:11">
      <c r="A104" s="355" t="s">
        <v>334</v>
      </c>
      <c r="B104" s="348" t="s">
        <v>54</v>
      </c>
      <c r="C104" s="362">
        <v>2902000692</v>
      </c>
      <c r="D104" s="350"/>
      <c r="E104" s="350">
        <v>0</v>
      </c>
      <c r="F104" s="350"/>
      <c r="G104" s="350">
        <v>1611.05</v>
      </c>
      <c r="H104" s="351"/>
      <c r="I104" s="364">
        <v>8250.98</v>
      </c>
      <c r="J104" s="364">
        <v>12437.86</v>
      </c>
      <c r="K104" s="364">
        <v>14950.25</v>
      </c>
    </row>
    <row r="105" ht="17.4" hidden="1" spans="1:11">
      <c r="A105" s="347" t="s">
        <v>336</v>
      </c>
      <c r="B105" s="348" t="s">
        <v>54</v>
      </c>
      <c r="C105" s="362">
        <v>2902000696</v>
      </c>
      <c r="D105" s="350"/>
      <c r="E105" s="350">
        <v>0</v>
      </c>
      <c r="F105" s="350"/>
      <c r="G105" s="350">
        <v>0</v>
      </c>
      <c r="H105" s="351"/>
      <c r="I105" s="364"/>
      <c r="J105" s="364"/>
      <c r="K105" s="364"/>
    </row>
    <row r="106" ht="17.4" hidden="1" spans="1:11">
      <c r="A106" s="347" t="s">
        <v>339</v>
      </c>
      <c r="B106" s="348" t="s">
        <v>54</v>
      </c>
      <c r="C106" s="362">
        <v>2912025475</v>
      </c>
      <c r="D106" s="350"/>
      <c r="E106" s="350">
        <v>0</v>
      </c>
      <c r="F106" s="350"/>
      <c r="G106" s="350">
        <v>0</v>
      </c>
      <c r="H106" s="351"/>
      <c r="I106" s="364">
        <v>0</v>
      </c>
      <c r="J106" s="364">
        <v>0</v>
      </c>
      <c r="K106" s="364">
        <v>0</v>
      </c>
    </row>
    <row r="107" hidden="1" spans="1:11">
      <c r="A107" s="360" t="s">
        <v>341</v>
      </c>
      <c r="B107" s="348" t="s">
        <v>54</v>
      </c>
      <c r="C107" s="362"/>
      <c r="D107" s="350"/>
      <c r="E107" s="350"/>
      <c r="F107" s="350"/>
      <c r="G107" s="350"/>
      <c r="H107" s="351"/>
      <c r="I107" s="364"/>
      <c r="J107" s="364"/>
      <c r="K107" s="364"/>
    </row>
    <row r="108" hidden="1" spans="1:11">
      <c r="A108" s="361" t="s">
        <v>342</v>
      </c>
      <c r="B108" s="348" t="s">
        <v>54</v>
      </c>
      <c r="C108" s="362"/>
      <c r="D108" s="350"/>
      <c r="E108" s="350"/>
      <c r="F108" s="350"/>
      <c r="G108" s="350"/>
      <c r="H108" s="351"/>
      <c r="I108" s="364"/>
      <c r="J108" s="364"/>
      <c r="K108" s="364"/>
    </row>
    <row r="109" ht="17.4" hidden="1" spans="1:11">
      <c r="A109" s="347">
        <v>1</v>
      </c>
      <c r="B109" s="348" t="s">
        <v>58</v>
      </c>
      <c r="C109" s="349">
        <v>50003379</v>
      </c>
      <c r="D109" s="350"/>
      <c r="E109" s="350">
        <v>0</v>
      </c>
      <c r="F109" s="371">
        <f>(Reading_export[[#This Row],[9/10/2024]]-Reading_export[[#This Row],[1/5/2024]])/192*92+Reading_export[[#This Row],[1/5/2024]]</f>
        <v>912.644791666667</v>
      </c>
      <c r="G109" s="350"/>
      <c r="H109" s="351">
        <v>1904.65</v>
      </c>
      <c r="I109" s="364">
        <v>6399</v>
      </c>
      <c r="J109" s="364">
        <v>9331</v>
      </c>
      <c r="K109" s="364">
        <v>10632</v>
      </c>
    </row>
    <row r="110" ht="17.4" hidden="1" spans="1:11">
      <c r="A110" s="347">
        <v>2</v>
      </c>
      <c r="B110" s="348" t="s">
        <v>58</v>
      </c>
      <c r="C110" s="349">
        <v>50002906</v>
      </c>
      <c r="D110" s="350"/>
      <c r="E110" s="350">
        <v>0</v>
      </c>
      <c r="F110" s="350">
        <v>1688</v>
      </c>
      <c r="G110" s="350"/>
      <c r="H110" s="351">
        <v>3205.05</v>
      </c>
      <c r="I110" s="364"/>
      <c r="J110" s="364">
        <v>10625</v>
      </c>
      <c r="K110" s="364">
        <v>12038</v>
      </c>
    </row>
    <row r="111" ht="17.4" hidden="1" spans="1:11">
      <c r="A111" s="347">
        <v>3</v>
      </c>
      <c r="B111" s="348" t="s">
        <v>58</v>
      </c>
      <c r="C111" s="349">
        <v>50002924</v>
      </c>
      <c r="D111" s="350"/>
      <c r="E111" s="350">
        <v>2279</v>
      </c>
      <c r="F111" s="350">
        <v>3265</v>
      </c>
      <c r="G111" s="350"/>
      <c r="H111" s="351">
        <v>4437.03</v>
      </c>
      <c r="I111" s="364">
        <v>7121</v>
      </c>
      <c r="J111" s="364">
        <v>8892</v>
      </c>
      <c r="K111" s="364">
        <v>9685</v>
      </c>
    </row>
    <row r="112" ht="17.4" hidden="1" spans="1:11">
      <c r="A112" s="347">
        <v>4</v>
      </c>
      <c r="B112" s="348" t="s">
        <v>58</v>
      </c>
      <c r="C112" s="372"/>
      <c r="D112" s="350"/>
      <c r="E112" s="350">
        <v>0</v>
      </c>
      <c r="F112" s="350"/>
      <c r="G112" s="350"/>
      <c r="H112" s="351"/>
      <c r="I112" s="364"/>
      <c r="J112" s="364">
        <v>977</v>
      </c>
      <c r="K112" s="364">
        <v>1884</v>
      </c>
    </row>
    <row r="113" ht="17.4" hidden="1" spans="1:11">
      <c r="A113" s="347">
        <v>5</v>
      </c>
      <c r="B113" s="348" t="s">
        <v>58</v>
      </c>
      <c r="C113" s="349">
        <v>50002894</v>
      </c>
      <c r="D113" s="350"/>
      <c r="E113" s="350">
        <v>14920</v>
      </c>
      <c r="F113" s="371">
        <f>(Reading_export[[#This Row],[9/10/2024]]-Reading_export[[#This Row],[1/5/2024]])/192*92+Reading_export[[#This Row],[1/5/2024]]</f>
        <v>16776.1575</v>
      </c>
      <c r="G113" s="350"/>
      <c r="H113" s="351">
        <v>18793.72</v>
      </c>
      <c r="I113" s="364">
        <v>23460</v>
      </c>
      <c r="J113" s="364">
        <v>26444</v>
      </c>
      <c r="K113" s="364">
        <v>27797</v>
      </c>
    </row>
    <row r="114" ht="17.4" hidden="1" spans="1:11">
      <c r="A114" s="347">
        <v>6</v>
      </c>
      <c r="B114" s="348" t="s">
        <v>58</v>
      </c>
      <c r="C114" s="349">
        <v>50002835</v>
      </c>
      <c r="D114" s="350"/>
      <c r="E114" s="350">
        <v>2380</v>
      </c>
      <c r="F114" s="350">
        <v>3654</v>
      </c>
      <c r="G114" s="350"/>
      <c r="H114" s="351">
        <v>4943.24</v>
      </c>
      <c r="I114" s="364">
        <v>7334</v>
      </c>
      <c r="J114" s="364">
        <v>8999</v>
      </c>
      <c r="K114" s="364">
        <v>9874</v>
      </c>
    </row>
    <row r="115" ht="17.4" hidden="1" spans="1:11">
      <c r="A115" s="347">
        <v>7</v>
      </c>
      <c r="B115" s="348" t="s">
        <v>58</v>
      </c>
      <c r="C115" s="349">
        <v>50002899</v>
      </c>
      <c r="D115" s="350"/>
      <c r="E115" s="350">
        <v>15478</v>
      </c>
      <c r="F115" s="350">
        <v>16912</v>
      </c>
      <c r="G115" s="350"/>
      <c r="H115" s="351">
        <v>18219.93</v>
      </c>
      <c r="I115" s="364">
        <v>20650</v>
      </c>
      <c r="J115" s="364">
        <v>22284</v>
      </c>
      <c r="K115" s="364">
        <v>23141</v>
      </c>
    </row>
    <row r="116" ht="17.4" hidden="1" spans="1:11">
      <c r="A116" s="347">
        <v>8</v>
      </c>
      <c r="B116" s="348" t="s">
        <v>58</v>
      </c>
      <c r="C116" s="349">
        <v>50002910</v>
      </c>
      <c r="D116" s="350"/>
      <c r="E116" s="350">
        <v>0</v>
      </c>
      <c r="F116" s="350">
        <v>909</v>
      </c>
      <c r="G116" s="350"/>
      <c r="H116" s="351">
        <v>2240.54</v>
      </c>
      <c r="I116" s="364">
        <v>4648</v>
      </c>
      <c r="J116" s="364">
        <v>6275</v>
      </c>
      <c r="K116" s="364">
        <v>7164</v>
      </c>
    </row>
    <row r="117" ht="17.4" hidden="1" spans="1:11">
      <c r="A117" s="347">
        <v>9</v>
      </c>
      <c r="B117" s="348" t="s">
        <v>58</v>
      </c>
      <c r="C117" s="349">
        <v>50002960</v>
      </c>
      <c r="D117" s="350"/>
      <c r="E117" s="350">
        <v>4020</v>
      </c>
      <c r="F117" s="350">
        <v>6334</v>
      </c>
      <c r="G117" s="350"/>
      <c r="H117" s="351">
        <v>8388.68</v>
      </c>
      <c r="I117" s="364">
        <v>12198</v>
      </c>
      <c r="J117" s="364">
        <v>14761</v>
      </c>
      <c r="K117" s="364">
        <v>16106</v>
      </c>
    </row>
    <row r="118" ht="17.4" hidden="1" spans="1:11">
      <c r="A118" s="347">
        <v>10</v>
      </c>
      <c r="B118" s="348" t="s">
        <v>58</v>
      </c>
      <c r="C118" s="349">
        <v>50002926</v>
      </c>
      <c r="D118" s="350"/>
      <c r="E118" s="350">
        <v>1341</v>
      </c>
      <c r="F118" s="350">
        <v>3057</v>
      </c>
      <c r="G118" s="350"/>
      <c r="H118" s="351">
        <v>5128.47</v>
      </c>
      <c r="I118" s="364">
        <v>8926</v>
      </c>
      <c r="J118" s="364">
        <v>11544</v>
      </c>
      <c r="K118" s="364">
        <v>12763</v>
      </c>
    </row>
    <row r="119" ht="17.4" hidden="1" spans="1:11">
      <c r="A119" s="347">
        <v>11</v>
      </c>
      <c r="B119" s="348" t="s">
        <v>58</v>
      </c>
      <c r="C119" s="372"/>
      <c r="D119" s="350"/>
      <c r="E119" s="350">
        <v>0</v>
      </c>
      <c r="F119" s="350"/>
      <c r="G119" s="350"/>
      <c r="H119" s="351"/>
      <c r="I119" s="364"/>
      <c r="J119" s="364"/>
      <c r="K119" s="364"/>
    </row>
    <row r="120" ht="17.4" hidden="1" spans="1:11">
      <c r="A120" s="347">
        <v>12</v>
      </c>
      <c r="B120" s="348" t="s">
        <v>58</v>
      </c>
      <c r="C120" s="373"/>
      <c r="D120" s="350"/>
      <c r="E120" s="350">
        <v>0</v>
      </c>
      <c r="F120" s="350"/>
      <c r="G120" s="350"/>
      <c r="H120" s="351"/>
      <c r="I120" s="364"/>
      <c r="J120" s="364">
        <v>92.39</v>
      </c>
      <c r="K120" s="364">
        <v>92.39</v>
      </c>
    </row>
    <row r="121" ht="17.4" hidden="1" spans="1:11">
      <c r="A121" s="347">
        <v>13</v>
      </c>
      <c r="B121" s="348" t="s">
        <v>58</v>
      </c>
      <c r="C121" s="373"/>
      <c r="D121" s="350"/>
      <c r="E121" s="350">
        <v>0</v>
      </c>
      <c r="F121" s="350"/>
      <c r="G121" s="350"/>
      <c r="H121" s="351"/>
      <c r="I121" s="364"/>
      <c r="J121" s="364">
        <v>1087</v>
      </c>
      <c r="K121" s="364"/>
    </row>
    <row r="122" ht="17.4" hidden="1" spans="1:11">
      <c r="A122" s="347">
        <v>14</v>
      </c>
      <c r="B122" s="348" t="s">
        <v>58</v>
      </c>
      <c r="C122" s="372"/>
      <c r="D122" s="350"/>
      <c r="E122" s="350">
        <v>0</v>
      </c>
      <c r="F122" s="350"/>
      <c r="G122" s="350"/>
      <c r="H122" s="351"/>
      <c r="I122" s="364"/>
      <c r="J122" s="364"/>
      <c r="K122" s="364"/>
    </row>
    <row r="123" ht="17.4" hidden="1" spans="1:11">
      <c r="A123" s="347">
        <v>15</v>
      </c>
      <c r="B123" s="348" t="s">
        <v>58</v>
      </c>
      <c r="C123" s="349">
        <v>50002930</v>
      </c>
      <c r="D123" s="350"/>
      <c r="E123" s="350">
        <v>0</v>
      </c>
      <c r="F123" s="371">
        <f>(Reading_export[[#This Row],[9/10/2024]]-Reading_export[[#This Row],[1/5/2024]])/192*92+Reading_export[[#This Row],[1/5/2024]]</f>
        <v>441.556875</v>
      </c>
      <c r="G123" s="350"/>
      <c r="H123" s="351">
        <v>921.51</v>
      </c>
      <c r="I123" s="364">
        <v>3533</v>
      </c>
      <c r="J123" s="364">
        <v>4556</v>
      </c>
      <c r="K123" s="364">
        <v>4556</v>
      </c>
    </row>
    <row r="124" ht="17.4" hidden="1" spans="1:11">
      <c r="A124" s="347">
        <v>16</v>
      </c>
      <c r="B124" s="348" t="s">
        <v>58</v>
      </c>
      <c r="C124" s="349">
        <v>50002843</v>
      </c>
      <c r="D124" s="350"/>
      <c r="E124" s="350">
        <v>15488</v>
      </c>
      <c r="F124" s="350">
        <v>17042</v>
      </c>
      <c r="G124" s="350"/>
      <c r="H124" s="351">
        <v>18338.25</v>
      </c>
      <c r="I124" s="364">
        <v>20684</v>
      </c>
      <c r="J124" s="364">
        <v>22227</v>
      </c>
      <c r="K124" s="364">
        <v>23050</v>
      </c>
    </row>
    <row r="125" ht="17.4" hidden="1" spans="1:11">
      <c r="A125" s="347">
        <v>17</v>
      </c>
      <c r="B125" s="348" t="s">
        <v>58</v>
      </c>
      <c r="C125" s="349">
        <v>50002929</v>
      </c>
      <c r="D125" s="350"/>
      <c r="E125" s="350">
        <v>1</v>
      </c>
      <c r="F125" s="350">
        <v>1</v>
      </c>
      <c r="G125" s="350"/>
      <c r="H125" s="351">
        <v>384.26</v>
      </c>
      <c r="I125" s="364">
        <v>2335</v>
      </c>
      <c r="J125" s="364">
        <v>3995</v>
      </c>
      <c r="K125" s="364">
        <v>4814</v>
      </c>
    </row>
    <row r="126" ht="17.4" hidden="1" spans="1:11">
      <c r="A126" s="347">
        <v>18</v>
      </c>
      <c r="B126" s="348" t="s">
        <v>58</v>
      </c>
      <c r="C126" s="373"/>
      <c r="D126" s="350"/>
      <c r="E126" s="350">
        <v>0</v>
      </c>
      <c r="F126" s="350"/>
      <c r="G126" s="350"/>
      <c r="H126" s="351"/>
      <c r="I126" s="364"/>
      <c r="J126" s="364"/>
      <c r="K126" s="364"/>
    </row>
    <row r="127" ht="17.4" hidden="1" spans="1:11">
      <c r="A127" s="347">
        <v>19</v>
      </c>
      <c r="B127" s="348" t="s">
        <v>58</v>
      </c>
      <c r="C127" s="373"/>
      <c r="D127" s="350"/>
      <c r="E127" s="350">
        <v>0</v>
      </c>
      <c r="F127" s="350"/>
      <c r="G127" s="350"/>
      <c r="H127" s="351"/>
      <c r="I127" s="364"/>
      <c r="J127" s="364"/>
      <c r="K127" s="364"/>
    </row>
    <row r="128" ht="17.4" hidden="1" spans="1:11">
      <c r="A128" s="347">
        <v>20</v>
      </c>
      <c r="B128" s="348" t="s">
        <v>58</v>
      </c>
      <c r="C128" s="372"/>
      <c r="D128" s="350"/>
      <c r="E128" s="350">
        <v>0</v>
      </c>
      <c r="F128" s="350"/>
      <c r="G128" s="350"/>
      <c r="H128" s="351"/>
      <c r="I128" s="364"/>
      <c r="J128" s="364">
        <v>15</v>
      </c>
      <c r="K128" s="364"/>
    </row>
    <row r="129" ht="17.4" hidden="1" spans="1:11">
      <c r="A129" s="347">
        <v>21</v>
      </c>
      <c r="B129" s="348" t="s">
        <v>58</v>
      </c>
      <c r="C129" s="373"/>
      <c r="D129" s="350"/>
      <c r="E129" s="350">
        <v>10846</v>
      </c>
      <c r="F129" s="350">
        <v>14184</v>
      </c>
      <c r="G129" s="350"/>
      <c r="H129" s="351">
        <v>16970.26</v>
      </c>
      <c r="I129" s="364">
        <v>21950</v>
      </c>
      <c r="J129" s="364">
        <v>25150</v>
      </c>
      <c r="K129" s="364">
        <v>26811</v>
      </c>
    </row>
    <row r="130" ht="17.4" hidden="1" spans="1:11">
      <c r="A130" s="347">
        <v>22</v>
      </c>
      <c r="B130" s="348" t="s">
        <v>58</v>
      </c>
      <c r="C130" s="372"/>
      <c r="D130" s="350"/>
      <c r="E130" s="350">
        <v>0</v>
      </c>
      <c r="F130" s="350"/>
      <c r="G130" s="350"/>
      <c r="H130" s="351"/>
      <c r="I130" s="364"/>
      <c r="J130" s="364"/>
      <c r="K130" s="364"/>
    </row>
    <row r="131" hidden="1" spans="1:11">
      <c r="A131" s="355" t="s">
        <v>334</v>
      </c>
      <c r="B131" s="348" t="s">
        <v>58</v>
      </c>
      <c r="C131" s="349">
        <v>2902000956</v>
      </c>
      <c r="D131" s="350"/>
      <c r="E131" s="350">
        <v>0</v>
      </c>
      <c r="F131" s="350">
        <v>0</v>
      </c>
      <c r="G131" s="350"/>
      <c r="H131" s="351"/>
      <c r="I131" s="364">
        <v>7423.63</v>
      </c>
      <c r="J131" s="364">
        <v>11163.28</v>
      </c>
      <c r="K131" s="364">
        <v>13178.06</v>
      </c>
    </row>
    <row r="132" ht="17.4" hidden="1" spans="1:11">
      <c r="A132" s="347" t="s">
        <v>336</v>
      </c>
      <c r="B132" s="348" t="s">
        <v>58</v>
      </c>
      <c r="C132" s="349">
        <v>2902000944</v>
      </c>
      <c r="D132" s="350"/>
      <c r="E132" s="350">
        <v>0</v>
      </c>
      <c r="F132" s="350"/>
      <c r="G132" s="350"/>
      <c r="H132" s="351"/>
      <c r="I132" s="364"/>
      <c r="J132" s="364"/>
      <c r="K132" s="364"/>
    </row>
    <row r="133" ht="17.4" hidden="1" spans="1:11">
      <c r="A133" s="347" t="s">
        <v>339</v>
      </c>
      <c r="B133" s="348" t="s">
        <v>58</v>
      </c>
      <c r="C133" s="349">
        <v>2912025226</v>
      </c>
      <c r="D133" s="350"/>
      <c r="E133" s="350">
        <v>0</v>
      </c>
      <c r="F133" s="350">
        <v>0</v>
      </c>
      <c r="G133" s="350"/>
      <c r="H133" s="351"/>
      <c r="I133" s="364"/>
      <c r="J133" s="364">
        <v>0</v>
      </c>
      <c r="K133" s="364">
        <v>0</v>
      </c>
    </row>
    <row r="134" hidden="1" spans="1:11">
      <c r="A134" s="360" t="s">
        <v>341</v>
      </c>
      <c r="B134" s="348" t="s">
        <v>58</v>
      </c>
      <c r="C134" s="349"/>
      <c r="D134" s="350"/>
      <c r="E134" s="350"/>
      <c r="F134" s="350"/>
      <c r="G134" s="350"/>
      <c r="H134" s="351"/>
      <c r="I134" s="364"/>
      <c r="J134" s="364"/>
      <c r="K134" s="364"/>
    </row>
    <row r="135" hidden="1" spans="1:11">
      <c r="A135" s="361" t="s">
        <v>342</v>
      </c>
      <c r="B135" s="348" t="s">
        <v>58</v>
      </c>
      <c r="C135" s="349"/>
      <c r="D135" s="350"/>
      <c r="E135" s="350"/>
      <c r="F135" s="350"/>
      <c r="G135" s="350"/>
      <c r="H135" s="351"/>
      <c r="I135" s="364"/>
      <c r="J135" s="364"/>
      <c r="K135" s="364"/>
    </row>
    <row r="136" ht="17.4" spans="1:11">
      <c r="A136" s="347">
        <v>1</v>
      </c>
      <c r="B136" s="348" t="s">
        <v>59</v>
      </c>
      <c r="C136" s="352"/>
      <c r="D136" s="350"/>
      <c r="E136" s="350">
        <v>0</v>
      </c>
      <c r="F136" s="350"/>
      <c r="G136" s="350"/>
      <c r="H136" s="351">
        <v>0</v>
      </c>
      <c r="I136" s="364"/>
      <c r="J136" s="382"/>
      <c r="K136" s="382"/>
    </row>
    <row r="137" ht="17.4" spans="1:11">
      <c r="A137" s="347">
        <v>2</v>
      </c>
      <c r="B137" s="348" t="s">
        <v>59</v>
      </c>
      <c r="C137" s="352"/>
      <c r="D137" s="350"/>
      <c r="E137" s="350"/>
      <c r="F137" s="350"/>
      <c r="G137" s="350"/>
      <c r="H137" s="351"/>
      <c r="I137" s="364"/>
      <c r="J137" s="382"/>
      <c r="K137" s="382"/>
    </row>
    <row r="138" ht="17.4" spans="1:11">
      <c r="A138" s="347">
        <v>3</v>
      </c>
      <c r="B138" s="348" t="s">
        <v>59</v>
      </c>
      <c r="C138" s="374"/>
      <c r="D138" s="350"/>
      <c r="E138" s="350"/>
      <c r="F138" s="350"/>
      <c r="G138" s="350"/>
      <c r="H138" s="351"/>
      <c r="I138" s="364"/>
      <c r="J138" s="382"/>
      <c r="K138" s="382"/>
    </row>
    <row r="139" ht="17.4" spans="1:11">
      <c r="A139" s="347">
        <v>4</v>
      </c>
      <c r="B139" s="348" t="s">
        <v>59</v>
      </c>
      <c r="C139" s="349">
        <v>50002962</v>
      </c>
      <c r="D139" s="350"/>
      <c r="E139" s="350">
        <v>5273</v>
      </c>
      <c r="F139" s="350"/>
      <c r="G139" s="350"/>
      <c r="H139" s="351">
        <v>6792.32</v>
      </c>
      <c r="I139" s="364">
        <v>9443</v>
      </c>
      <c r="J139" s="383">
        <v>11255</v>
      </c>
      <c r="K139" s="383">
        <v>12253</v>
      </c>
    </row>
    <row r="140" ht="17.4" spans="1:11">
      <c r="A140" s="347">
        <v>5</v>
      </c>
      <c r="B140" s="348" t="s">
        <v>59</v>
      </c>
      <c r="C140" s="374"/>
      <c r="D140" s="350"/>
      <c r="E140" s="350"/>
      <c r="F140" s="350"/>
      <c r="G140" s="350"/>
      <c r="H140" s="351"/>
      <c r="I140" s="364"/>
      <c r="J140" s="382"/>
      <c r="K140" s="382"/>
    </row>
    <row r="141" ht="17.4" spans="1:11">
      <c r="A141" s="347">
        <v>6</v>
      </c>
      <c r="B141" s="348" t="s">
        <v>59</v>
      </c>
      <c r="C141" s="374"/>
      <c r="D141" s="350"/>
      <c r="E141" s="350"/>
      <c r="F141" s="350"/>
      <c r="G141" s="350"/>
      <c r="H141" s="351"/>
      <c r="I141" s="364"/>
      <c r="J141" s="382"/>
      <c r="K141" s="382"/>
    </row>
    <row r="142" ht="17.4" spans="1:11">
      <c r="A142" s="347">
        <v>7</v>
      </c>
      <c r="B142" s="348" t="s">
        <v>59</v>
      </c>
      <c r="C142" s="349">
        <v>50003423</v>
      </c>
      <c r="D142" s="350"/>
      <c r="E142" s="350">
        <v>5416</v>
      </c>
      <c r="F142" s="350"/>
      <c r="G142" s="350"/>
      <c r="H142" s="351">
        <v>7729</v>
      </c>
      <c r="I142" s="364">
        <v>11899</v>
      </c>
      <c r="J142" s="383">
        <v>14701</v>
      </c>
      <c r="K142" s="383">
        <v>16309</v>
      </c>
    </row>
    <row r="143" ht="17.4" spans="1:11">
      <c r="A143" s="347">
        <v>8</v>
      </c>
      <c r="B143" s="348" t="s">
        <v>59</v>
      </c>
      <c r="C143" s="374"/>
      <c r="D143" s="350"/>
      <c r="E143" s="350"/>
      <c r="F143" s="350"/>
      <c r="G143" s="350"/>
      <c r="H143" s="351"/>
      <c r="I143" s="364"/>
      <c r="J143" s="382"/>
      <c r="K143" s="382"/>
    </row>
    <row r="144" ht="17.4" spans="1:11">
      <c r="A144" s="347">
        <v>9</v>
      </c>
      <c r="B144" s="348" t="s">
        <v>59</v>
      </c>
      <c r="C144" s="352"/>
      <c r="D144" s="350"/>
      <c r="E144" s="350">
        <v>0</v>
      </c>
      <c r="F144" s="350"/>
      <c r="G144" s="350"/>
      <c r="H144" s="351">
        <v>0</v>
      </c>
      <c r="I144" s="364">
        <v>0</v>
      </c>
      <c r="J144" s="383">
        <v>512</v>
      </c>
      <c r="K144" s="383">
        <v>1528</v>
      </c>
    </row>
    <row r="145" ht="17.4" spans="1:11">
      <c r="A145" s="347">
        <v>10</v>
      </c>
      <c r="B145" s="348" t="s">
        <v>59</v>
      </c>
      <c r="C145" s="352"/>
      <c r="D145" s="350"/>
      <c r="E145" s="350"/>
      <c r="F145" s="350"/>
      <c r="G145" s="350"/>
      <c r="H145" s="351"/>
      <c r="I145" s="364"/>
      <c r="J145" s="382"/>
      <c r="K145" s="382"/>
    </row>
    <row r="146" ht="17.4" spans="1:11">
      <c r="A146" s="347">
        <v>11</v>
      </c>
      <c r="B146" s="348" t="s">
        <v>59</v>
      </c>
      <c r="C146" s="374"/>
      <c r="D146" s="350"/>
      <c r="E146" s="350">
        <v>0</v>
      </c>
      <c r="F146" s="350"/>
      <c r="G146" s="350"/>
      <c r="H146" s="351">
        <v>0</v>
      </c>
      <c r="I146" s="364"/>
      <c r="J146" s="382"/>
      <c r="K146" s="382"/>
    </row>
    <row r="147" ht="17.4" spans="1:11">
      <c r="A147" s="347">
        <v>12</v>
      </c>
      <c r="B147" s="348" t="s">
        <v>59</v>
      </c>
      <c r="C147" s="352"/>
      <c r="D147" s="350"/>
      <c r="E147" s="350">
        <v>0</v>
      </c>
      <c r="F147" s="350"/>
      <c r="G147" s="350"/>
      <c r="H147" s="351">
        <v>0</v>
      </c>
      <c r="I147" s="364"/>
      <c r="J147" s="382"/>
      <c r="K147" s="382"/>
    </row>
    <row r="148" ht="17.4" spans="1:11">
      <c r="A148" s="347">
        <v>13</v>
      </c>
      <c r="B148" s="348" t="s">
        <v>59</v>
      </c>
      <c r="C148" s="374"/>
      <c r="D148" s="350"/>
      <c r="E148" s="350"/>
      <c r="F148" s="350"/>
      <c r="G148" s="350"/>
      <c r="H148" s="351"/>
      <c r="I148" s="364"/>
      <c r="J148" s="382"/>
      <c r="K148" s="382"/>
    </row>
    <row r="149" ht="17.4" spans="1:11">
      <c r="A149" s="347">
        <v>14</v>
      </c>
      <c r="B149" s="348" t="s">
        <v>59</v>
      </c>
      <c r="C149" s="352"/>
      <c r="D149" s="350"/>
      <c r="E149" s="350"/>
      <c r="F149" s="350"/>
      <c r="G149" s="350"/>
      <c r="H149" s="351"/>
      <c r="I149" s="364"/>
      <c r="J149" s="382"/>
      <c r="K149" s="382"/>
    </row>
    <row r="150" ht="17.4" spans="1:11">
      <c r="A150" s="347">
        <v>15</v>
      </c>
      <c r="B150" s="348" t="s">
        <v>59</v>
      </c>
      <c r="C150" s="374"/>
      <c r="D150" s="350"/>
      <c r="E150" s="350">
        <v>0</v>
      </c>
      <c r="F150" s="350"/>
      <c r="G150" s="350"/>
      <c r="H150" s="351">
        <v>0</v>
      </c>
      <c r="I150" s="364"/>
      <c r="J150" s="382"/>
      <c r="K150" s="382"/>
    </row>
    <row r="151" ht="17.4" spans="1:11">
      <c r="A151" s="347">
        <v>16</v>
      </c>
      <c r="B151" s="348" t="s">
        <v>59</v>
      </c>
      <c r="C151" s="374"/>
      <c r="D151" s="350"/>
      <c r="E151" s="350">
        <v>0</v>
      </c>
      <c r="F151" s="350"/>
      <c r="G151" s="350"/>
      <c r="H151" s="351">
        <v>1180</v>
      </c>
      <c r="I151" s="384">
        <v>3287.63636363636</v>
      </c>
      <c r="J151" s="383">
        <v>5346</v>
      </c>
      <c r="K151" s="383">
        <v>6254</v>
      </c>
    </row>
    <row r="152" ht="17.4" spans="1:11">
      <c r="A152" s="347">
        <v>17</v>
      </c>
      <c r="B152" s="348" t="s">
        <v>59</v>
      </c>
      <c r="C152" s="374"/>
      <c r="D152" s="350"/>
      <c r="E152" s="350"/>
      <c r="F152" s="350"/>
      <c r="G152" s="350"/>
      <c r="H152" s="351"/>
      <c r="I152" s="364"/>
      <c r="J152" s="382"/>
      <c r="K152" s="382"/>
    </row>
    <row r="153" ht="17.4" spans="1:11">
      <c r="A153" s="347">
        <v>18</v>
      </c>
      <c r="B153" s="348" t="s">
        <v>59</v>
      </c>
      <c r="C153" s="352"/>
      <c r="D153" s="350"/>
      <c r="E153" s="350">
        <v>0</v>
      </c>
      <c r="F153" s="350"/>
      <c r="G153" s="350"/>
      <c r="H153" s="351">
        <v>0</v>
      </c>
      <c r="I153" s="364"/>
      <c r="J153" s="382"/>
      <c r="K153" s="382"/>
    </row>
    <row r="154" ht="17.4" spans="1:11">
      <c r="A154" s="347">
        <v>19</v>
      </c>
      <c r="B154" s="348" t="s">
        <v>59</v>
      </c>
      <c r="C154" s="349">
        <v>50003387</v>
      </c>
      <c r="D154" s="350"/>
      <c r="E154" s="350">
        <v>4854</v>
      </c>
      <c r="F154" s="350"/>
      <c r="G154" s="350"/>
      <c r="H154" s="351">
        <v>6044</v>
      </c>
      <c r="I154" s="364">
        <v>8595</v>
      </c>
      <c r="J154" s="383">
        <v>10663</v>
      </c>
      <c r="K154" s="383">
        <v>11493</v>
      </c>
    </row>
    <row r="155" ht="17.4" spans="1:11">
      <c r="A155" s="347">
        <v>20</v>
      </c>
      <c r="B155" s="348" t="s">
        <v>59</v>
      </c>
      <c r="C155" s="374"/>
      <c r="D155" s="350"/>
      <c r="E155" s="350"/>
      <c r="F155" s="350"/>
      <c r="G155" s="350"/>
      <c r="H155" s="351"/>
      <c r="I155" s="364"/>
      <c r="J155" s="382"/>
      <c r="K155" s="382"/>
    </row>
    <row r="156" ht="17.4" spans="1:11">
      <c r="A156" s="347">
        <v>21</v>
      </c>
      <c r="B156" s="348" t="s">
        <v>59</v>
      </c>
      <c r="C156" s="374"/>
      <c r="D156" s="350"/>
      <c r="E156" s="350"/>
      <c r="F156" s="350"/>
      <c r="G156" s="350"/>
      <c r="H156" s="351"/>
      <c r="I156" s="364"/>
      <c r="J156" s="382"/>
      <c r="K156" s="382"/>
    </row>
    <row r="157" ht="17.4" spans="1:11">
      <c r="A157" s="347">
        <v>22</v>
      </c>
      <c r="B157" s="348" t="s">
        <v>59</v>
      </c>
      <c r="C157" s="349">
        <v>50002397</v>
      </c>
      <c r="D157" s="350"/>
      <c r="E157" s="350">
        <v>802</v>
      </c>
      <c r="F157" s="350"/>
      <c r="G157" s="350"/>
      <c r="H157" s="351">
        <v>1978</v>
      </c>
      <c r="I157" s="364">
        <v>4682</v>
      </c>
      <c r="J157" s="383">
        <v>6531</v>
      </c>
      <c r="K157" s="383">
        <v>7389</v>
      </c>
    </row>
    <row r="158" ht="17.4" spans="1:11">
      <c r="A158" s="347">
        <v>23</v>
      </c>
      <c r="B158" s="348" t="s">
        <v>59</v>
      </c>
      <c r="C158" s="374"/>
      <c r="D158" s="350"/>
      <c r="E158" s="350"/>
      <c r="F158" s="350"/>
      <c r="G158" s="350"/>
      <c r="H158" s="351"/>
      <c r="I158" s="364"/>
      <c r="J158" s="382"/>
      <c r="K158" s="382"/>
    </row>
    <row r="159" ht="17.4" spans="1:11">
      <c r="A159" s="347">
        <v>24</v>
      </c>
      <c r="B159" s="348" t="s">
        <v>59</v>
      </c>
      <c r="C159" s="349">
        <v>50002985</v>
      </c>
      <c r="D159" s="350"/>
      <c r="E159" s="350">
        <v>3274</v>
      </c>
      <c r="F159" s="350"/>
      <c r="G159" s="350"/>
      <c r="H159" s="351">
        <v>5957</v>
      </c>
      <c r="I159" s="364">
        <v>11400</v>
      </c>
      <c r="J159" s="383">
        <v>15173</v>
      </c>
      <c r="K159" s="383">
        <v>17190</v>
      </c>
    </row>
    <row r="160" ht="17.4" spans="1:11">
      <c r="A160" s="347">
        <v>25</v>
      </c>
      <c r="B160" s="348" t="s">
        <v>59</v>
      </c>
      <c r="C160" s="349">
        <v>50002966</v>
      </c>
      <c r="D160" s="350"/>
      <c r="E160" s="350">
        <v>1174</v>
      </c>
      <c r="F160" s="350"/>
      <c r="G160" s="350"/>
      <c r="H160" s="351">
        <v>4834</v>
      </c>
      <c r="I160" s="364">
        <v>7439</v>
      </c>
      <c r="J160" s="383">
        <v>9225</v>
      </c>
      <c r="K160" s="383">
        <v>10177</v>
      </c>
    </row>
    <row r="161" ht="17.4" spans="1:11">
      <c r="A161" s="347">
        <v>26</v>
      </c>
      <c r="B161" s="348" t="s">
        <v>59</v>
      </c>
      <c r="C161" s="372"/>
      <c r="D161" s="350"/>
      <c r="E161" s="350"/>
      <c r="F161" s="350"/>
      <c r="G161" s="350"/>
      <c r="H161" s="351"/>
      <c r="I161" s="364"/>
      <c r="J161" s="382"/>
      <c r="K161" s="382"/>
    </row>
    <row r="162" ht="17.4" spans="1:11">
      <c r="A162" s="347">
        <v>27</v>
      </c>
      <c r="B162" s="348" t="s">
        <v>59</v>
      </c>
      <c r="C162" s="372"/>
      <c r="D162" s="350"/>
      <c r="E162" s="350">
        <v>0</v>
      </c>
      <c r="F162" s="350"/>
      <c r="G162" s="350"/>
      <c r="H162" s="351">
        <v>0</v>
      </c>
      <c r="I162" s="364">
        <v>0</v>
      </c>
      <c r="J162" s="383">
        <v>1665</v>
      </c>
      <c r="K162" s="383">
        <v>3300</v>
      </c>
    </row>
    <row r="163" customHeight="1" spans="1:11">
      <c r="A163" s="355" t="s">
        <v>334</v>
      </c>
      <c r="B163" s="348" t="s">
        <v>59</v>
      </c>
      <c r="C163" s="349">
        <v>2911041070</v>
      </c>
      <c r="D163" s="350"/>
      <c r="E163" s="350">
        <v>115.13</v>
      </c>
      <c r="F163" s="350"/>
      <c r="G163" s="350"/>
      <c r="H163" s="351">
        <v>115.14</v>
      </c>
      <c r="I163" s="364">
        <v>946.85</v>
      </c>
      <c r="J163" s="383">
        <v>2485.56</v>
      </c>
      <c r="K163" s="383">
        <v>2485.57</v>
      </c>
    </row>
    <row r="164" ht="17.4" spans="1:11">
      <c r="A164" s="347" t="s">
        <v>336</v>
      </c>
      <c r="B164" s="348" t="s">
        <v>59</v>
      </c>
      <c r="C164" s="349">
        <v>2911041113</v>
      </c>
      <c r="D164" s="350"/>
      <c r="E164" s="350">
        <v>0</v>
      </c>
      <c r="F164" s="350"/>
      <c r="G164" s="350"/>
      <c r="H164" s="351">
        <v>0</v>
      </c>
      <c r="I164" s="364"/>
      <c r="J164" s="382"/>
      <c r="K164" s="382"/>
    </row>
    <row r="165" ht="17.4" spans="1:11">
      <c r="A165" s="347" t="s">
        <v>339</v>
      </c>
      <c r="B165" s="348" t="s">
        <v>59</v>
      </c>
      <c r="C165" s="352"/>
      <c r="D165" s="350"/>
      <c r="E165" s="350">
        <v>0</v>
      </c>
      <c r="F165" s="350"/>
      <c r="G165" s="350"/>
      <c r="H165" s="351">
        <v>0</v>
      </c>
      <c r="I165" s="364"/>
      <c r="J165" s="383">
        <v>0</v>
      </c>
      <c r="K165" s="383">
        <v>0</v>
      </c>
    </row>
    <row r="166" spans="1:11">
      <c r="A166" s="360" t="s">
        <v>341</v>
      </c>
      <c r="B166" s="348" t="s">
        <v>59</v>
      </c>
      <c r="C166" s="375"/>
      <c r="D166" s="350"/>
      <c r="E166" s="350"/>
      <c r="F166" s="350"/>
      <c r="G166" s="350"/>
      <c r="H166" s="351"/>
      <c r="I166" s="364"/>
      <c r="J166" s="382"/>
      <c r="K166" s="382"/>
    </row>
    <row r="167" spans="1:11">
      <c r="A167" s="361" t="s">
        <v>342</v>
      </c>
      <c r="B167" s="348" t="s">
        <v>59</v>
      </c>
      <c r="C167" s="375"/>
      <c r="D167" s="350"/>
      <c r="E167" s="350"/>
      <c r="F167" s="350"/>
      <c r="G167" s="350"/>
      <c r="H167" s="351"/>
      <c r="I167" s="364"/>
      <c r="J167" s="382"/>
      <c r="K167" s="382"/>
    </row>
    <row r="168" hidden="1" spans="1:11">
      <c r="A168" s="376">
        <v>1</v>
      </c>
      <c r="B168" s="348" t="s">
        <v>60</v>
      </c>
      <c r="C168" s="352"/>
      <c r="D168" s="350"/>
      <c r="E168" s="350">
        <v>0</v>
      </c>
      <c r="F168" s="350">
        <v>0</v>
      </c>
      <c r="G168" s="350">
        <v>0</v>
      </c>
      <c r="H168" s="351">
        <v>0</v>
      </c>
      <c r="I168" s="364">
        <v>0</v>
      </c>
      <c r="J168" s="364">
        <v>0</v>
      </c>
      <c r="K168" s="364"/>
    </row>
    <row r="169" hidden="1" spans="1:11">
      <c r="A169" s="376">
        <v>2</v>
      </c>
      <c r="B169" s="348" t="s">
        <v>60</v>
      </c>
      <c r="C169" s="352"/>
      <c r="D169" s="350"/>
      <c r="E169" s="350">
        <v>0</v>
      </c>
      <c r="F169" s="350">
        <v>0</v>
      </c>
      <c r="G169" s="350">
        <v>0</v>
      </c>
      <c r="H169" s="351">
        <v>0</v>
      </c>
      <c r="I169" s="364">
        <v>4106.37</v>
      </c>
      <c r="J169" s="364">
        <v>7043.77</v>
      </c>
      <c r="K169" s="364"/>
    </row>
    <row r="170" hidden="1" spans="1:11">
      <c r="A170" s="376">
        <v>3</v>
      </c>
      <c r="B170" s="348" t="s">
        <v>60</v>
      </c>
      <c r="C170" s="374"/>
      <c r="D170" s="350"/>
      <c r="E170" s="350">
        <v>0</v>
      </c>
      <c r="F170" s="350">
        <v>0</v>
      </c>
      <c r="G170" s="350">
        <v>0</v>
      </c>
      <c r="H170" s="351">
        <v>0</v>
      </c>
      <c r="I170" s="364">
        <v>0</v>
      </c>
      <c r="J170" s="364">
        <v>0</v>
      </c>
      <c r="K170" s="364"/>
    </row>
    <row r="171" hidden="1" spans="1:11">
      <c r="A171" s="376">
        <v>4</v>
      </c>
      <c r="B171" s="348" t="s">
        <v>60</v>
      </c>
      <c r="C171" s="349">
        <v>50002962</v>
      </c>
      <c r="D171" s="350"/>
      <c r="E171" s="350">
        <v>0</v>
      </c>
      <c r="F171" s="350">
        <v>0</v>
      </c>
      <c r="G171" s="350">
        <v>0</v>
      </c>
      <c r="H171" s="351">
        <v>0</v>
      </c>
      <c r="I171" s="364">
        <v>0</v>
      </c>
      <c r="J171" s="364">
        <v>0</v>
      </c>
      <c r="K171" s="364"/>
    </row>
    <row r="172" hidden="1" spans="1:11">
      <c r="A172" s="376">
        <v>5</v>
      </c>
      <c r="B172" s="348" t="s">
        <v>60</v>
      </c>
      <c r="C172" s="374"/>
      <c r="D172" s="350"/>
      <c r="E172" s="350">
        <v>457</v>
      </c>
      <c r="F172" s="350">
        <v>1317</v>
      </c>
      <c r="G172" s="350">
        <v>2177</v>
      </c>
      <c r="H172" s="351">
        <v>3035.33</v>
      </c>
      <c r="I172" s="364">
        <v>7091.69</v>
      </c>
      <c r="J172" s="364">
        <v>9990.85</v>
      </c>
      <c r="K172" s="364"/>
    </row>
    <row r="173" hidden="1" spans="1:11">
      <c r="A173" s="376">
        <v>6</v>
      </c>
      <c r="B173" s="348" t="s">
        <v>60</v>
      </c>
      <c r="C173" s="374"/>
      <c r="D173" s="350"/>
      <c r="E173" s="350">
        <v>0</v>
      </c>
      <c r="F173" s="350">
        <v>0</v>
      </c>
      <c r="G173" s="350">
        <v>493.96</v>
      </c>
      <c r="H173" s="351">
        <v>806.61</v>
      </c>
      <c r="I173" s="364">
        <v>4918.05</v>
      </c>
      <c r="J173" s="364">
        <v>7953.86</v>
      </c>
      <c r="K173" s="364"/>
    </row>
    <row r="174" hidden="1" spans="1:11">
      <c r="A174" s="376">
        <v>7</v>
      </c>
      <c r="B174" s="348" t="s">
        <v>60</v>
      </c>
      <c r="C174" s="349">
        <v>50003423</v>
      </c>
      <c r="D174" s="350"/>
      <c r="E174" s="350">
        <v>463</v>
      </c>
      <c r="F174" s="350">
        <v>1233.08</v>
      </c>
      <c r="G174" s="350">
        <v>1829.3</v>
      </c>
      <c r="H174" s="351">
        <v>1914.79</v>
      </c>
      <c r="I174" s="364">
        <v>3088.82</v>
      </c>
      <c r="J174" s="364">
        <v>4593.49</v>
      </c>
      <c r="K174" s="364">
        <v>5538.56</v>
      </c>
    </row>
    <row r="175" hidden="1" spans="1:11">
      <c r="A175" s="376">
        <v>8</v>
      </c>
      <c r="B175" s="348" t="s">
        <v>60</v>
      </c>
      <c r="C175" s="352"/>
      <c r="D175" s="350"/>
      <c r="E175" s="350">
        <v>4</v>
      </c>
      <c r="F175" s="350">
        <v>308.04</v>
      </c>
      <c r="G175" s="350">
        <v>2226.07</v>
      </c>
      <c r="H175" s="351">
        <v>2495.84</v>
      </c>
      <c r="I175" s="364">
        <v>6799.19</v>
      </c>
      <c r="J175" s="364">
        <v>9896.14</v>
      </c>
      <c r="K175" s="364">
        <v>11518.24</v>
      </c>
    </row>
    <row r="176" hidden="1" spans="1:11">
      <c r="A176" s="376">
        <v>9</v>
      </c>
      <c r="B176" s="348" t="s">
        <v>60</v>
      </c>
      <c r="C176" s="352"/>
      <c r="D176" s="350"/>
      <c r="E176" s="350">
        <v>0</v>
      </c>
      <c r="F176" s="350">
        <v>0</v>
      </c>
      <c r="G176" s="350">
        <v>0</v>
      </c>
      <c r="H176" s="351">
        <v>0</v>
      </c>
      <c r="I176" s="364">
        <v>0</v>
      </c>
      <c r="J176" s="364">
        <v>0</v>
      </c>
      <c r="K176" s="364"/>
    </row>
    <row r="177" hidden="1" spans="1:11">
      <c r="A177" s="376">
        <v>10</v>
      </c>
      <c r="B177" s="348" t="s">
        <v>60</v>
      </c>
      <c r="C177" s="374"/>
      <c r="D177" s="350"/>
      <c r="E177" s="350">
        <v>0</v>
      </c>
      <c r="F177" s="350">
        <v>0</v>
      </c>
      <c r="G177" s="350">
        <v>0</v>
      </c>
      <c r="H177" s="351">
        <v>0</v>
      </c>
      <c r="I177" s="364">
        <v>4.88</v>
      </c>
      <c r="J177" s="364">
        <v>1442.54</v>
      </c>
      <c r="K177" s="364"/>
    </row>
    <row r="178" hidden="1" spans="1:11">
      <c r="A178" s="376">
        <v>11</v>
      </c>
      <c r="B178" s="348" t="s">
        <v>60</v>
      </c>
      <c r="C178" s="352"/>
      <c r="D178" s="350"/>
      <c r="E178" s="350">
        <v>0</v>
      </c>
      <c r="F178" s="350">
        <v>0</v>
      </c>
      <c r="G178" s="350">
        <v>0</v>
      </c>
      <c r="H178" s="351">
        <v>0</v>
      </c>
      <c r="I178" s="364">
        <v>0</v>
      </c>
      <c r="J178" s="364">
        <v>0</v>
      </c>
      <c r="K178" s="364"/>
    </row>
    <row r="179" hidden="1" spans="1:11">
      <c r="A179" s="376">
        <v>12</v>
      </c>
      <c r="B179" s="348" t="s">
        <v>60</v>
      </c>
      <c r="C179" s="374"/>
      <c r="D179" s="350"/>
      <c r="E179" s="350">
        <v>0</v>
      </c>
      <c r="F179" s="350">
        <v>0</v>
      </c>
      <c r="G179" s="350">
        <v>0</v>
      </c>
      <c r="H179" s="351">
        <v>0</v>
      </c>
      <c r="I179" s="364">
        <v>0</v>
      </c>
      <c r="J179" s="364">
        <v>0</v>
      </c>
      <c r="K179" s="364"/>
    </row>
    <row r="180" hidden="1" spans="1:11">
      <c r="A180" s="376">
        <v>13</v>
      </c>
      <c r="B180" s="348" t="s">
        <v>60</v>
      </c>
      <c r="C180" s="352"/>
      <c r="D180" s="350"/>
      <c r="E180" s="350">
        <v>0</v>
      </c>
      <c r="F180" s="350">
        <v>0</v>
      </c>
      <c r="G180" s="350">
        <v>0</v>
      </c>
      <c r="H180" s="351">
        <v>0</v>
      </c>
      <c r="I180" s="364">
        <v>4629</v>
      </c>
      <c r="J180" s="364">
        <v>8195.72</v>
      </c>
      <c r="K180" s="364"/>
    </row>
    <row r="181" hidden="1" spans="1:11">
      <c r="A181" s="376">
        <v>14</v>
      </c>
      <c r="B181" s="348" t="s">
        <v>60</v>
      </c>
      <c r="C181" s="374"/>
      <c r="D181" s="350"/>
      <c r="E181" s="350">
        <v>0</v>
      </c>
      <c r="F181" s="350">
        <v>0</v>
      </c>
      <c r="G181" s="350">
        <v>0</v>
      </c>
      <c r="H181" s="351">
        <v>0</v>
      </c>
      <c r="I181" s="364">
        <v>0</v>
      </c>
      <c r="J181" s="364">
        <v>0</v>
      </c>
      <c r="K181" s="364"/>
    </row>
    <row r="182" hidden="1" spans="1:11">
      <c r="A182" s="376">
        <v>15</v>
      </c>
      <c r="B182" s="348" t="s">
        <v>60</v>
      </c>
      <c r="C182" s="374"/>
      <c r="D182" s="350"/>
      <c r="E182" s="350">
        <v>0</v>
      </c>
      <c r="F182" s="350">
        <v>0</v>
      </c>
      <c r="G182" s="350">
        <v>0</v>
      </c>
      <c r="H182" s="351">
        <v>0</v>
      </c>
      <c r="I182" s="364">
        <v>0</v>
      </c>
      <c r="J182" s="364">
        <v>0</v>
      </c>
      <c r="K182" s="364"/>
    </row>
    <row r="183" hidden="1" spans="1:11">
      <c r="A183" s="376">
        <v>16</v>
      </c>
      <c r="B183" s="348" t="s">
        <v>60</v>
      </c>
      <c r="C183" s="374"/>
      <c r="D183" s="350"/>
      <c r="E183" s="350">
        <v>0</v>
      </c>
      <c r="F183" s="350">
        <v>0</v>
      </c>
      <c r="G183" s="350">
        <v>0</v>
      </c>
      <c r="H183" s="351">
        <v>0</v>
      </c>
      <c r="I183" s="364">
        <v>0</v>
      </c>
      <c r="J183" s="364">
        <v>0</v>
      </c>
      <c r="K183" s="364"/>
    </row>
    <row r="184" hidden="1" spans="1:11">
      <c r="A184" s="376">
        <v>17</v>
      </c>
      <c r="B184" s="348" t="s">
        <v>60</v>
      </c>
      <c r="C184" s="352"/>
      <c r="D184" s="350"/>
      <c r="E184" s="350">
        <v>0</v>
      </c>
      <c r="F184" s="350">
        <v>0</v>
      </c>
      <c r="G184" s="350">
        <v>0</v>
      </c>
      <c r="H184" s="351">
        <v>0</v>
      </c>
      <c r="I184" s="364">
        <v>0</v>
      </c>
      <c r="J184" s="364">
        <v>0</v>
      </c>
      <c r="K184" s="364"/>
    </row>
    <row r="185" hidden="1" spans="1:11">
      <c r="A185" s="376">
        <v>18</v>
      </c>
      <c r="B185" s="348" t="s">
        <v>60</v>
      </c>
      <c r="C185" s="352"/>
      <c r="D185" s="350"/>
      <c r="E185" s="350">
        <v>4.02</v>
      </c>
      <c r="F185" s="350">
        <v>4.02</v>
      </c>
      <c r="G185" s="350">
        <v>4.02</v>
      </c>
      <c r="H185" s="351">
        <v>4.02</v>
      </c>
      <c r="I185" s="364">
        <v>4.02</v>
      </c>
      <c r="J185" s="364">
        <v>4.02</v>
      </c>
      <c r="K185" s="364"/>
    </row>
    <row r="186" hidden="1" spans="1:11">
      <c r="A186" s="376">
        <v>19</v>
      </c>
      <c r="B186" s="348" t="s">
        <v>60</v>
      </c>
      <c r="C186" s="349">
        <v>50003387</v>
      </c>
      <c r="D186" s="350"/>
      <c r="E186" s="350">
        <v>0</v>
      </c>
      <c r="F186" s="350">
        <v>0</v>
      </c>
      <c r="G186" s="350">
        <v>1.03</v>
      </c>
      <c r="H186" s="351">
        <v>1.03</v>
      </c>
      <c r="I186" s="364">
        <v>1.03</v>
      </c>
      <c r="J186" s="364">
        <v>1568.28</v>
      </c>
      <c r="K186" s="364"/>
    </row>
    <row r="187" hidden="1" spans="1:11">
      <c r="A187" s="355" t="s">
        <v>334</v>
      </c>
      <c r="B187" s="348" t="s">
        <v>60</v>
      </c>
      <c r="C187" s="349">
        <v>2911041070</v>
      </c>
      <c r="D187" s="350"/>
      <c r="E187" s="350">
        <v>0</v>
      </c>
      <c r="F187" s="350">
        <v>0</v>
      </c>
      <c r="G187" s="350">
        <v>1182.03</v>
      </c>
      <c r="H187" s="351">
        <v>1375.69</v>
      </c>
      <c r="I187" s="364">
        <v>5743.46</v>
      </c>
      <c r="J187" s="364">
        <v>8806.19</v>
      </c>
      <c r="K187" s="364">
        <v>10272.37</v>
      </c>
    </row>
    <row r="188" ht="17.4" hidden="1" spans="1:11">
      <c r="A188" s="347" t="s">
        <v>336</v>
      </c>
      <c r="B188" s="348" t="s">
        <v>60</v>
      </c>
      <c r="C188" s="349">
        <v>2911041113</v>
      </c>
      <c r="D188" s="350"/>
      <c r="E188" s="350">
        <v>0</v>
      </c>
      <c r="F188" s="350">
        <v>0</v>
      </c>
      <c r="G188" s="350"/>
      <c r="H188" s="351">
        <v>0</v>
      </c>
      <c r="I188" s="364"/>
      <c r="J188" s="364">
        <v>0</v>
      </c>
      <c r="K188" s="364"/>
    </row>
    <row r="189" ht="17.4" hidden="1" spans="1:11">
      <c r="A189" s="377" t="s">
        <v>339</v>
      </c>
      <c r="B189" s="378" t="s">
        <v>60</v>
      </c>
      <c r="C189" s="379"/>
      <c r="D189" s="350"/>
      <c r="E189" s="350">
        <v>0</v>
      </c>
      <c r="F189" s="350"/>
      <c r="G189" s="350"/>
      <c r="H189" s="351">
        <v>0</v>
      </c>
      <c r="I189" s="364"/>
      <c r="J189" s="364">
        <v>0</v>
      </c>
      <c r="K189" s="364">
        <v>0</v>
      </c>
    </row>
    <row r="190" hidden="1" spans="1:11">
      <c r="A190" s="355" t="s">
        <v>341</v>
      </c>
      <c r="B190" s="378" t="s">
        <v>60</v>
      </c>
      <c r="C190" s="375"/>
      <c r="D190" s="350"/>
      <c r="E190" s="350"/>
      <c r="F190" s="350"/>
      <c r="G190" s="350"/>
      <c r="H190" s="351"/>
      <c r="I190" s="364"/>
      <c r="J190" s="364"/>
      <c r="K190" s="364"/>
    </row>
    <row r="191" hidden="1" spans="1:11">
      <c r="A191" s="380" t="s">
        <v>342</v>
      </c>
      <c r="B191" s="378" t="s">
        <v>60</v>
      </c>
      <c r="C191" s="381"/>
      <c r="D191" s="350"/>
      <c r="E191" s="350"/>
      <c r="F191" s="350"/>
      <c r="G191" s="350"/>
      <c r="H191" s="351"/>
      <c r="I191" s="364"/>
      <c r="J191" s="364"/>
      <c r="K191" s="364"/>
    </row>
  </sheetData>
  <conditionalFormatting sqref="J28:J135">
    <cfRule type="cellIs" dxfId="36" priority="3" operator="lessThan">
      <formula>0</formula>
    </cfRule>
  </conditionalFormatting>
  <conditionalFormatting sqref="J168:J191">
    <cfRule type="cellIs" dxfId="36" priority="6" operator="lessThan">
      <formula>0</formula>
    </cfRule>
  </conditionalFormatting>
  <conditionalFormatting sqref="K28:K135">
    <cfRule type="cellIs" dxfId="36" priority="1" operator="lessThan">
      <formula>0</formula>
    </cfRule>
  </conditionalFormatting>
  <conditionalFormatting sqref="K168:K191">
    <cfRule type="cellIs" dxfId="36" priority="2" operator="lessThan">
      <formula>0</formula>
    </cfRule>
  </conditionalFormatting>
  <conditionalFormatting sqref="D2:E25">
    <cfRule type="cellIs" dxfId="36" priority="17" operator="lessThan">
      <formula>0</formula>
    </cfRule>
  </conditionalFormatting>
  <conditionalFormatting sqref="D27:I150 D151:H151 D152:I191">
    <cfRule type="cellIs" dxfId="36" priority="12"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15" zoomScaleNormal="115" workbookViewId="0">
      <selection activeCell="L2" sqref="L2"/>
    </sheetView>
  </sheetViews>
  <sheetFormatPr defaultColWidth="8.8" defaultRowHeight="13.8"/>
  <cols>
    <col min="1" max="1" width="11.2" customWidth="1"/>
    <col min="2" max="3" width="13.8" customWidth="1"/>
    <col min="4" max="4" width="15.7" customWidth="1"/>
    <col min="5" max="5" width="16.5" customWidth="1"/>
    <col min="6" max="7" width="9.8" customWidth="1"/>
    <col min="8" max="8" width="15.2" customWidth="1"/>
    <col min="9" max="9" width="16.7" customWidth="1"/>
  </cols>
  <sheetData>
    <row r="1" ht="82.8" spans="2:12">
      <c r="B1" s="330" t="s">
        <v>844</v>
      </c>
      <c r="C1" s="330" t="s">
        <v>845</v>
      </c>
      <c r="D1" s="330" t="s">
        <v>846</v>
      </c>
      <c r="E1" s="331" t="s">
        <v>847</v>
      </c>
      <c r="F1" s="331" t="s">
        <v>848</v>
      </c>
      <c r="G1" s="330" t="s">
        <v>849</v>
      </c>
      <c r="H1" s="330" t="s">
        <v>850</v>
      </c>
      <c r="I1" s="330" t="s">
        <v>851</v>
      </c>
      <c r="J1" s="330" t="s">
        <v>852</v>
      </c>
      <c r="K1" s="330" t="s">
        <v>853</v>
      </c>
      <c r="L1" s="331" t="s">
        <v>854</v>
      </c>
    </row>
    <row r="2" ht="25.2" customHeight="1" spans="1:12">
      <c r="A2" s="330" t="s">
        <v>855</v>
      </c>
      <c r="B2" s="332">
        <v>22</v>
      </c>
      <c r="C2" s="333">
        <v>-22</v>
      </c>
      <c r="D2" s="333">
        <v>22</v>
      </c>
      <c r="E2" s="334">
        <v>30</v>
      </c>
      <c r="F2" s="334">
        <f>-3.5*1.1</f>
        <v>-3.85</v>
      </c>
      <c r="G2" s="332">
        <v>-65</v>
      </c>
      <c r="H2" s="335">
        <v>-0.05</v>
      </c>
      <c r="I2" s="330">
        <f>-G2*H2</f>
        <v>-3.25</v>
      </c>
      <c r="J2" s="330">
        <v>2</v>
      </c>
      <c r="K2" s="330">
        <v>-2</v>
      </c>
      <c r="L2" s="334">
        <v>36</v>
      </c>
    </row>
    <row r="3" ht="23.55" customHeight="1" spans="1:12">
      <c r="A3" s="330" t="s">
        <v>856</v>
      </c>
      <c r="B3" s="336">
        <f t="shared" ref="B3:G3" si="0">B2/100</f>
        <v>0.22</v>
      </c>
      <c r="C3" s="336">
        <f t="shared" si="0"/>
        <v>-0.22</v>
      </c>
      <c r="D3" s="337">
        <f t="shared" si="0"/>
        <v>0.22</v>
      </c>
      <c r="E3" s="338">
        <v>0.3</v>
      </c>
      <c r="F3" s="339">
        <f t="shared" si="0"/>
        <v>-0.0385</v>
      </c>
      <c r="G3" s="336">
        <f t="shared" si="0"/>
        <v>-0.65</v>
      </c>
      <c r="H3" s="335">
        <v>-0.05</v>
      </c>
      <c r="I3" s="336">
        <f>I2/100</f>
        <v>-0.0325</v>
      </c>
      <c r="J3" s="336">
        <f t="shared" ref="J3:L3" si="1">J2/100</f>
        <v>0.02</v>
      </c>
      <c r="K3" s="336">
        <f t="shared" si="1"/>
        <v>-0.02</v>
      </c>
      <c r="L3" s="339">
        <f t="shared" si="1"/>
        <v>0.36</v>
      </c>
    </row>
    <row r="6" ht="55.2" spans="2:4">
      <c r="B6" s="331" t="s">
        <v>857</v>
      </c>
      <c r="C6" s="331" t="s">
        <v>858</v>
      </c>
      <c r="D6" t="s">
        <v>859</v>
      </c>
    </row>
    <row r="7" spans="1:4">
      <c r="A7" s="330" t="s">
        <v>860</v>
      </c>
      <c r="B7" s="336">
        <v>55</v>
      </c>
      <c r="C7" s="336">
        <v>858</v>
      </c>
      <c r="D7" s="336">
        <v>80.3</v>
      </c>
    </row>
    <row r="8" spans="1:4">
      <c r="A8" s="330" t="s">
        <v>861</v>
      </c>
      <c r="B8" s="336">
        <f>B7/365</f>
        <v>0.150684931506849</v>
      </c>
      <c r="C8" s="336">
        <f>C7/365</f>
        <v>2.35068493150685</v>
      </c>
      <c r="D8" s="336">
        <f>D7/365</f>
        <v>0.22</v>
      </c>
    </row>
    <row r="10" ht="27.6" spans="2:2">
      <c r="B10" t="s">
        <v>862</v>
      </c>
    </row>
    <row r="11" spans="1:2">
      <c r="A11" t="s">
        <v>863</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97"/>
  <sheetViews>
    <sheetView zoomScale="70" zoomScaleNormal="70" topLeftCell="A4" workbookViewId="0">
      <selection activeCell="B2" sqref="B2"/>
    </sheetView>
  </sheetViews>
  <sheetFormatPr defaultColWidth="10.8" defaultRowHeight="17.4"/>
  <cols>
    <col min="1" max="1" width="11.7" style="74" customWidth="1"/>
    <col min="2" max="2" width="48.3" style="75" customWidth="1"/>
    <col min="3" max="4" width="15.7" style="75" customWidth="1"/>
    <col min="5" max="5" width="12.5" style="75" customWidth="1"/>
    <col min="6" max="7" width="17.8" style="75" customWidth="1"/>
    <col min="8" max="8" width="15.8" style="76" customWidth="1"/>
    <col min="9" max="9" width="15.2" style="76" customWidth="1"/>
    <col min="10" max="10" width="16.8" style="75" customWidth="1"/>
    <col min="11" max="11" width="15.2" style="77" customWidth="1"/>
    <col min="12" max="12" width="15.2" style="75" customWidth="1"/>
    <col min="13" max="20" width="15.2" style="77" customWidth="1"/>
    <col min="21" max="24" width="15.2" style="75" customWidth="1"/>
    <col min="25" max="27" width="15.2" style="78" customWidth="1"/>
    <col min="28" max="28" width="21.7" style="78" customWidth="1"/>
    <col min="29" max="30" width="15.2" style="78" customWidth="1"/>
    <col min="31" max="33" width="15.2" style="77" customWidth="1"/>
    <col min="34" max="35" width="15.2" style="79" customWidth="1"/>
    <col min="36" max="36" width="19.5" style="79" customWidth="1"/>
    <col min="37" max="37" width="15.2" style="77" customWidth="1"/>
    <col min="38" max="39" width="15.2" style="79" customWidth="1"/>
    <col min="40" max="40" width="15.2" style="75" customWidth="1"/>
    <col min="41" max="41" width="15.8" style="80" customWidth="1"/>
    <col min="42" max="66" width="15.8" style="75" customWidth="1"/>
    <col min="67" max="67" width="15.8" style="80" customWidth="1"/>
    <col min="68" max="68" width="15.8" style="75" customWidth="1"/>
    <col min="69" max="69" width="21" style="75" customWidth="1"/>
    <col min="70" max="71" width="15.8" customWidth="1"/>
    <col min="72" max="72" width="13" style="74" customWidth="1"/>
  </cols>
  <sheetData>
    <row r="1" s="71" customFormat="1" ht="21" spans="1:72">
      <c r="A1" s="81"/>
      <c r="B1" s="82" t="s">
        <v>44</v>
      </c>
      <c r="C1" s="83" t="s">
        <v>864</v>
      </c>
      <c r="D1" s="83"/>
      <c r="E1" s="83"/>
      <c r="F1" s="84">
        <f>DATE(2025,F2,1)</f>
        <v>45658</v>
      </c>
      <c r="G1" s="84"/>
      <c r="H1" s="85">
        <f>DATE(2025,H2+1,0)</f>
        <v>45747</v>
      </c>
      <c r="I1"/>
      <c r="K1" s="158"/>
      <c r="L1" s="159"/>
      <c r="M1" s="159"/>
      <c r="N1" s="159"/>
      <c r="O1" s="159"/>
      <c r="P1" s="159"/>
      <c r="Q1" s="159"/>
      <c r="R1" s="159"/>
      <c r="S1" s="159"/>
      <c r="T1" s="159"/>
      <c r="U1" s="159"/>
      <c r="V1" s="159"/>
      <c r="W1" s="159"/>
      <c r="X1" s="158"/>
      <c r="Y1" s="159"/>
      <c r="Z1" s="159"/>
      <c r="AA1" s="159"/>
      <c r="AB1" s="159"/>
      <c r="AC1" s="159"/>
      <c r="AD1" s="159"/>
      <c r="AE1" s="158"/>
      <c r="AF1" s="158"/>
      <c r="AG1" s="159"/>
      <c r="AH1" s="159"/>
      <c r="AI1" s="159"/>
      <c r="AJ1" s="159"/>
      <c r="AK1" s="159"/>
      <c r="AL1" s="159"/>
      <c r="AM1" s="159"/>
      <c r="AN1" s="159"/>
      <c r="AO1" s="159"/>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288"/>
      <c r="BQ1" s="158"/>
      <c r="BR1" s="158"/>
      <c r="BT1" s="81"/>
    </row>
    <row r="2" ht="22.95" customHeight="1" spans="2:70">
      <c r="B2" s="86"/>
      <c r="F2" s="608" t="s">
        <v>831</v>
      </c>
      <c r="G2" s="608" t="s">
        <v>832</v>
      </c>
      <c r="H2" s="608" t="s">
        <v>833</v>
      </c>
      <c r="I2" s="75"/>
      <c r="J2" s="160"/>
      <c r="K2" s="75"/>
      <c r="L2" s="77"/>
      <c r="U2" s="77"/>
      <c r="V2" s="77"/>
      <c r="W2" s="77"/>
      <c r="Y2" s="77"/>
      <c r="Z2" s="77"/>
      <c r="AA2" s="77"/>
      <c r="AB2" s="77"/>
      <c r="AC2" s="77"/>
      <c r="AD2" s="77"/>
      <c r="AE2" s="75"/>
      <c r="AF2" s="75"/>
      <c r="AH2" s="77"/>
      <c r="AI2" s="77"/>
      <c r="AJ2" s="77"/>
      <c r="AL2" s="77"/>
      <c r="AM2" s="77"/>
      <c r="AN2" s="77"/>
      <c r="AO2" s="77"/>
      <c r="BO2" s="75"/>
      <c r="BP2" s="80"/>
      <c r="BR2" s="75"/>
    </row>
    <row r="3" ht="76.95" customHeight="1" spans="3:71">
      <c r="C3" s="87" t="s">
        <v>865</v>
      </c>
      <c r="D3" s="87"/>
      <c r="E3" s="87"/>
      <c r="F3" s="88">
        <f>DAY(DATE(2024,F2+1,0))</f>
        <v>31</v>
      </c>
      <c r="G3" s="88">
        <f t="shared" ref="G3:H3" si="0">DAY(DATE(2024,G2+1,0))</f>
        <v>29</v>
      </c>
      <c r="H3" s="88">
        <f t="shared" si="0"/>
        <v>31</v>
      </c>
      <c r="I3" s="161">
        <f>N3</f>
        <v>90</v>
      </c>
      <c r="J3" s="161">
        <f>N3</f>
        <v>90</v>
      </c>
      <c r="K3" s="161">
        <f>N3</f>
        <v>90</v>
      </c>
      <c r="L3" s="161">
        <f>N3</f>
        <v>90</v>
      </c>
      <c r="M3" s="161">
        <v>1</v>
      </c>
      <c r="N3" s="162">
        <f>H1-F1+1</f>
        <v>90</v>
      </c>
      <c r="O3" s="163"/>
      <c r="P3" s="164" t="s">
        <v>866</v>
      </c>
      <c r="Q3" s="164"/>
      <c r="R3" s="186" t="s">
        <v>867</v>
      </c>
      <c r="S3" s="186"/>
      <c r="T3" s="186"/>
      <c r="U3" s="186"/>
      <c r="V3" s="186"/>
      <c r="W3" s="186"/>
      <c r="X3" s="186"/>
      <c r="Y3" s="186"/>
      <c r="Z3" s="186"/>
      <c r="AA3" s="186"/>
      <c r="AB3" s="186"/>
      <c r="AC3" s="186"/>
      <c r="AD3" s="186"/>
      <c r="AE3" s="205" t="s">
        <v>868</v>
      </c>
      <c r="AF3" s="205"/>
      <c r="AG3" s="205"/>
      <c r="AH3" s="205"/>
      <c r="AI3" s="205"/>
      <c r="AJ3" s="186"/>
      <c r="AK3" s="186"/>
      <c r="AL3" s="186"/>
      <c r="AM3" s="186"/>
      <c r="AN3" s="186"/>
      <c r="AO3" s="241"/>
      <c r="AP3" s="242"/>
      <c r="AQ3" s="243" t="s">
        <v>869</v>
      </c>
      <c r="AR3" s="243"/>
      <c r="AS3" s="243"/>
      <c r="AT3" s="243"/>
      <c r="AU3" s="243"/>
      <c r="AV3" s="243"/>
      <c r="AW3" s="243"/>
      <c r="AX3" s="243"/>
      <c r="AY3" s="243"/>
      <c r="AZ3" s="243"/>
      <c r="BA3" s="243"/>
      <c r="BB3" s="243"/>
      <c r="BC3" s="243"/>
      <c r="BD3" s="259"/>
      <c r="BE3" s="259"/>
      <c r="BF3" s="259"/>
      <c r="BG3" s="259"/>
      <c r="BH3" s="259"/>
      <c r="BI3" s="259"/>
      <c r="BJ3" s="259"/>
      <c r="BK3" s="268" t="s">
        <v>870</v>
      </c>
      <c r="BL3" s="269"/>
      <c r="BM3" s="269"/>
      <c r="BN3" s="269"/>
      <c r="BO3" s="269"/>
      <c r="BP3" s="289"/>
      <c r="BQ3" s="290" t="s">
        <v>871</v>
      </c>
      <c r="BR3" s="291"/>
      <c r="BS3" s="292"/>
    </row>
    <row r="4" s="72" customFormat="1" ht="208.05" customHeight="1" spans="1:72">
      <c r="A4" s="89" t="s">
        <v>190</v>
      </c>
      <c r="B4" s="90" t="s">
        <v>872</v>
      </c>
      <c r="C4" s="91" t="s">
        <v>873</v>
      </c>
      <c r="D4" s="91" t="s">
        <v>874</v>
      </c>
      <c r="E4" s="92" t="s">
        <v>208</v>
      </c>
      <c r="F4" s="93" t="s">
        <v>875</v>
      </c>
      <c r="G4" s="94" t="s">
        <v>876</v>
      </c>
      <c r="H4" s="94" t="s">
        <v>877</v>
      </c>
      <c r="I4" s="94" t="s">
        <v>878</v>
      </c>
      <c r="J4" s="94" t="s">
        <v>879</v>
      </c>
      <c r="K4" s="94" t="s">
        <v>880</v>
      </c>
      <c r="L4" s="94" t="s">
        <v>859</v>
      </c>
      <c r="M4" s="94" t="s">
        <v>881</v>
      </c>
      <c r="N4" s="165" t="s">
        <v>882</v>
      </c>
      <c r="O4" s="166" t="s">
        <v>883</v>
      </c>
      <c r="P4" s="167" t="s">
        <v>884</v>
      </c>
      <c r="Q4" s="187" t="s">
        <v>885</v>
      </c>
      <c r="R4" s="188" t="s">
        <v>886</v>
      </c>
      <c r="S4" s="188" t="s">
        <v>887</v>
      </c>
      <c r="T4" s="188" t="s">
        <v>888</v>
      </c>
      <c r="U4" s="188" t="s">
        <v>889</v>
      </c>
      <c r="V4" s="188" t="s">
        <v>890</v>
      </c>
      <c r="W4" s="188" t="s">
        <v>891</v>
      </c>
      <c r="X4" s="188" t="s">
        <v>892</v>
      </c>
      <c r="Y4" s="188" t="s">
        <v>893</v>
      </c>
      <c r="Z4" s="188" t="s">
        <v>894</v>
      </c>
      <c r="AA4" s="188" t="s">
        <v>895</v>
      </c>
      <c r="AB4" s="188" t="s">
        <v>896</v>
      </c>
      <c r="AC4" s="188" t="s">
        <v>897</v>
      </c>
      <c r="AD4" s="206" t="s">
        <v>898</v>
      </c>
      <c r="AE4" s="207" t="s">
        <v>899</v>
      </c>
      <c r="AF4" s="208" t="s">
        <v>900</v>
      </c>
      <c r="AG4" s="208" t="s">
        <v>901</v>
      </c>
      <c r="AH4" s="208" t="s">
        <v>902</v>
      </c>
      <c r="AI4" s="208" t="s">
        <v>903</v>
      </c>
      <c r="AJ4" s="188" t="s">
        <v>904</v>
      </c>
      <c r="AK4" s="188" t="s">
        <v>905</v>
      </c>
      <c r="AL4" s="206" t="s">
        <v>906</v>
      </c>
      <c r="AM4" s="225" t="s">
        <v>907</v>
      </c>
      <c r="AN4" s="225" t="s">
        <v>908</v>
      </c>
      <c r="AO4" s="244" t="s">
        <v>909</v>
      </c>
      <c r="AP4" s="245" t="s">
        <v>910</v>
      </c>
      <c r="AQ4" s="167" t="s">
        <v>911</v>
      </c>
      <c r="AR4" s="246" t="s">
        <v>912</v>
      </c>
      <c r="AS4" s="243" t="s">
        <v>913</v>
      </c>
      <c r="AT4" s="243" t="s">
        <v>914</v>
      </c>
      <c r="AU4" s="243" t="s">
        <v>915</v>
      </c>
      <c r="AV4" s="243" t="s">
        <v>916</v>
      </c>
      <c r="AW4" s="243" t="s">
        <v>917</v>
      </c>
      <c r="AX4" s="243" t="s">
        <v>918</v>
      </c>
      <c r="AY4" s="243" t="s">
        <v>919</v>
      </c>
      <c r="AZ4" s="243" t="s">
        <v>920</v>
      </c>
      <c r="BA4" s="243" t="s">
        <v>921</v>
      </c>
      <c r="BB4" s="243" t="s">
        <v>922</v>
      </c>
      <c r="BC4" s="243" t="s">
        <v>923</v>
      </c>
      <c r="BD4" s="259" t="s">
        <v>924</v>
      </c>
      <c r="BE4" s="259" t="s">
        <v>925</v>
      </c>
      <c r="BF4" s="259" t="s">
        <v>926</v>
      </c>
      <c r="BG4" s="270" t="s">
        <v>927</v>
      </c>
      <c r="BH4" s="270" t="s">
        <v>928</v>
      </c>
      <c r="BI4" s="270" t="s">
        <v>929</v>
      </c>
      <c r="BJ4" s="259" t="s">
        <v>930</v>
      </c>
      <c r="BK4" s="271" t="s">
        <v>931</v>
      </c>
      <c r="BL4" s="272" t="s">
        <v>932</v>
      </c>
      <c r="BM4" s="272" t="s">
        <v>933</v>
      </c>
      <c r="BN4" s="272" t="s">
        <v>934</v>
      </c>
      <c r="BO4" s="272" t="s">
        <v>935</v>
      </c>
      <c r="BP4" s="272" t="s">
        <v>936</v>
      </c>
      <c r="BQ4" s="293" t="s">
        <v>937</v>
      </c>
      <c r="BR4" s="294" t="s">
        <v>938</v>
      </c>
      <c r="BS4" s="243" t="s">
        <v>939</v>
      </c>
      <c r="BT4" s="89" t="s">
        <v>190</v>
      </c>
    </row>
    <row r="5" spans="1:72">
      <c r="A5" s="95">
        <v>1</v>
      </c>
      <c r="B5" s="96" t="str" cm="1">
        <f t="array" ref="B5">INDEX(Table_Household_Alloc[Owner],MATCH(1,(Table_Household_Alloc[Lot]=A5)*(Table_Household_Alloc[cluster]=$B$1),0))</f>
        <v>Mead Family trust</v>
      </c>
      <c r="C5" s="97" cm="1">
        <f t="array" ref="C5">INDEX(Reading_import[Meter'#],MATCH(1,(Table_Household_Alloc[Lot]=A5)*(Table_Household_Alloc[cluster]=$B$1),0))</f>
        <v>50002845</v>
      </c>
      <c r="D5" s="98" cm="1">
        <f t="array" ref="D5">INDEX(Table_Household_Alloc[UE % over Cluster],MATCH(1,(Table_Household_Alloc[Lot]=A5)*(Table_Household_Alloc[cluster]=$B$1),0))</f>
        <v>0.036</v>
      </c>
      <c r="E5" s="99" t="str" cm="1">
        <f t="array" ref="E5">INDEX(Table_Household_Alloc[Stage of Dev.],MATCH(1,(Table_Household_Alloc[Lot]=A5)*(Table_Household_Alloc[cluster]=$B$1),0))</f>
        <v>UC</v>
      </c>
      <c r="F5" s="100" cm="1">
        <f t="array" ref="F5">INDEX(Amanda_energy[Daily_Supply_incl_GST],MATCH(1,(Amanda_energy[Cluster]=$B$1)*(Amanda_energy[Month]=$F$2),0))/MAX($A:$A)</f>
        <v>6.31481481481481</v>
      </c>
      <c r="G5" s="101" cm="1">
        <f t="array" ref="G5">INDEX(Amanda_energy[Daily_Supply_incl_GST],MATCH(1,(Amanda_energy[Cluster]=$B$1)*(Amanda_energy[Month]=$G$2),0))/MAX($A:$A)</f>
        <v>5.7037037037037</v>
      </c>
      <c r="H5" s="101" cm="1">
        <f t="array" ref="H5">INDEX(Amanda_energy[Daily_Supply_incl_GST],MATCH(1,(Amanda_energy[Cluster]=$B$1)*(Amanda_energy[Month]=$H$2),0))/MAX($A:$A)</f>
        <v>6.31481481481481</v>
      </c>
      <c r="I5" s="101">
        <f>$J$46/MAX($A:$A)</f>
        <v>1.67222222222222</v>
      </c>
      <c r="J5" s="168"/>
      <c r="K5" s="168"/>
      <c r="L5" s="168">
        <f>$L$3*'Tariff Rates'!$D$8*IF(Table1[[#This Row],[Stage of Dev.]]="V",0,1)</f>
        <v>19.8</v>
      </c>
      <c r="M5" s="169">
        <v>1.1</v>
      </c>
      <c r="N5" s="170">
        <f t="shared" ref="N5:N25" si="1">SUM(F5:M5)</f>
        <v>40.9055555555556</v>
      </c>
      <c r="O5" s="171" cm="1">
        <f t="array" ref="O5">INDEX(Reading_import[1/1/2025],MATCH(1,(Reading_import[Lot]=A5)*(Reading_import[cluster]=$B$1),0))</f>
        <v>5</v>
      </c>
      <c r="P5" s="172" cm="1">
        <f t="array" ref="P5">INDEX(Reading_import[01/04/2025],MATCH(1,(Reading_import[Lot]=A5)*(Reading_import[cluster]=$B$1),0))</f>
        <v>31</v>
      </c>
      <c r="Q5" s="189">
        <f>Table1[[#This Row],[Last day of reporting period: import]]-Table1[[#This Row],[1st day of reporting period: import]]</f>
        <v>26</v>
      </c>
      <c r="R5" s="190">
        <f t="shared" ref="R5:R20" si="2">Q5/$N$3</f>
        <v>0.288888888888889</v>
      </c>
      <c r="S5" s="191">
        <f t="shared" ref="S5:S25" si="3">Q5/$Q$38</f>
        <v>0.0028979045920642</v>
      </c>
      <c r="T5" s="192">
        <f>IF(Table1[[#This Row],[Stage of Dev.]]="V",0,233*Table1[[#This Row],[Percentage of Unit Entitlement (%)]])</f>
        <v>8.388</v>
      </c>
      <c r="U5" s="193">
        <f t="shared" ref="U5:U20" si="4">IF(T5&gt;R5,R5,T5)</f>
        <v>0.288888888888889</v>
      </c>
      <c r="V5" s="193">
        <f>Table1[[#This Row],[Daily Battery allowance based on UE% (kWh)]]-Table1[[#This Row],[Applicable Battery Allowance Daily Consumption (kWh)]]</f>
        <v>8.09911111111111</v>
      </c>
      <c r="W5" s="194">
        <f>Table1[[#This Row],[Unused Daily Allowance (kWh)]]/$V$38</f>
        <v>0.0619540707611838</v>
      </c>
      <c r="X5" s="193">
        <f>IF(Table1[[#This Row],[Applicable Battery Allowance Daily Consumption (kWh)]]&gt;Table1[[#This Row],[Total Daily Average Consumptio for Billing Period (kWh)]],Table1[[#This Row],[Total Consumption Import  (kWh)]],U5*$N$3)</f>
        <v>26</v>
      </c>
      <c r="Y5" s="209">
        <f>IF(Table1[[#This Row],[Applicable Battery Allowance Daily Consumption (kWh)]]&gt;0,ABS(Q5-X5),0)</f>
        <v>0</v>
      </c>
      <c r="Z5" s="210">
        <f>IFERROR(Table1[[#This Row],[Energy Exceeding Battery Allowance (kWh)]]/$Y$38,0)</f>
        <v>0</v>
      </c>
      <c r="AA5" s="211">
        <f t="shared" ref="AA5:AA25" si="5">IF($Y$38-$E$46&gt;0,$Y$38-$E$46,0)</f>
        <v>835.34</v>
      </c>
      <c r="AB5" s="212">
        <f>IFERROR(Table1[[#This Row],[Total Cluster Energy Balance for P2P Trading (kWh)]]*Table1[[#This Row],[Energy Exceeding Battery Allowance %]],0)</f>
        <v>0</v>
      </c>
      <c r="AC5" s="213">
        <f>Table1[[#This Row],[P2P Import Consumption within Battery Allowance(kWh)]]+Table1[[#This Row],[P2P Import Consumption over Battery Allowance based on Energy Exceeding Allowance % (kWh)]]</f>
        <v>26</v>
      </c>
      <c r="AD5" s="213">
        <f>Table1[[#This Row],[Total Consumption Import  (kWh)]]-Table1[[#This Row],[Total P2P import (kWh)]]</f>
        <v>0</v>
      </c>
      <c r="AE5" s="214">
        <f>IFERROR(Table1[[#This Row],[Total P2P import (kWh)]]/$AC$38,0)</f>
        <v>0</v>
      </c>
      <c r="AF5" s="215">
        <f t="shared" ref="AF5:AF25" si="6">($Q$32-$AR$32)</f>
        <v>2476</v>
      </c>
      <c r="AG5" s="215">
        <f t="shared" ref="AG5:AG20" si="7">AF5*AE5</f>
        <v>0</v>
      </c>
      <c r="AH5" s="226">
        <f t="shared" ref="AH5:AH25" si="8">SUM($Q$34:$Q$36)</f>
        <v>658</v>
      </c>
      <c r="AI5" s="226">
        <f>Table1[[#This Row],[Cluster''s Total Common Services (kWh)]]*Table1[[#This Row],[Percentage of Unit Entitlement (%)]]</f>
        <v>23.688</v>
      </c>
      <c r="AJ5" s="227">
        <f>AG5*'Tariff Rates'!$B$3</f>
        <v>0</v>
      </c>
      <c r="AK5" s="227">
        <f>Table1[[#This Row],[Common Services based on Split per Unit Entitlement % to battery (kWh)]]*'Tariff Rates'!$B$3</f>
        <v>5.21136</v>
      </c>
      <c r="AL5" s="228">
        <f>Table1[[#This Row],[Total P2P import (kWh)]]*IF(Table1[[#This Row],[Total Lot Export (kWh)]]=0,'Tariff Rates'!$L$3,'Tariff Rates'!$B$3)</f>
        <v>9.36</v>
      </c>
      <c r="AM5" s="229">
        <f>Table1[[#This Row],[P2P Import Consumption over Battery Allowance based on Energy Exceeding Allowance % (kWh)]]*'Tariff Rates'!$J$3</f>
        <v>0</v>
      </c>
      <c r="AN5" s="230">
        <f>Table1[[#This Row],[Energy Import from Grid (kWh)]]*'Tariff Rates'!$E$3</f>
        <v>0</v>
      </c>
      <c r="AO5" s="247">
        <f>SUM(AJ5:AN5)</f>
        <v>14.57136</v>
      </c>
      <c r="AP5" s="248" cm="1">
        <f t="array" ref="AP5">INDEX(Reading_export[1/1/2025],MATCH(1,(Reading_export[Lot]=A5)*(Reading_export[cluster]=$B$1),0))</f>
        <v>0</v>
      </c>
      <c r="AQ5" s="248" cm="1">
        <f t="array" ref="AQ5">INDEX(Reading_export[01/04/2025],MATCH(1,(Reading_export[Lot]=A5)*(Reading_export[cluster]=$B$1),0))</f>
        <v>0</v>
      </c>
      <c r="AR5" s="249">
        <f>Table1[[#This Row],[Last day of reporting period: export]]-Table1[[#This Row],[1st day of reporting period: export]]</f>
        <v>0</v>
      </c>
      <c r="AS5" s="250">
        <f t="shared" ref="AS5:AS25" si="9">AR5/$AR$38</f>
        <v>0</v>
      </c>
      <c r="AT5" s="251" t="e">
        <f>Table1[[#This Row],[Percentage of Total export for Billing Period (%)]]*$AC$38</f>
        <v>#N/A</v>
      </c>
      <c r="AU5" s="251">
        <f t="shared" ref="AU5:AU25" si="10">IF($Y$38-$E$46&gt;0,$Y$38-$E$46,0)</f>
        <v>835.34</v>
      </c>
      <c r="AV5" s="252">
        <f>IFERROR(Table1[[#This Row],[Total Cluster Energy Balance for P2P Trading (kWh)2]]*Table1[[#This Row],[Unused Daily Allowance %]],0)</f>
        <v>51.7527134696473</v>
      </c>
      <c r="AW5" s="251">
        <f t="shared" ref="AW5:AW20" si="11">AS5*AF5</f>
        <v>0</v>
      </c>
      <c r="AX5" s="252">
        <f>Table1[[#This Row],[Cluster''s Total Common Services (kWh)]]*Table1[[#This Row],[Percentage of Total export for Billing Period (%)]]</f>
        <v>0</v>
      </c>
      <c r="AY5" s="252">
        <f>$Q$33*Table1[[#This Row],[Percentage of Total export for Billing Period (%)]]</f>
        <v>0</v>
      </c>
      <c r="AZ5"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5" s="252">
        <f t="shared" ref="BA5:BA25" si="12">IFERROR(IF($AZ$38-$F$46&gt;0,$AZ$38-$F$46,0),0)</f>
        <v>0</v>
      </c>
      <c r="BB5" s="252">
        <f>Table1[[#This Row],[Energy Losses When Export to Grid (kWh)]]*Table1[[#This Row],[Percentage of Total export for Billing Period (%)]]</f>
        <v>0</v>
      </c>
      <c r="BC5" s="252" t="e">
        <f>Table1[[#This Row],[Therotical Energy Export to Grid (kWh)]]-Table1[[#This Row],[Energy Losses When Export to Grid based up % total export (kWh)]]</f>
        <v>#N/A</v>
      </c>
      <c r="BD5" s="260">
        <f>AW5*'Tariff Rates'!$C$3</f>
        <v>0</v>
      </c>
      <c r="BE5" s="260">
        <f>Table1[[#This Row],[Common Service based upon % total export to battery (kWh)]]*'Tariff Rates'!$C$3</f>
        <v>0</v>
      </c>
      <c r="BF5" s="260">
        <f>Table1[[#This Row],[EV Charger based upon % total export to battery (kWh)]]*'Tariff Rates'!$C$3</f>
        <v>0</v>
      </c>
      <c r="BG5" s="273" t="e">
        <f>AT5*'Tariff Rates'!$C$3</f>
        <v>#N/A</v>
      </c>
      <c r="BH5" s="273">
        <f>Table1[[#This Row],[Borrowed Allowance Based on Unused Daily Allowance % (kWh)]]*'Tariff Rates'!$K$3</f>
        <v>-1.03505426939295</v>
      </c>
      <c r="BI5" s="273" t="e">
        <f>BC5*'Tariff Rates'!$F$3</f>
        <v>#N/A</v>
      </c>
      <c r="BJ5" s="273" t="e">
        <f>SUM(BD5:BI5)</f>
        <v>#N/A</v>
      </c>
      <c r="BK5" s="274">
        <f>$D$52*Table1[[#This Row],[Percentage of Unit Entitlement (%)]]</f>
        <v>0</v>
      </c>
      <c r="BL5" s="275">
        <f>BK5*'Tariff Rates'!$H$3</f>
        <v>0</v>
      </c>
      <c r="BM5" s="275">
        <f>($Q$33)*Table1[[#This Row],[Percentage of Unit Entitlement (%)]]*'Tariff Rates'!$B$3</f>
        <v>20.88504</v>
      </c>
      <c r="BN5" s="275">
        <f>SUM(BM5,BL5)</f>
        <v>20.88504</v>
      </c>
      <c r="BO5" s="275">
        <f>BK5</f>
        <v>0</v>
      </c>
      <c r="BP5" s="295">
        <f>BO5+BN5</f>
        <v>20.88504</v>
      </c>
      <c r="BQ5" s="296" t="e">
        <f t="shared" ref="BQ5:BQ25" si="13">AO5+BJ5+N5+BP5</f>
        <v>#N/A</v>
      </c>
      <c r="BR5" s="297"/>
      <c r="BS5" s="298"/>
      <c r="BT5" s="299">
        <v>1</v>
      </c>
    </row>
    <row r="6" spans="1:72">
      <c r="A6" s="102">
        <v>2</v>
      </c>
      <c r="B6" s="96" t="str" cm="1">
        <f t="array" ref="B6">INDEX(Table_Household_Alloc[Owner],MATCH(1,(Table_Household_Alloc[Lot]=A6)*(Table_Household_Alloc[cluster]=$B$1),0))</f>
        <v>Margareta Roeck</v>
      </c>
      <c r="C6" s="97" cm="1">
        <f t="array" ref="C6">INDEX(Reading_import[Meter'#],MATCH(1,(Table_Household_Alloc[Lot]=A6)*(Table_Household_Alloc[cluster]=$B$1),0))</f>
        <v>50002862</v>
      </c>
      <c r="D6" s="98" cm="1">
        <f t="array" ref="D6">INDEX(Table_Household_Alloc[UE % over Cluster],MATCH(1,(Table_Household_Alloc[Lot]=A6)*(Table_Household_Alloc[cluster]=$B$1),0))</f>
        <v>0.036</v>
      </c>
      <c r="E6" s="99" t="str" cm="1">
        <f t="array" ref="E6">INDEX(Table_Household_Alloc[Stage of Dev.],MATCH(1,(Table_Household_Alloc[Lot]=A6)*(Table_Household_Alloc[cluster]=$B$1),0))</f>
        <v>UC</v>
      </c>
      <c r="F6" s="100" cm="1">
        <f t="array" ref="F6">INDEX(Amanda_energy[Daily_Supply_incl_GST],MATCH(1,(Amanda_energy[Cluster]=$B$1)*(Amanda_energy[Month]=$F$2),0))/MAX($A:$A)</f>
        <v>6.31481481481481</v>
      </c>
      <c r="G6" s="101" cm="1">
        <f t="array" ref="G6">INDEX(Amanda_energy[Daily_Supply_incl_GST],MATCH(1,(Amanda_energy[Cluster]=$B$1)*(Amanda_energy[Month]=$G$2),0))/MAX($A:$A)</f>
        <v>5.7037037037037</v>
      </c>
      <c r="H6" s="101" cm="1">
        <f t="array" ref="H6">INDEX(Amanda_energy[Daily_Supply_incl_GST],MATCH(1,(Amanda_energy[Cluster]=$B$1)*(Amanda_energy[Month]=$H$2),0))/MAX($A:$A)</f>
        <v>6.31481481481481</v>
      </c>
      <c r="I6" s="101">
        <f>$J$46/MAX($A:$A)</f>
        <v>1.67222222222222</v>
      </c>
      <c r="J6" s="168"/>
      <c r="K6" s="168"/>
      <c r="L6" s="168">
        <f>$L$3*'Tariff Rates'!$D$8*IF(Table1[[#This Row],[Stage of Dev.]]="V",0,1)</f>
        <v>19.8</v>
      </c>
      <c r="M6" s="169">
        <v>1.1</v>
      </c>
      <c r="N6" s="170">
        <f t="shared" si="1"/>
        <v>40.9055555555556</v>
      </c>
      <c r="O6" s="171" cm="1">
        <f t="array" ref="O6">INDEX(Reading_import[1/1/2025],MATCH(1,(Reading_import[Lot]=A6)*(Reading_import[cluster]=$B$1),0))</f>
        <v>252</v>
      </c>
      <c r="P6" s="172" cm="1">
        <f t="array" ref="P6">INDEX(Reading_import[01/04/2025],MATCH(1,(Reading_import[Lot]=A6)*(Reading_import[cluster]=$B$1),0))</f>
        <v>342</v>
      </c>
      <c r="Q6" s="189">
        <f>Table1[[#This Row],[Last day of reporting period: import]]-Table1[[#This Row],[1st day of reporting period: import]]</f>
        <v>90</v>
      </c>
      <c r="R6" s="190">
        <f t="shared" si="2"/>
        <v>1</v>
      </c>
      <c r="S6" s="191">
        <f t="shared" si="3"/>
        <v>0.0100312082032992</v>
      </c>
      <c r="T6" s="192">
        <f>IF(Table1[[#This Row],[Stage of Dev.]]="V",0,233*Table1[[#This Row],[Percentage of Unit Entitlement (%)]])</f>
        <v>8.388</v>
      </c>
      <c r="U6" s="193">
        <f t="shared" si="4"/>
        <v>1</v>
      </c>
      <c r="V6" s="193">
        <f>Table1[[#This Row],[Daily Battery allowance based on UE% (kWh)]]-Table1[[#This Row],[Applicable Battery Allowance Daily Consumption (kWh)]]</f>
        <v>7.388</v>
      </c>
      <c r="W6" s="194">
        <f>Table1[[#This Row],[Unused Daily Allowance (kWh)]]/$V$38</f>
        <v>0.0565144333130197</v>
      </c>
      <c r="X6" s="193">
        <f>IF(Table1[[#This Row],[Applicable Battery Allowance Daily Consumption (kWh)]]&gt;Table1[[#This Row],[Total Daily Average Consumptio for Billing Period (kWh)]],Table1[[#This Row],[Total Consumption Import  (kWh)]],U6*$N$3)</f>
        <v>90</v>
      </c>
      <c r="Y6" s="209">
        <f>IF(Table1[[#This Row],[Applicable Battery Allowance Daily Consumption (kWh)]]&gt;0,ABS(Q6-X6),0)</f>
        <v>0</v>
      </c>
      <c r="Z6" s="210">
        <f>IFERROR(Table1[[#This Row],[Energy Exceeding Battery Allowance (kWh)]]/$Y$38,0)</f>
        <v>0</v>
      </c>
      <c r="AA6" s="211">
        <f t="shared" si="5"/>
        <v>835.34</v>
      </c>
      <c r="AB6" s="212">
        <f>IFERROR(Table1[[#This Row],[Total Cluster Energy Balance for P2P Trading (kWh)]]*Table1[[#This Row],[Energy Exceeding Battery Allowance %]],0)</f>
        <v>0</v>
      </c>
      <c r="AC6" s="213">
        <f>Table1[[#This Row],[P2P Import Consumption within Battery Allowance(kWh)]]+Table1[[#This Row],[P2P Import Consumption over Battery Allowance based on Energy Exceeding Allowance % (kWh)]]</f>
        <v>90</v>
      </c>
      <c r="AD6" s="213">
        <f>Table1[[#This Row],[Total Consumption Import  (kWh)]]-Table1[[#This Row],[Total P2P import (kWh)]]</f>
        <v>0</v>
      </c>
      <c r="AE6" s="214">
        <f>IFERROR(Table1[[#This Row],[Total P2P import (kWh)]]/$AC$38,0)</f>
        <v>0</v>
      </c>
      <c r="AF6" s="215">
        <f t="shared" si="6"/>
        <v>2476</v>
      </c>
      <c r="AG6" s="215">
        <f t="shared" si="7"/>
        <v>0</v>
      </c>
      <c r="AH6" s="226">
        <f t="shared" si="8"/>
        <v>658</v>
      </c>
      <c r="AI6" s="226">
        <f>Table1[[#This Row],[Cluster''s Total Common Services (kWh)]]*Table1[[#This Row],[Percentage of Unit Entitlement (%)]]</f>
        <v>23.688</v>
      </c>
      <c r="AJ6" s="227">
        <f>AG6*'Tariff Rates'!$B$3</f>
        <v>0</v>
      </c>
      <c r="AK6" s="227">
        <f>Table1[[#This Row],[Common Services based on Split per Unit Entitlement % to battery (kWh)]]*'Tariff Rates'!$B$3</f>
        <v>5.21136</v>
      </c>
      <c r="AL6" s="228">
        <f>Table1[[#This Row],[Total P2P import (kWh)]]*IF(Table1[[#This Row],[Total Lot Export (kWh)]]=0,'Tariff Rates'!$L$3,'Tariff Rates'!$B$3)</f>
        <v>32.4</v>
      </c>
      <c r="AM6" s="229">
        <f>Table1[[#This Row],[P2P Import Consumption over Battery Allowance based on Energy Exceeding Allowance % (kWh)]]*'Tariff Rates'!$J$3</f>
        <v>0</v>
      </c>
      <c r="AN6" s="230">
        <f>Table1[[#This Row],[Energy Import from Grid (kWh)]]*'Tariff Rates'!$E$3</f>
        <v>0</v>
      </c>
      <c r="AO6" s="247">
        <f t="shared" ref="AO6:AO20" si="14">SUM(AJ6:AN6)</f>
        <v>37.61136</v>
      </c>
      <c r="AP6" s="248" cm="1">
        <f t="array" ref="AP6">INDEX(Reading_export[1/1/2025],MATCH(1,(Reading_export[Lot]=A6)*(Reading_export[cluster]=$B$1),0))</f>
        <v>0</v>
      </c>
      <c r="AQ6" s="248" cm="1">
        <f t="array" ref="AQ6">INDEX(Reading_export[01/04/2025],MATCH(1,(Reading_export[Lot]=A6)*(Reading_export[cluster]=$B$1),0))</f>
        <v>0</v>
      </c>
      <c r="AR6" s="249">
        <f>Table1[[#This Row],[Last day of reporting period: export]]-Table1[[#This Row],[1st day of reporting period: export]]</f>
        <v>0</v>
      </c>
      <c r="AS6" s="250">
        <f t="shared" si="9"/>
        <v>0</v>
      </c>
      <c r="AT6" s="251" t="e">
        <f>Table1[[#This Row],[Percentage of Total export for Billing Period (%)]]*$AC$38</f>
        <v>#N/A</v>
      </c>
      <c r="AU6" s="251">
        <f t="shared" si="10"/>
        <v>835.34</v>
      </c>
      <c r="AV6" s="252">
        <f>IFERROR(Table1[[#This Row],[Total Cluster Energy Balance for P2P Trading (kWh)2]]*Table1[[#This Row],[Unused Daily Allowance %]],0)</f>
        <v>47.2087667236979</v>
      </c>
      <c r="AW6" s="251">
        <f t="shared" si="11"/>
        <v>0</v>
      </c>
      <c r="AX6" s="252">
        <f>Table1[[#This Row],[Cluster''s Total Common Services (kWh)]]*Table1[[#This Row],[Percentage of Total export for Billing Period (%)]]</f>
        <v>0</v>
      </c>
      <c r="AY6" s="252">
        <f>$Q$33*Table1[[#This Row],[Percentage of Total export for Billing Period (%)]]</f>
        <v>0</v>
      </c>
      <c r="AZ6"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6" s="252">
        <f t="shared" si="12"/>
        <v>0</v>
      </c>
      <c r="BB6" s="252">
        <f>Table1[[#This Row],[Energy Losses When Export to Grid (kWh)]]*Table1[[#This Row],[Percentage of Total export for Billing Period (%)]]</f>
        <v>0</v>
      </c>
      <c r="BC6" s="252" t="e">
        <f>Table1[[#This Row],[Therotical Energy Export to Grid (kWh)]]-Table1[[#This Row],[Energy Losses When Export to Grid based up % total export (kWh)]]</f>
        <v>#N/A</v>
      </c>
      <c r="BD6" s="260">
        <f>AW6*'Tariff Rates'!$C$3</f>
        <v>0</v>
      </c>
      <c r="BE6" s="260">
        <f>Table1[[#This Row],[Common Service based upon % total export to battery (kWh)]]*'Tariff Rates'!$C$3</f>
        <v>0</v>
      </c>
      <c r="BF6" s="260">
        <f>Table1[[#This Row],[EV Charger based upon % total export to battery (kWh)]]*'Tariff Rates'!$C$3</f>
        <v>0</v>
      </c>
      <c r="BG6" s="273" t="e">
        <f>AT6*'Tariff Rates'!$C$3</f>
        <v>#N/A</v>
      </c>
      <c r="BH6" s="273">
        <f>Table1[[#This Row],[Borrowed Allowance Based on Unused Daily Allowance % (kWh)]]*'Tariff Rates'!$K$3</f>
        <v>-0.944175334473958</v>
      </c>
      <c r="BI6" s="273" t="e">
        <f>BC6*'Tariff Rates'!$F$3</f>
        <v>#N/A</v>
      </c>
      <c r="BJ6" s="273" t="e">
        <f>SUM(BD6:BI6)</f>
        <v>#N/A</v>
      </c>
      <c r="BK6" s="274">
        <f>$D$52*Table1[[#This Row],[Percentage of Unit Entitlement (%)]]</f>
        <v>0</v>
      </c>
      <c r="BL6" s="275">
        <f>BK6*'Tariff Rates'!$H$3</f>
        <v>0</v>
      </c>
      <c r="BM6" s="275">
        <f>($Q$33)*Table1[[#This Row],[Percentage of Unit Entitlement (%)]]*'Tariff Rates'!$B$3</f>
        <v>20.88504</v>
      </c>
      <c r="BN6" s="275">
        <f t="shared" ref="BN6:BN20" si="15">SUM(BM6,BL6)</f>
        <v>20.88504</v>
      </c>
      <c r="BO6" s="275">
        <f t="shared" ref="BO6:BO20" si="16">BK6</f>
        <v>0</v>
      </c>
      <c r="BP6" s="295">
        <f t="shared" ref="BP6:BP20" si="17">BO6+BN6</f>
        <v>20.88504</v>
      </c>
      <c r="BQ6" s="296" t="e">
        <f t="shared" si="13"/>
        <v>#N/A</v>
      </c>
      <c r="BR6" s="300"/>
      <c r="BS6" s="301"/>
      <c r="BT6" s="302">
        <v>2</v>
      </c>
    </row>
    <row r="7" spans="1:72">
      <c r="A7" s="95">
        <v>3</v>
      </c>
      <c r="B7" s="96" t="str" cm="1">
        <f t="array" ref="B7">INDEX(Table_Household_Alloc[Owner],MATCH(1,(Table_Household_Alloc[Lot]=A7)*(Table_Household_Alloc[cluster]=$B$1),0))</f>
        <v>Alexander Hughes</v>
      </c>
      <c r="C7" s="97" cm="1">
        <f t="array" ref="C7">INDEX(Reading_import[Meter'#],MATCH(1,(Table_Household_Alloc[Lot]=A7)*(Table_Household_Alloc[cluster]=$B$1),0))</f>
        <v>50002872</v>
      </c>
      <c r="D7" s="98" cm="1">
        <f t="array" ref="D7">INDEX(Table_Household_Alloc[UE % over Cluster],MATCH(1,(Table_Household_Alloc[Lot]=A7)*(Table_Household_Alloc[cluster]=$B$1),0))</f>
        <v>0.037</v>
      </c>
      <c r="E7" s="99" t="str" cm="1">
        <f t="array" ref="E7">INDEX(Table_Household_Alloc[Stage of Dev.],MATCH(1,(Table_Household_Alloc[Lot]=A7)*(Table_Household_Alloc[cluster]=$B$1),0))</f>
        <v>O</v>
      </c>
      <c r="F7" s="100" cm="1">
        <f t="array" ref="F7">INDEX(Amanda_energy[Daily_Supply_incl_GST],MATCH(1,(Amanda_energy[Cluster]=$B$1)*(Amanda_energy[Month]=$F$2),0))/MAX($A:$A)</f>
        <v>6.31481481481481</v>
      </c>
      <c r="G7" s="101" cm="1">
        <f t="array" ref="G7">INDEX(Amanda_energy[Daily_Supply_incl_GST],MATCH(1,(Amanda_energy[Cluster]=$B$1)*(Amanda_energy[Month]=$G$2),0))/MAX($A:$A)</f>
        <v>5.7037037037037</v>
      </c>
      <c r="H7" s="101" cm="1">
        <f t="array" ref="H7">INDEX(Amanda_energy[Daily_Supply_incl_GST],MATCH(1,(Amanda_energy[Cluster]=$B$1)*(Amanda_energy[Month]=$H$2),0))/MAX($A:$A)</f>
        <v>6.31481481481481</v>
      </c>
      <c r="I7" s="101">
        <f>$J$46/MAX($A:$A)</f>
        <v>1.67222222222222</v>
      </c>
      <c r="J7" s="168"/>
      <c r="K7" s="168"/>
      <c r="L7" s="168">
        <f>$L$3*'Tariff Rates'!$D$8*IF(Table1[[#This Row],[Stage of Dev.]]="V",0,1)</f>
        <v>19.8</v>
      </c>
      <c r="M7" s="169">
        <v>1.1</v>
      </c>
      <c r="N7" s="170">
        <f t="shared" si="1"/>
        <v>40.9055555555556</v>
      </c>
      <c r="O7" s="171" cm="1">
        <f t="array" ref="O7">INDEX(Reading_import[1/1/2025],MATCH(1,(Reading_import[Lot]=A7)*(Reading_import[cluster]=$B$1),0))</f>
        <v>8271</v>
      </c>
      <c r="P7" s="172" cm="1">
        <f t="array" ref="P7">INDEX(Reading_import[01/04/2025],MATCH(1,(Reading_import[Lot]=A7)*(Reading_import[cluster]=$B$1),0))</f>
        <v>9141</v>
      </c>
      <c r="Q7" s="189">
        <f>Table1[[#This Row],[Last day of reporting period: import]]-Table1[[#This Row],[1st day of reporting period: import]]</f>
        <v>870</v>
      </c>
      <c r="R7" s="190">
        <f t="shared" si="2"/>
        <v>9.66666666666667</v>
      </c>
      <c r="S7" s="191">
        <f t="shared" si="3"/>
        <v>0.0969683459652251</v>
      </c>
      <c r="T7" s="192">
        <f>IF(Table1[[#This Row],[Stage of Dev.]]="V",0,233*Table1[[#This Row],[Percentage of Unit Entitlement (%)]])</f>
        <v>8.621</v>
      </c>
      <c r="U7" s="193">
        <f t="shared" si="4"/>
        <v>8.621</v>
      </c>
      <c r="V7" s="193">
        <f>Table1[[#This Row],[Daily Battery allowance based on UE% (kWh)]]-Table1[[#This Row],[Applicable Battery Allowance Daily Consumption (kWh)]]</f>
        <v>0</v>
      </c>
      <c r="W7" s="194">
        <f>Table1[[#This Row],[Unused Daily Allowance (kWh)]]/$V$38</f>
        <v>0</v>
      </c>
      <c r="X7" s="193">
        <f>IF(Table1[[#This Row],[Applicable Battery Allowance Daily Consumption (kWh)]]&gt;Table1[[#This Row],[Total Daily Average Consumptio for Billing Period (kWh)]],Table1[[#This Row],[Total Consumption Import  (kWh)]],U7*$N$3)</f>
        <v>775.89</v>
      </c>
      <c r="Y7" s="209">
        <f>IF(Table1[[#This Row],[Applicable Battery Allowance Daily Consumption (kWh)]]&gt;0,ABS(Q7-X7),0)</f>
        <v>94.11</v>
      </c>
      <c r="Z7" s="210">
        <f>IFERROR(Table1[[#This Row],[Energy Exceeding Battery Allowance (kWh)]]/$Y$38,0)</f>
        <v>0.102200165066678</v>
      </c>
      <c r="AA7" s="211">
        <f t="shared" si="5"/>
        <v>835.34</v>
      </c>
      <c r="AB7" s="212">
        <f>IFERROR(Table1[[#This Row],[Total Cluster Energy Balance for P2P Trading (kWh)]]*Table1[[#This Row],[Energy Exceeding Battery Allowance %]],0)</f>
        <v>85.371885886799</v>
      </c>
      <c r="AC7" s="213">
        <f>Table1[[#This Row],[P2P Import Consumption within Battery Allowance(kWh)]]+Table1[[#This Row],[P2P Import Consumption over Battery Allowance based on Energy Exceeding Allowance % (kWh)]]</f>
        <v>861.261885886799</v>
      </c>
      <c r="AD7" s="213">
        <f>Table1[[#This Row],[Total Consumption Import  (kWh)]]-Table1[[#This Row],[Total P2P import (kWh)]]</f>
        <v>8.73811411320094</v>
      </c>
      <c r="AE7" s="214">
        <f>IFERROR(Table1[[#This Row],[Total P2P import (kWh)]]/$AC$38,0)</f>
        <v>0</v>
      </c>
      <c r="AF7" s="215">
        <f t="shared" si="6"/>
        <v>2476</v>
      </c>
      <c r="AG7" s="215">
        <f t="shared" si="7"/>
        <v>0</v>
      </c>
      <c r="AH7" s="226">
        <f t="shared" si="8"/>
        <v>658</v>
      </c>
      <c r="AI7" s="226">
        <f>Table1[[#This Row],[Cluster''s Total Common Services (kWh)]]*Table1[[#This Row],[Percentage of Unit Entitlement (%)]]</f>
        <v>24.346</v>
      </c>
      <c r="AJ7" s="227">
        <f>AG7*'Tariff Rates'!$B$3</f>
        <v>0</v>
      </c>
      <c r="AK7" s="227">
        <f>Table1[[#This Row],[Common Services based on Split per Unit Entitlement % to battery (kWh)]]*'Tariff Rates'!$B$3</f>
        <v>5.35612</v>
      </c>
      <c r="AL7" s="228">
        <f>Table1[[#This Row],[Total P2P import (kWh)]]*IF(Table1[[#This Row],[Total Lot Export (kWh)]]=0,'Tariff Rates'!$L$3,'Tariff Rates'!$B$3)</f>
        <v>310.054278919248</v>
      </c>
      <c r="AM7" s="229">
        <f>Table1[[#This Row],[P2P Import Consumption over Battery Allowance based on Energy Exceeding Allowance % (kWh)]]*'Tariff Rates'!$J$3</f>
        <v>1.70743771773598</v>
      </c>
      <c r="AN7" s="230">
        <f>Table1[[#This Row],[Energy Import from Grid (kWh)]]*'Tariff Rates'!$E$3</f>
        <v>2.62143423396028</v>
      </c>
      <c r="AO7" s="247">
        <f t="shared" si="14"/>
        <v>319.739270870944</v>
      </c>
      <c r="AP7" s="248" cm="1">
        <f t="array" ref="AP7">INDEX(Reading_export[1/1/2025],MATCH(1,(Reading_export[Lot]=A7)*(Reading_export[cluster]=$B$1),0))</f>
        <v>0</v>
      </c>
      <c r="AQ7" s="248" cm="1">
        <f t="array" ref="AQ7">INDEX(Reading_export[01/04/2025],MATCH(1,(Reading_export[Lot]=A7)*(Reading_export[cluster]=$B$1),0))</f>
        <v>0</v>
      </c>
      <c r="AR7" s="249">
        <f>Table1[[#This Row],[Last day of reporting period: export]]-Table1[[#This Row],[1st day of reporting period: export]]</f>
        <v>0</v>
      </c>
      <c r="AS7" s="250">
        <f t="shared" si="9"/>
        <v>0</v>
      </c>
      <c r="AT7" s="251" t="e">
        <f>Table1[[#This Row],[Percentage of Total export for Billing Period (%)]]*$AC$38</f>
        <v>#N/A</v>
      </c>
      <c r="AU7" s="251">
        <f t="shared" si="10"/>
        <v>835.34</v>
      </c>
      <c r="AV7" s="252">
        <f>IFERROR(Table1[[#This Row],[Total Cluster Energy Balance for P2P Trading (kWh)2]]*Table1[[#This Row],[Unused Daily Allowance %]],0)</f>
        <v>0</v>
      </c>
      <c r="AW7" s="251">
        <f t="shared" si="11"/>
        <v>0</v>
      </c>
      <c r="AX7" s="252">
        <f>Table1[[#This Row],[Cluster''s Total Common Services (kWh)]]*Table1[[#This Row],[Percentage of Total export for Billing Period (%)]]</f>
        <v>0</v>
      </c>
      <c r="AY7" s="252">
        <f>$Q$33*Table1[[#This Row],[Percentage of Total export for Billing Period (%)]]</f>
        <v>0</v>
      </c>
      <c r="AZ7"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7" s="252">
        <f t="shared" si="12"/>
        <v>0</v>
      </c>
      <c r="BB7" s="252">
        <f>Table1[[#This Row],[Energy Losses When Export to Grid (kWh)]]*Table1[[#This Row],[Percentage of Total export for Billing Period (%)]]</f>
        <v>0</v>
      </c>
      <c r="BC7" s="252" t="e">
        <f>Table1[[#This Row],[Therotical Energy Export to Grid (kWh)]]-Table1[[#This Row],[Energy Losses When Export to Grid based up % total export (kWh)]]</f>
        <v>#N/A</v>
      </c>
      <c r="BD7" s="260">
        <f>AW7*'Tariff Rates'!$C$3</f>
        <v>0</v>
      </c>
      <c r="BE7" s="260">
        <f>Table1[[#This Row],[Common Service based upon % total export to battery (kWh)]]*'Tariff Rates'!$C$3</f>
        <v>0</v>
      </c>
      <c r="BF7" s="260">
        <f>Table1[[#This Row],[EV Charger based upon % total export to battery (kWh)]]*'Tariff Rates'!$C$3</f>
        <v>0</v>
      </c>
      <c r="BG7" s="273" t="e">
        <f>AT7*'Tariff Rates'!$C$3</f>
        <v>#N/A</v>
      </c>
      <c r="BH7" s="273">
        <f>Table1[[#This Row],[Borrowed Allowance Based on Unused Daily Allowance % (kWh)]]*'Tariff Rates'!$K$3</f>
        <v>0</v>
      </c>
      <c r="BI7" s="273" t="e">
        <f>BC7*'Tariff Rates'!$F$3</f>
        <v>#N/A</v>
      </c>
      <c r="BJ7" s="273" t="e">
        <f t="shared" ref="BJ7:BJ25" si="18">SUM(BD7:BI7)</f>
        <v>#N/A</v>
      </c>
      <c r="BK7" s="274">
        <f>$D$52*Table1[[#This Row],[Percentage of Unit Entitlement (%)]]</f>
        <v>0</v>
      </c>
      <c r="BL7" s="275">
        <f>BK7*'Tariff Rates'!$H$3</f>
        <v>0</v>
      </c>
      <c r="BM7" s="275">
        <f>($Q$33)*Table1[[#This Row],[Percentage of Unit Entitlement (%)]]*'Tariff Rates'!$B$3</f>
        <v>21.46518</v>
      </c>
      <c r="BN7" s="275">
        <f t="shared" si="15"/>
        <v>21.46518</v>
      </c>
      <c r="BO7" s="275">
        <f t="shared" si="16"/>
        <v>0</v>
      </c>
      <c r="BP7" s="295">
        <f t="shared" si="17"/>
        <v>21.46518</v>
      </c>
      <c r="BQ7" s="296" t="e">
        <f t="shared" si="13"/>
        <v>#N/A</v>
      </c>
      <c r="BR7" s="303"/>
      <c r="BS7" s="304"/>
      <c r="BT7" s="299">
        <v>3</v>
      </c>
    </row>
    <row r="8" spans="1:72">
      <c r="A8" s="102">
        <v>4</v>
      </c>
      <c r="B8" s="96" t="str" cm="1">
        <f t="array" ref="B8">INDEX(Table_Household_Alloc[Owner],MATCH(1,(Table_Household_Alloc[Lot]=A8)*(Table_Household_Alloc[cluster]=$B$1),0))</f>
        <v>Paul Jurjevich &amp; Trish Rushton</v>
      </c>
      <c r="C8" s="97" cm="1">
        <f t="array" ref="C8">INDEX(Reading_import[Meter'#],MATCH(1,(Table_Household_Alloc[Lot]=A8)*(Table_Household_Alloc[cluster]=$B$1),0))</f>
        <v>50002869</v>
      </c>
      <c r="D8" s="98" cm="1">
        <f t="array" ref="D8">INDEX(Table_Household_Alloc[UE % over Cluster],MATCH(1,(Table_Household_Alloc[Lot]=A8)*(Table_Household_Alloc[cluster]=$B$1),0))</f>
        <v>0.038</v>
      </c>
      <c r="E8" s="99" t="str" cm="1">
        <f t="array" ref="E8">INDEX(Table_Household_Alloc[Stage of Dev.],MATCH(1,(Table_Household_Alloc[Lot]=A8)*(Table_Household_Alloc[cluster]=$B$1),0))</f>
        <v>O</v>
      </c>
      <c r="F8" s="100" cm="1">
        <f t="array" ref="F8">INDEX(Amanda_energy[Daily_Supply_incl_GST],MATCH(1,(Amanda_energy[Cluster]=$B$1)*(Amanda_energy[Month]=$F$2),0))/MAX($A:$A)</f>
        <v>6.31481481481481</v>
      </c>
      <c r="G8" s="101" cm="1">
        <f t="array" ref="G8">INDEX(Amanda_energy[Daily_Supply_incl_GST],MATCH(1,(Amanda_energy[Cluster]=$B$1)*(Amanda_energy[Month]=$G$2),0))/MAX($A:$A)</f>
        <v>5.7037037037037</v>
      </c>
      <c r="H8" s="101" cm="1">
        <f t="array" ref="H8">INDEX(Amanda_energy[Daily_Supply_incl_GST],MATCH(1,(Amanda_energy[Cluster]=$B$1)*(Amanda_energy[Month]=$H$2),0))/MAX($A:$A)</f>
        <v>6.31481481481481</v>
      </c>
      <c r="I8" s="101">
        <f>$J$46/MAX($A:$A)</f>
        <v>1.67222222222222</v>
      </c>
      <c r="J8" s="168"/>
      <c r="K8" s="168"/>
      <c r="L8" s="168">
        <f>$L$3*'Tariff Rates'!$D$8*IF(Table1[[#This Row],[Stage of Dev.]]="V",0,1)</f>
        <v>19.8</v>
      </c>
      <c r="M8" s="169">
        <v>1.1</v>
      </c>
      <c r="N8" s="170">
        <f t="shared" si="1"/>
        <v>40.9055555555556</v>
      </c>
      <c r="O8" s="171" cm="1">
        <f t="array" ref="O8">INDEX(Reading_import[1/1/2025],MATCH(1,(Reading_import[Lot]=A8)*(Reading_import[cluster]=$B$1),0))</f>
        <v>4542</v>
      </c>
      <c r="P8" s="172" cm="1">
        <f t="array" ref="P8">INDEX(Reading_import[01/04/2025],MATCH(1,(Reading_import[Lot]=A8)*(Reading_import[cluster]=$B$1),0))</f>
        <v>5037</v>
      </c>
      <c r="Q8" s="189">
        <f>Table1[[#This Row],[Last day of reporting period: import]]-Table1[[#This Row],[1st day of reporting period: import]]</f>
        <v>495</v>
      </c>
      <c r="R8" s="190">
        <f t="shared" si="2"/>
        <v>5.5</v>
      </c>
      <c r="S8" s="191">
        <f t="shared" si="3"/>
        <v>0.0551716451181453</v>
      </c>
      <c r="T8" s="192">
        <f>IF(Table1[[#This Row],[Stage of Dev.]]="V",0,233*Table1[[#This Row],[Percentage of Unit Entitlement (%)]])</f>
        <v>8.854</v>
      </c>
      <c r="U8" s="193">
        <f t="shared" si="4"/>
        <v>5.5</v>
      </c>
      <c r="V8" s="193">
        <f>Table1[[#This Row],[Daily Battery allowance based on UE% (kWh)]]-Table1[[#This Row],[Applicable Battery Allowance Daily Consumption (kWh)]]</f>
        <v>3.354</v>
      </c>
      <c r="W8" s="194">
        <f>Table1[[#This Row],[Unused Daily Allowance (kWh)]]/$V$38</f>
        <v>0.0256563900016064</v>
      </c>
      <c r="X8" s="193">
        <f>IF(Table1[[#This Row],[Applicable Battery Allowance Daily Consumption (kWh)]]&gt;Table1[[#This Row],[Total Daily Average Consumptio for Billing Period (kWh)]],Table1[[#This Row],[Total Consumption Import  (kWh)]],U8*$N$3)</f>
        <v>495</v>
      </c>
      <c r="Y8" s="209">
        <f>IF(Table1[[#This Row],[Applicable Battery Allowance Daily Consumption (kWh)]]&gt;0,ABS(Q8-X8),0)</f>
        <v>0</v>
      </c>
      <c r="Z8" s="210">
        <f>IFERROR(Table1[[#This Row],[Energy Exceeding Battery Allowance (kWh)]]/$Y$38,0)</f>
        <v>0</v>
      </c>
      <c r="AA8" s="211">
        <f t="shared" si="5"/>
        <v>835.34</v>
      </c>
      <c r="AB8" s="212">
        <f>IFERROR(Table1[[#This Row],[Total Cluster Energy Balance for P2P Trading (kWh)]]*Table1[[#This Row],[Energy Exceeding Battery Allowance %]],0)</f>
        <v>0</v>
      </c>
      <c r="AC8" s="213">
        <f>Table1[[#This Row],[P2P Import Consumption within Battery Allowance(kWh)]]+Table1[[#This Row],[P2P Import Consumption over Battery Allowance based on Energy Exceeding Allowance % (kWh)]]</f>
        <v>495</v>
      </c>
      <c r="AD8" s="213">
        <f>Table1[[#This Row],[Total Consumption Import  (kWh)]]-Table1[[#This Row],[Total P2P import (kWh)]]</f>
        <v>0</v>
      </c>
      <c r="AE8" s="214">
        <f>IFERROR(Table1[[#This Row],[Total P2P import (kWh)]]/$AC$38,0)</f>
        <v>0</v>
      </c>
      <c r="AF8" s="215">
        <f t="shared" si="6"/>
        <v>2476</v>
      </c>
      <c r="AG8" s="215">
        <f t="shared" si="7"/>
        <v>0</v>
      </c>
      <c r="AH8" s="226">
        <f t="shared" si="8"/>
        <v>658</v>
      </c>
      <c r="AI8" s="226">
        <f>Table1[[#This Row],[Cluster''s Total Common Services (kWh)]]*Table1[[#This Row],[Percentage of Unit Entitlement (%)]]</f>
        <v>25.004</v>
      </c>
      <c r="AJ8" s="227">
        <f>AG8*'Tariff Rates'!$B$3</f>
        <v>0</v>
      </c>
      <c r="AK8" s="227">
        <f>Table1[[#This Row],[Common Services based on Split per Unit Entitlement % to battery (kWh)]]*'Tariff Rates'!$B$3</f>
        <v>5.50088</v>
      </c>
      <c r="AL8" s="228">
        <f>Table1[[#This Row],[Total P2P import (kWh)]]*IF(Table1[[#This Row],[Total Lot Export (kWh)]]=0,'Tariff Rates'!$L$3,'Tariff Rates'!$B$3)</f>
        <v>108.9</v>
      </c>
      <c r="AM8" s="229">
        <f>Table1[[#This Row],[P2P Import Consumption over Battery Allowance based on Energy Exceeding Allowance % (kWh)]]*'Tariff Rates'!$J$3</f>
        <v>0</v>
      </c>
      <c r="AN8" s="230">
        <f>Table1[[#This Row],[Energy Import from Grid (kWh)]]*'Tariff Rates'!$E$3</f>
        <v>0</v>
      </c>
      <c r="AO8" s="247">
        <f t="shared" si="14"/>
        <v>114.40088</v>
      </c>
      <c r="AP8" s="248" cm="1">
        <f t="array" ref="AP8">INDEX(Reading_export[1/1/2025],MATCH(1,(Reading_export[Lot]=A8)*(Reading_export[cluster]=$B$1),0))</f>
        <v>9031</v>
      </c>
      <c r="AQ8" s="248" cm="1">
        <f t="array" ref="AQ8">INDEX(Reading_export[01/04/2025],MATCH(1,(Reading_export[Lot]=A8)*(Reading_export[cluster]=$B$1),0))</f>
        <v>11476</v>
      </c>
      <c r="AR8" s="249">
        <f>Table1[[#This Row],[Last day of reporting period: export]]-Table1[[#This Row],[1st day of reporting period: export]]</f>
        <v>2445</v>
      </c>
      <c r="AS8" s="250">
        <f t="shared" si="9"/>
        <v>0.0523655522477565</v>
      </c>
      <c r="AT8" s="251" t="e">
        <f>Table1[[#This Row],[Percentage of Total export for Billing Period (%)]]*$AC$38</f>
        <v>#N/A</v>
      </c>
      <c r="AU8" s="251">
        <f t="shared" si="10"/>
        <v>835.34</v>
      </c>
      <c r="AV8" s="252">
        <f>IFERROR(Table1[[#This Row],[Total Cluster Energy Balance for P2P Trading (kWh)2]]*Table1[[#This Row],[Unused Daily Allowance %]],0)</f>
        <v>21.4318088239419</v>
      </c>
      <c r="AW8" s="251">
        <f t="shared" si="11"/>
        <v>129.657107365445</v>
      </c>
      <c r="AX8" s="252">
        <f>Table1[[#This Row],[Cluster''s Total Common Services (kWh)]]*Table1[[#This Row],[Percentage of Total export for Billing Period (%)]]</f>
        <v>34.4565333790238</v>
      </c>
      <c r="AY8" s="252">
        <f>$Q$33*Table1[[#This Row],[Percentage of Total export for Billing Period (%)]]</f>
        <v>138.087961277334</v>
      </c>
      <c r="AZ8"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8" s="252">
        <f t="shared" si="12"/>
        <v>0</v>
      </c>
      <c r="BB8" s="252">
        <f>Table1[[#This Row],[Energy Losses When Export to Grid (kWh)]]*Table1[[#This Row],[Percentage of Total export for Billing Period (%)]]</f>
        <v>0</v>
      </c>
      <c r="BC8" s="252" t="e">
        <f>Table1[[#This Row],[Therotical Energy Export to Grid (kWh)]]-Table1[[#This Row],[Energy Losses When Export to Grid based up % total export (kWh)]]</f>
        <v>#N/A</v>
      </c>
      <c r="BD8" s="260">
        <f>AW8*'Tariff Rates'!$C$3</f>
        <v>-28.5245636203979</v>
      </c>
      <c r="BE8" s="260">
        <f>Table1[[#This Row],[Common Service based upon % total export to battery (kWh)]]*'Tariff Rates'!$C$3</f>
        <v>-7.58043734338523</v>
      </c>
      <c r="BF8" s="260">
        <f>Table1[[#This Row],[EV Charger based upon % total export to battery (kWh)]]*'Tariff Rates'!$C$3</f>
        <v>-30.3793514810135</v>
      </c>
      <c r="BG8" s="273" t="e">
        <f>AT8*'Tariff Rates'!$C$3</f>
        <v>#N/A</v>
      </c>
      <c r="BH8" s="273">
        <f>Table1[[#This Row],[Borrowed Allowance Based on Unused Daily Allowance % (kWh)]]*'Tariff Rates'!$K$3</f>
        <v>-0.428636176478838</v>
      </c>
      <c r="BI8" s="273" t="e">
        <f>BC8*'Tariff Rates'!$F$3</f>
        <v>#N/A</v>
      </c>
      <c r="BJ8" s="273" t="e">
        <f t="shared" si="18"/>
        <v>#N/A</v>
      </c>
      <c r="BK8" s="274">
        <f>$D$52*Table1[[#This Row],[Percentage of Unit Entitlement (%)]]</f>
        <v>0</v>
      </c>
      <c r="BL8" s="275">
        <f>BK8*'Tariff Rates'!$H$3</f>
        <v>0</v>
      </c>
      <c r="BM8" s="275">
        <f>($Q$33)*Table1[[#This Row],[Percentage of Unit Entitlement (%)]]*'Tariff Rates'!$B$3</f>
        <v>22.04532</v>
      </c>
      <c r="BN8" s="275">
        <f t="shared" si="15"/>
        <v>22.04532</v>
      </c>
      <c r="BO8" s="275">
        <f t="shared" si="16"/>
        <v>0</v>
      </c>
      <c r="BP8" s="295">
        <f t="shared" si="17"/>
        <v>22.04532</v>
      </c>
      <c r="BQ8" s="296" t="e">
        <f t="shared" si="13"/>
        <v>#N/A</v>
      </c>
      <c r="BR8" s="300"/>
      <c r="BS8" s="301"/>
      <c r="BT8" s="302">
        <v>4</v>
      </c>
    </row>
    <row r="9" spans="1:72">
      <c r="A9" s="95">
        <v>5</v>
      </c>
      <c r="B9" s="96" t="str" cm="1">
        <f t="array" ref="B9">INDEX(Table_Household_Alloc[Owner],MATCH(1,(Table_Household_Alloc[Lot]=A9)*(Table_Household_Alloc[cluster]=$B$1),0))</f>
        <v>Dwyer</v>
      </c>
      <c r="C9" s="97" cm="1">
        <f t="array" ref="C9">INDEX(Reading_import[Meter'#],MATCH(1,(Table_Household_Alloc[Lot]=A9)*(Table_Household_Alloc[cluster]=$B$1),0))</f>
        <v>50002879</v>
      </c>
      <c r="D9" s="98" cm="1">
        <f t="array" ref="D9">INDEX(Table_Household_Alloc[UE % over Cluster],MATCH(1,(Table_Household_Alloc[Lot]=A9)*(Table_Household_Alloc[cluster]=$B$1),0))</f>
        <v>0.039</v>
      </c>
      <c r="E9" s="99" t="str" cm="1">
        <f t="array" ref="E9">INDEX(Table_Household_Alloc[Stage of Dev.],MATCH(1,(Table_Household_Alloc[Lot]=A9)*(Table_Household_Alloc[cluster]=$B$1),0))</f>
        <v>O</v>
      </c>
      <c r="F9" s="100" cm="1">
        <f t="array" ref="F9">INDEX(Amanda_energy[Daily_Supply_incl_GST],MATCH(1,(Amanda_energy[Cluster]=$B$1)*(Amanda_energy[Month]=$F$2),0))/MAX($A:$A)</f>
        <v>6.31481481481481</v>
      </c>
      <c r="G9" s="101" cm="1">
        <f t="array" ref="G9">INDEX(Amanda_energy[Daily_Supply_incl_GST],MATCH(1,(Amanda_energy[Cluster]=$B$1)*(Amanda_energy[Month]=$G$2),0))/MAX($A:$A)</f>
        <v>5.7037037037037</v>
      </c>
      <c r="H9" s="101" cm="1">
        <f t="array" ref="H9">INDEX(Amanda_energy[Daily_Supply_incl_GST],MATCH(1,(Amanda_energy[Cluster]=$B$1)*(Amanda_energy[Month]=$H$2),0))/MAX($A:$A)</f>
        <v>6.31481481481481</v>
      </c>
      <c r="I9" s="101">
        <f>$J$46/MAX($A:$A)</f>
        <v>1.67222222222222</v>
      </c>
      <c r="J9" s="168"/>
      <c r="K9" s="168"/>
      <c r="L9" s="168">
        <f>$L$3*'Tariff Rates'!$D$8*IF(Table1[[#This Row],[Stage of Dev.]]="V",0,1)</f>
        <v>19.8</v>
      </c>
      <c r="M9" s="169">
        <v>1.1</v>
      </c>
      <c r="N9" s="170">
        <f t="shared" si="1"/>
        <v>40.9055555555556</v>
      </c>
      <c r="O9" s="171" cm="1">
        <f t="array" ref="O9">INDEX(Reading_import[1/1/2025],MATCH(1,(Reading_import[Lot]=A9)*(Reading_import[cluster]=$B$1),0))</f>
        <v>3545</v>
      </c>
      <c r="P9" s="172" cm="1">
        <f t="array" ref="P9">INDEX(Reading_import[01/04/2025],MATCH(1,(Reading_import[Lot]=A9)*(Reading_import[cluster]=$B$1),0))</f>
        <v>3743</v>
      </c>
      <c r="Q9" s="189">
        <f>Table1[[#This Row],[Last day of reporting period: import]]-Table1[[#This Row],[1st day of reporting period: import]]</f>
        <v>198</v>
      </c>
      <c r="R9" s="190">
        <f t="shared" si="2"/>
        <v>2.2</v>
      </c>
      <c r="S9" s="191">
        <f t="shared" si="3"/>
        <v>0.0220686580472581</v>
      </c>
      <c r="T9" s="192">
        <f>IF(Table1[[#This Row],[Stage of Dev.]]="V",0,233*Table1[[#This Row],[Percentage of Unit Entitlement (%)]])</f>
        <v>9.087</v>
      </c>
      <c r="U9" s="193">
        <f t="shared" si="4"/>
        <v>2.2</v>
      </c>
      <c r="V9" s="193">
        <f>Table1[[#This Row],[Daily Battery allowance based on UE% (kWh)]]-Table1[[#This Row],[Applicable Battery Allowance Daily Consumption (kWh)]]</f>
        <v>6.887</v>
      </c>
      <c r="W9" s="194">
        <f>Table1[[#This Row],[Unused Daily Allowance (kWh)]]/$V$38</f>
        <v>0.0526820387421178</v>
      </c>
      <c r="X9" s="193">
        <f>IF(Table1[[#This Row],[Applicable Battery Allowance Daily Consumption (kWh)]]&gt;Table1[[#This Row],[Total Daily Average Consumptio for Billing Period (kWh)]],Table1[[#This Row],[Total Consumption Import  (kWh)]],U9*$N$3)</f>
        <v>198</v>
      </c>
      <c r="Y9" s="209">
        <f>IF(Table1[[#This Row],[Applicable Battery Allowance Daily Consumption (kWh)]]&gt;0,ABS(Q9-X9),0)</f>
        <v>0</v>
      </c>
      <c r="Z9" s="210">
        <f>IFERROR(Table1[[#This Row],[Energy Exceeding Battery Allowance (kWh)]]/$Y$38,0)</f>
        <v>0</v>
      </c>
      <c r="AA9" s="211">
        <f t="shared" si="5"/>
        <v>835.34</v>
      </c>
      <c r="AB9" s="212">
        <f>IFERROR(Table1[[#This Row],[Total Cluster Energy Balance for P2P Trading (kWh)]]*Table1[[#This Row],[Energy Exceeding Battery Allowance %]],0)</f>
        <v>0</v>
      </c>
      <c r="AC9" s="213">
        <f>Table1[[#This Row],[P2P Import Consumption within Battery Allowance(kWh)]]+Table1[[#This Row],[P2P Import Consumption over Battery Allowance based on Energy Exceeding Allowance % (kWh)]]</f>
        <v>198</v>
      </c>
      <c r="AD9" s="213">
        <f>Table1[[#This Row],[Total Consumption Import  (kWh)]]-Table1[[#This Row],[Total P2P import (kWh)]]</f>
        <v>0</v>
      </c>
      <c r="AE9" s="214">
        <f>IFERROR(Table1[[#This Row],[Total P2P import (kWh)]]/$AC$38,0)</f>
        <v>0</v>
      </c>
      <c r="AF9" s="215">
        <f t="shared" si="6"/>
        <v>2476</v>
      </c>
      <c r="AG9" s="215">
        <f t="shared" si="7"/>
        <v>0</v>
      </c>
      <c r="AH9" s="226">
        <f t="shared" si="8"/>
        <v>658</v>
      </c>
      <c r="AI9" s="226">
        <f>Table1[[#This Row],[Cluster''s Total Common Services (kWh)]]*Table1[[#This Row],[Percentage of Unit Entitlement (%)]]</f>
        <v>25.662</v>
      </c>
      <c r="AJ9" s="227">
        <f>AG9*'Tariff Rates'!$B$3</f>
        <v>0</v>
      </c>
      <c r="AK9" s="227">
        <f>Table1[[#This Row],[Common Services based on Split per Unit Entitlement % to battery (kWh)]]*'Tariff Rates'!$B$3</f>
        <v>5.64564</v>
      </c>
      <c r="AL9" s="228">
        <f>Table1[[#This Row],[Total P2P import (kWh)]]*IF(Table1[[#This Row],[Total Lot Export (kWh)]]=0,'Tariff Rates'!$L$3,'Tariff Rates'!$B$3)</f>
        <v>43.56</v>
      </c>
      <c r="AM9" s="229">
        <f>Table1[[#This Row],[P2P Import Consumption over Battery Allowance based on Energy Exceeding Allowance % (kWh)]]*'Tariff Rates'!$J$3</f>
        <v>0</v>
      </c>
      <c r="AN9" s="230">
        <f>Table1[[#This Row],[Energy Import from Grid (kWh)]]*'Tariff Rates'!$E$3</f>
        <v>0</v>
      </c>
      <c r="AO9" s="247">
        <f t="shared" si="14"/>
        <v>49.20564</v>
      </c>
      <c r="AP9" s="248" cm="1">
        <f t="array" ref="AP9">INDEX(Reading_export[1/1/2025],MATCH(1,(Reading_export[Lot]=A9)*(Reading_export[cluster]=$B$1),0))</f>
        <v>12884</v>
      </c>
      <c r="AQ9" s="248" cm="1">
        <f t="array" ref="AQ9">INDEX(Reading_export[01/04/2025],MATCH(1,(Reading_export[Lot]=A9)*(Reading_export[cluster]=$B$1),0))</f>
        <v>15571</v>
      </c>
      <c r="AR9" s="249">
        <f>Table1[[#This Row],[Last day of reporting period: export]]-Table1[[#This Row],[1st day of reporting period: export]]</f>
        <v>2687</v>
      </c>
      <c r="AS9" s="250">
        <f t="shared" si="9"/>
        <v>0.0575485639630764</v>
      </c>
      <c r="AT9" s="251" t="e">
        <f>Table1[[#This Row],[Percentage of Total export for Billing Period (%)]]*$AC$38</f>
        <v>#N/A</v>
      </c>
      <c r="AU9" s="251">
        <f t="shared" si="10"/>
        <v>835.34</v>
      </c>
      <c r="AV9" s="252">
        <f>IFERROR(Table1[[#This Row],[Total Cluster Energy Balance for P2P Trading (kWh)2]]*Table1[[#This Row],[Unused Daily Allowance %]],0)</f>
        <v>44.0074142428407</v>
      </c>
      <c r="AW9" s="251">
        <f t="shared" si="11"/>
        <v>142.490244372577</v>
      </c>
      <c r="AX9" s="252">
        <f>Table1[[#This Row],[Cluster''s Total Common Services (kWh)]]*Table1[[#This Row],[Percentage of Total export for Billing Period (%)]]</f>
        <v>37.8669550877043</v>
      </c>
      <c r="AY9" s="252">
        <f>$Q$33*Table1[[#This Row],[Percentage of Total export for Billing Period (%)]]</f>
        <v>151.755563170632</v>
      </c>
      <c r="AZ9"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9" s="252">
        <f t="shared" si="12"/>
        <v>0</v>
      </c>
      <c r="BB9" s="252">
        <f>Table1[[#This Row],[Energy Losses When Export to Grid (kWh)]]*Table1[[#This Row],[Percentage of Total export for Billing Period (%)]]</f>
        <v>0</v>
      </c>
      <c r="BC9" s="252" t="e">
        <f>Table1[[#This Row],[Therotical Energy Export to Grid (kWh)]]-Table1[[#This Row],[Energy Losses When Export to Grid based up % total export (kWh)]]</f>
        <v>#N/A</v>
      </c>
      <c r="BD9" s="260">
        <f>AW9*'Tariff Rates'!$C$3</f>
        <v>-31.347853761967</v>
      </c>
      <c r="BE9" s="260">
        <f>Table1[[#This Row],[Common Service based upon % total export to battery (kWh)]]*'Tariff Rates'!$C$3</f>
        <v>-8.33073011929494</v>
      </c>
      <c r="BF9" s="260">
        <f>Table1[[#This Row],[EV Charger based upon % total export to battery (kWh)]]*'Tariff Rates'!$C$3</f>
        <v>-33.3862238975391</v>
      </c>
      <c r="BG9" s="273" t="e">
        <f>AT9*'Tariff Rates'!$C$3</f>
        <v>#N/A</v>
      </c>
      <c r="BH9" s="273">
        <f>Table1[[#This Row],[Borrowed Allowance Based on Unused Daily Allowance % (kWh)]]*'Tariff Rates'!$K$3</f>
        <v>-0.880148284856814</v>
      </c>
      <c r="BI9" s="273" t="e">
        <f>BC9*'Tariff Rates'!$F$3</f>
        <v>#N/A</v>
      </c>
      <c r="BJ9" s="273" t="e">
        <f t="shared" si="18"/>
        <v>#N/A</v>
      </c>
      <c r="BK9" s="274">
        <f>$D$52*Table1[[#This Row],[Percentage of Unit Entitlement (%)]]</f>
        <v>0</v>
      </c>
      <c r="BL9" s="275">
        <f>BK9*'Tariff Rates'!$H$3</f>
        <v>0</v>
      </c>
      <c r="BM9" s="275">
        <f>($Q$33)*Table1[[#This Row],[Percentage of Unit Entitlement (%)]]*'Tariff Rates'!$B$3</f>
        <v>22.62546</v>
      </c>
      <c r="BN9" s="275">
        <f t="shared" si="15"/>
        <v>22.62546</v>
      </c>
      <c r="BO9" s="275">
        <f t="shared" si="16"/>
        <v>0</v>
      </c>
      <c r="BP9" s="295">
        <f t="shared" si="17"/>
        <v>22.62546</v>
      </c>
      <c r="BQ9" s="296" t="e">
        <f t="shared" si="13"/>
        <v>#N/A</v>
      </c>
      <c r="BR9" s="303"/>
      <c r="BS9" s="304"/>
      <c r="BT9" s="299">
        <v>5</v>
      </c>
    </row>
    <row r="10" spans="1:72">
      <c r="A10" s="102">
        <v>6</v>
      </c>
      <c r="B10" s="96" t="str" cm="1">
        <f t="array" ref="B10">INDEX(Table_Household_Alloc[Owner],MATCH(1,(Table_Household_Alloc[Lot]=A10)*(Table_Household_Alloc[cluster]=$B$1),0))</f>
        <v>Gillespie</v>
      </c>
      <c r="C10" s="97" cm="1">
        <f t="array" ref="C10">INDEX(Reading_import[Meter'#],MATCH(1,(Table_Household_Alloc[Lot]=A10)*(Table_Household_Alloc[cluster]=$B$1),0))</f>
        <v>50002865</v>
      </c>
      <c r="D10" s="98" cm="1">
        <f t="array" ref="D10">INDEX(Table_Household_Alloc[UE % over Cluster],MATCH(1,(Table_Household_Alloc[Lot]=A10)*(Table_Household_Alloc[cluster]=$B$1),0))</f>
        <v>0.039</v>
      </c>
      <c r="E10" s="99" t="str" cm="1">
        <f t="array" ref="E10">INDEX(Table_Household_Alloc[Stage of Dev.],MATCH(1,(Table_Household_Alloc[Lot]=A10)*(Table_Household_Alloc[cluster]=$B$1),0))</f>
        <v>O</v>
      </c>
      <c r="F10" s="100" cm="1">
        <f t="array" ref="F10">INDEX(Amanda_energy[Daily_Supply_incl_GST],MATCH(1,(Amanda_energy[Cluster]=$B$1)*(Amanda_energy[Month]=$F$2),0))/MAX($A:$A)</f>
        <v>6.31481481481481</v>
      </c>
      <c r="G10" s="101" cm="1">
        <f t="array" ref="G10">INDEX(Amanda_energy[Daily_Supply_incl_GST],MATCH(1,(Amanda_energy[Cluster]=$B$1)*(Amanda_energy[Month]=$G$2),0))/MAX($A:$A)</f>
        <v>5.7037037037037</v>
      </c>
      <c r="H10" s="101" cm="1">
        <f t="array" ref="H10">INDEX(Amanda_energy[Daily_Supply_incl_GST],MATCH(1,(Amanda_energy[Cluster]=$B$1)*(Amanda_energy[Month]=$H$2),0))/MAX($A:$A)</f>
        <v>6.31481481481481</v>
      </c>
      <c r="I10" s="101">
        <f>$J$46/MAX($A:$A)</f>
        <v>1.67222222222222</v>
      </c>
      <c r="J10" s="168"/>
      <c r="K10" s="168"/>
      <c r="L10" s="168">
        <f>$L$3*'Tariff Rates'!$D$8*IF(Table1[[#This Row],[Stage of Dev.]]="V",0,1)</f>
        <v>19.8</v>
      </c>
      <c r="M10" s="169">
        <v>1.1</v>
      </c>
      <c r="N10" s="170">
        <f t="shared" si="1"/>
        <v>40.9055555555556</v>
      </c>
      <c r="O10" s="171" cm="1">
        <f t="array" ref="O10">INDEX(Reading_import[1/1/2025],MATCH(1,(Reading_import[Lot]=A10)*(Reading_import[cluster]=$B$1),0))</f>
        <v>8639</v>
      </c>
      <c r="P10" s="172" cm="1">
        <f t="array" ref="P10">INDEX(Reading_import[01/04/2025],MATCH(1,(Reading_import[Lot]=A10)*(Reading_import[cluster]=$B$1),0))</f>
        <v>9246</v>
      </c>
      <c r="Q10" s="189">
        <f>Table1[[#This Row],[Last day of reporting period: import]]-Table1[[#This Row],[1st day of reporting period: import]]</f>
        <v>607</v>
      </c>
      <c r="R10" s="190">
        <f t="shared" si="2"/>
        <v>6.74444444444444</v>
      </c>
      <c r="S10" s="191">
        <f t="shared" si="3"/>
        <v>0.0676549264378065</v>
      </c>
      <c r="T10" s="192">
        <f>IF(Table1[[#This Row],[Stage of Dev.]]="V",0,233*Table1[[#This Row],[Percentage of Unit Entitlement (%)]])</f>
        <v>9.087</v>
      </c>
      <c r="U10" s="193">
        <f t="shared" si="4"/>
        <v>6.74444444444444</v>
      </c>
      <c r="V10" s="193">
        <f>Table1[[#This Row],[Daily Battery allowance based on UE% (kWh)]]-Table1[[#This Row],[Applicable Battery Allowance Daily Consumption (kWh)]]</f>
        <v>2.34255555555556</v>
      </c>
      <c r="W10" s="194">
        <f>Table1[[#This Row],[Unused Daily Allowance (kWh)]]/$V$38</f>
        <v>0.0179193556749443</v>
      </c>
      <c r="X10" s="193">
        <f>IF(Table1[[#This Row],[Applicable Battery Allowance Daily Consumption (kWh)]]&gt;Table1[[#This Row],[Total Daily Average Consumptio for Billing Period (kWh)]],Table1[[#This Row],[Total Consumption Import  (kWh)]],U10*$N$3)</f>
        <v>607</v>
      </c>
      <c r="Y10" s="209">
        <f>IF(Table1[[#This Row],[Applicable Battery Allowance Daily Consumption (kWh)]]&gt;0,ABS(Q10-X10),0)</f>
        <v>0</v>
      </c>
      <c r="Z10" s="210">
        <f>IFERROR(Table1[[#This Row],[Energy Exceeding Battery Allowance (kWh)]]/$Y$38,0)</f>
        <v>0</v>
      </c>
      <c r="AA10" s="211">
        <f t="shared" si="5"/>
        <v>835.34</v>
      </c>
      <c r="AB10" s="212">
        <f>IFERROR(Table1[[#This Row],[Total Cluster Energy Balance for P2P Trading (kWh)]]*Table1[[#This Row],[Energy Exceeding Battery Allowance %]],0)</f>
        <v>0</v>
      </c>
      <c r="AC10" s="213">
        <f>Table1[[#This Row],[P2P Import Consumption within Battery Allowance(kWh)]]+Table1[[#This Row],[P2P Import Consumption over Battery Allowance based on Energy Exceeding Allowance % (kWh)]]</f>
        <v>607</v>
      </c>
      <c r="AD10" s="213">
        <f>Table1[[#This Row],[Total Consumption Import  (kWh)]]-Table1[[#This Row],[Total P2P import (kWh)]]</f>
        <v>0</v>
      </c>
      <c r="AE10" s="214">
        <f>IFERROR(Table1[[#This Row],[Total P2P import (kWh)]]/$AC$38,0)</f>
        <v>0</v>
      </c>
      <c r="AF10" s="215">
        <f t="shared" si="6"/>
        <v>2476</v>
      </c>
      <c r="AG10" s="215">
        <f t="shared" si="7"/>
        <v>0</v>
      </c>
      <c r="AH10" s="226">
        <f t="shared" si="8"/>
        <v>658</v>
      </c>
      <c r="AI10" s="226">
        <f>Table1[[#This Row],[Cluster''s Total Common Services (kWh)]]*Table1[[#This Row],[Percentage of Unit Entitlement (%)]]</f>
        <v>25.662</v>
      </c>
      <c r="AJ10" s="227">
        <f>AG10*'Tariff Rates'!$B$3</f>
        <v>0</v>
      </c>
      <c r="AK10" s="227">
        <f>Table1[[#This Row],[Common Services based on Split per Unit Entitlement % to battery (kWh)]]*'Tariff Rates'!$B$3</f>
        <v>5.64564</v>
      </c>
      <c r="AL10" s="228">
        <f>Table1[[#This Row],[Total P2P import (kWh)]]*IF(Table1[[#This Row],[Total Lot Export (kWh)]]=0,'Tariff Rates'!$L$3,'Tariff Rates'!$B$3)</f>
        <v>133.54</v>
      </c>
      <c r="AM10" s="229">
        <f>Table1[[#This Row],[P2P Import Consumption over Battery Allowance based on Energy Exceeding Allowance % (kWh)]]*'Tariff Rates'!$J$3</f>
        <v>0</v>
      </c>
      <c r="AN10" s="230">
        <f>Table1[[#This Row],[Energy Import from Grid (kWh)]]*'Tariff Rates'!$E$3</f>
        <v>0</v>
      </c>
      <c r="AO10" s="247">
        <f t="shared" si="14"/>
        <v>139.18564</v>
      </c>
      <c r="AP10" s="248" cm="1">
        <f t="array" ref="AP10">INDEX(Reading_export[1/1/2025],MATCH(1,(Reading_export[Lot]=A10)*(Reading_export[cluster]=$B$1),0))</f>
        <v>18121</v>
      </c>
      <c r="AQ10" s="248" cm="1">
        <f t="array" ref="AQ10">INDEX(Reading_export[01/04/2025],MATCH(1,(Reading_export[Lot]=A10)*(Reading_export[cluster]=$B$1),0))</f>
        <v>22324</v>
      </c>
      <c r="AR10" s="249">
        <f>Table1[[#This Row],[Last day of reporting period: export]]-Table1[[#This Row],[1st day of reporting period: export]]</f>
        <v>4203</v>
      </c>
      <c r="AS10" s="250">
        <f t="shared" si="9"/>
        <v>0.0900173480970637</v>
      </c>
      <c r="AT10" s="251" t="e">
        <f>Table1[[#This Row],[Percentage of Total export for Billing Period (%)]]*$AC$38</f>
        <v>#N/A</v>
      </c>
      <c r="AU10" s="251">
        <f t="shared" si="10"/>
        <v>835.34</v>
      </c>
      <c r="AV10" s="252">
        <f>IFERROR(Table1[[#This Row],[Total Cluster Energy Balance for P2P Trading (kWh)2]]*Table1[[#This Row],[Unused Daily Allowance %]],0)</f>
        <v>14.9687545695079</v>
      </c>
      <c r="AW10" s="251">
        <f t="shared" si="11"/>
        <v>222.88295388833</v>
      </c>
      <c r="AX10" s="252">
        <f>Table1[[#This Row],[Cluster''s Total Common Services (kWh)]]*Table1[[#This Row],[Percentage of Total export for Billing Period (%)]]</f>
        <v>59.2314150478679</v>
      </c>
      <c r="AY10" s="252">
        <f>$Q$33*Table1[[#This Row],[Percentage of Total export for Billing Period (%)]]</f>
        <v>237.375746931957</v>
      </c>
      <c r="AZ10"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0" s="252">
        <f t="shared" si="12"/>
        <v>0</v>
      </c>
      <c r="BB10" s="252">
        <f>Table1[[#This Row],[Energy Losses When Export to Grid (kWh)]]*Table1[[#This Row],[Percentage of Total export for Billing Period (%)]]</f>
        <v>0</v>
      </c>
      <c r="BC10" s="252" t="e">
        <f>Table1[[#This Row],[Therotical Energy Export to Grid (kWh)]]-Table1[[#This Row],[Energy Losses When Export to Grid based up % total export (kWh)]]</f>
        <v>#N/A</v>
      </c>
      <c r="BD10" s="260">
        <f>AW10*'Tariff Rates'!$C$3</f>
        <v>-49.0342498554325</v>
      </c>
      <c r="BE10" s="260">
        <f>Table1[[#This Row],[Common Service based upon % total export to battery (kWh)]]*'Tariff Rates'!$C$3</f>
        <v>-13.0309113105309</v>
      </c>
      <c r="BF10" s="260">
        <f>Table1[[#This Row],[EV Charger based upon % total export to battery (kWh)]]*'Tariff Rates'!$C$3</f>
        <v>-52.2226643250305</v>
      </c>
      <c r="BG10" s="273" t="e">
        <f>AT10*'Tariff Rates'!$C$3</f>
        <v>#N/A</v>
      </c>
      <c r="BH10" s="273">
        <f>Table1[[#This Row],[Borrowed Allowance Based on Unused Daily Allowance % (kWh)]]*'Tariff Rates'!$K$3</f>
        <v>-0.299375091390159</v>
      </c>
      <c r="BI10" s="273" t="e">
        <f>BC10*'Tariff Rates'!$F$3</f>
        <v>#N/A</v>
      </c>
      <c r="BJ10" s="273" t="e">
        <f t="shared" si="18"/>
        <v>#N/A</v>
      </c>
      <c r="BK10" s="274">
        <f>$D$52*Table1[[#This Row],[Percentage of Unit Entitlement (%)]]</f>
        <v>0</v>
      </c>
      <c r="BL10" s="275">
        <f>BK10*'Tariff Rates'!$H$3</f>
        <v>0</v>
      </c>
      <c r="BM10" s="275">
        <f>($Q$33)*Table1[[#This Row],[Percentage of Unit Entitlement (%)]]*'Tariff Rates'!$B$3</f>
        <v>22.62546</v>
      </c>
      <c r="BN10" s="275">
        <f t="shared" si="15"/>
        <v>22.62546</v>
      </c>
      <c r="BO10" s="275">
        <f t="shared" si="16"/>
        <v>0</v>
      </c>
      <c r="BP10" s="295">
        <f t="shared" si="17"/>
        <v>22.62546</v>
      </c>
      <c r="BQ10" s="296" t="e">
        <f t="shared" si="13"/>
        <v>#N/A</v>
      </c>
      <c r="BR10" s="300"/>
      <c r="BS10" s="301"/>
      <c r="BT10" s="302">
        <v>6</v>
      </c>
    </row>
    <row r="11" spans="1:72">
      <c r="A11" s="95">
        <v>7</v>
      </c>
      <c r="B11" s="96" t="str" cm="1">
        <f t="array" ref="B11">INDEX(Table_Household_Alloc[Owner],MATCH(1,(Table_Household_Alloc[Lot]=A11)*(Table_Household_Alloc[cluster]=$B$1),0))</f>
        <v>Rio &amp; Alix Healey-­‐Diaz</v>
      </c>
      <c r="C11" s="97" cm="1">
        <f t="array" ref="C11">INDEX(Reading_import[Meter'#],MATCH(1,(Table_Household_Alloc[Lot]=A11)*(Table_Household_Alloc[cluster]=$B$1),0))</f>
        <v>50002887</v>
      </c>
      <c r="D11" s="98" cm="1">
        <f t="array" ref="D11">INDEX(Table_Household_Alloc[UE % over Cluster],MATCH(1,(Table_Household_Alloc[Lot]=A11)*(Table_Household_Alloc[cluster]=$B$1),0))</f>
        <v>0.037</v>
      </c>
      <c r="E11" s="99" t="str" cm="1">
        <f t="array" ref="E11">INDEX(Table_Household_Alloc[Stage of Dev.],MATCH(1,(Table_Household_Alloc[Lot]=A11)*(Table_Household_Alloc[cluster]=$B$1),0))</f>
        <v>O</v>
      </c>
      <c r="F11" s="100" cm="1">
        <f t="array" ref="F11">INDEX(Amanda_energy[Daily_Supply_incl_GST],MATCH(1,(Amanda_energy[Cluster]=$B$1)*(Amanda_energy[Month]=$F$2),0))/MAX($A:$A)</f>
        <v>6.31481481481481</v>
      </c>
      <c r="G11" s="101" cm="1">
        <f t="array" ref="G11">INDEX(Amanda_energy[Daily_Supply_incl_GST],MATCH(1,(Amanda_energy[Cluster]=$B$1)*(Amanda_energy[Month]=$G$2),0))/MAX($A:$A)</f>
        <v>5.7037037037037</v>
      </c>
      <c r="H11" s="101" cm="1">
        <f t="array" ref="H11">INDEX(Amanda_energy[Daily_Supply_incl_GST],MATCH(1,(Amanda_energy[Cluster]=$B$1)*(Amanda_energy[Month]=$H$2),0))/MAX($A:$A)</f>
        <v>6.31481481481481</v>
      </c>
      <c r="I11" s="101">
        <f>$J$46/MAX($A:$A)</f>
        <v>1.67222222222222</v>
      </c>
      <c r="J11" s="168"/>
      <c r="K11" s="168"/>
      <c r="L11" s="168">
        <f>$L$3*'Tariff Rates'!$D$8*IF(Table1[[#This Row],[Stage of Dev.]]="V",0,1)</f>
        <v>19.8</v>
      </c>
      <c r="M11" s="169">
        <v>1.1</v>
      </c>
      <c r="N11" s="170">
        <f t="shared" si="1"/>
        <v>40.9055555555556</v>
      </c>
      <c r="O11" s="171" cm="1">
        <f t="array" ref="O11">INDEX(Reading_import[1/1/2025],MATCH(1,(Reading_import[Lot]=A11)*(Reading_import[cluster]=$B$1),0))</f>
        <v>8272</v>
      </c>
      <c r="P11" s="172" cm="1">
        <f t="array" ref="P11">INDEX(Reading_import[01/04/2025],MATCH(1,(Reading_import[Lot]=A11)*(Reading_import[cluster]=$B$1),0))</f>
        <v>8864</v>
      </c>
      <c r="Q11" s="189">
        <f>Table1[[#This Row],[Last day of reporting period: import]]-Table1[[#This Row],[1st day of reporting period: import]]</f>
        <v>592</v>
      </c>
      <c r="R11" s="190">
        <f t="shared" si="2"/>
        <v>6.57777777777778</v>
      </c>
      <c r="S11" s="191">
        <f t="shared" si="3"/>
        <v>0.0659830584039233</v>
      </c>
      <c r="T11" s="192">
        <f>IF(Table1[[#This Row],[Stage of Dev.]]="V",0,233*Table1[[#This Row],[Percentage of Unit Entitlement (%)]])</f>
        <v>8.621</v>
      </c>
      <c r="U11" s="193">
        <f t="shared" si="4"/>
        <v>6.57777777777778</v>
      </c>
      <c r="V11" s="193">
        <f>Table1[[#This Row],[Daily Battery allowance based on UE% (kWh)]]-Table1[[#This Row],[Applicable Battery Allowance Daily Consumption (kWh)]]</f>
        <v>2.04322222222222</v>
      </c>
      <c r="W11" s="194">
        <f>Table1[[#This Row],[Unused Daily Allowance (kWh)]]/$V$38</f>
        <v>0.0156296082866077</v>
      </c>
      <c r="X11" s="193">
        <f>IF(Table1[[#This Row],[Applicable Battery Allowance Daily Consumption (kWh)]]&gt;Table1[[#This Row],[Total Daily Average Consumptio for Billing Period (kWh)]],Table1[[#This Row],[Total Consumption Import  (kWh)]],U11*$N$3)</f>
        <v>592</v>
      </c>
      <c r="Y11" s="209">
        <f>IF(Table1[[#This Row],[Applicable Battery Allowance Daily Consumption (kWh)]]&gt;0,ABS(Q11-X11),0)</f>
        <v>0</v>
      </c>
      <c r="Z11" s="210">
        <f>IFERROR(Table1[[#This Row],[Energy Exceeding Battery Allowance (kWh)]]/$Y$38,0)</f>
        <v>0</v>
      </c>
      <c r="AA11" s="211">
        <f t="shared" si="5"/>
        <v>835.34</v>
      </c>
      <c r="AB11" s="212">
        <f>IFERROR(Table1[[#This Row],[Total Cluster Energy Balance for P2P Trading (kWh)]]*Table1[[#This Row],[Energy Exceeding Battery Allowance %]],0)</f>
        <v>0</v>
      </c>
      <c r="AC11" s="213">
        <f>Table1[[#This Row],[P2P Import Consumption within Battery Allowance(kWh)]]+Table1[[#This Row],[P2P Import Consumption over Battery Allowance based on Energy Exceeding Allowance % (kWh)]]</f>
        <v>592</v>
      </c>
      <c r="AD11" s="213">
        <f>Table1[[#This Row],[Total Consumption Import  (kWh)]]-Table1[[#This Row],[Total P2P import (kWh)]]</f>
        <v>0</v>
      </c>
      <c r="AE11" s="214">
        <f>IFERROR(Table1[[#This Row],[Total P2P import (kWh)]]/$AC$38,0)</f>
        <v>0</v>
      </c>
      <c r="AF11" s="215">
        <f t="shared" si="6"/>
        <v>2476</v>
      </c>
      <c r="AG11" s="215">
        <f t="shared" si="7"/>
        <v>0</v>
      </c>
      <c r="AH11" s="226">
        <f t="shared" si="8"/>
        <v>658</v>
      </c>
      <c r="AI11" s="226">
        <f>Table1[[#This Row],[Cluster''s Total Common Services (kWh)]]*Table1[[#This Row],[Percentage of Unit Entitlement (%)]]</f>
        <v>24.346</v>
      </c>
      <c r="AJ11" s="227">
        <f>AG11*'Tariff Rates'!$B$3</f>
        <v>0</v>
      </c>
      <c r="AK11" s="227">
        <f>Table1[[#This Row],[Common Services based on Split per Unit Entitlement % to battery (kWh)]]*'Tariff Rates'!$B$3</f>
        <v>5.35612</v>
      </c>
      <c r="AL11" s="228">
        <f>Table1[[#This Row],[Total P2P import (kWh)]]*IF(Table1[[#This Row],[Total Lot Export (kWh)]]=0,'Tariff Rates'!$L$3,'Tariff Rates'!$B$3)</f>
        <v>213.12</v>
      </c>
      <c r="AM11" s="229">
        <f>Table1[[#This Row],[P2P Import Consumption over Battery Allowance based on Energy Exceeding Allowance % (kWh)]]*'Tariff Rates'!$J$3</f>
        <v>0</v>
      </c>
      <c r="AN11" s="230">
        <f>Table1[[#This Row],[Energy Import from Grid (kWh)]]*'Tariff Rates'!$E$3</f>
        <v>0</v>
      </c>
      <c r="AO11" s="247">
        <f t="shared" si="14"/>
        <v>218.47612</v>
      </c>
      <c r="AP11" s="248" cm="1">
        <f t="array" ref="AP11">INDEX(Reading_export[1/1/2025],MATCH(1,(Reading_export[Lot]=A11)*(Reading_export[cluster]=$B$1),0))</f>
        <v>0</v>
      </c>
      <c r="AQ11" s="248" cm="1">
        <f t="array" ref="AQ11">INDEX(Reading_export[01/04/2025],MATCH(1,(Reading_export[Lot]=A11)*(Reading_export[cluster]=$B$1),0))</f>
        <v>0</v>
      </c>
      <c r="AR11" s="249">
        <f>Table1[[#This Row],[Last day of reporting period: export]]-Table1[[#This Row],[1st day of reporting period: export]]</f>
        <v>0</v>
      </c>
      <c r="AS11" s="250">
        <f t="shared" si="9"/>
        <v>0</v>
      </c>
      <c r="AT11" s="251" t="e">
        <f>Table1[[#This Row],[Percentage of Total export for Billing Period (%)]]*$AC$38</f>
        <v>#N/A</v>
      </c>
      <c r="AU11" s="251">
        <f t="shared" si="10"/>
        <v>835.34</v>
      </c>
      <c r="AV11" s="252">
        <f>IFERROR(Table1[[#This Row],[Total Cluster Energy Balance for P2P Trading (kWh)2]]*Table1[[#This Row],[Unused Daily Allowance %]],0)</f>
        <v>13.0560369861349</v>
      </c>
      <c r="AW11" s="251">
        <f t="shared" si="11"/>
        <v>0</v>
      </c>
      <c r="AX11" s="252">
        <f>Table1[[#This Row],[Cluster''s Total Common Services (kWh)]]*Table1[[#This Row],[Percentage of Total export for Billing Period (%)]]</f>
        <v>0</v>
      </c>
      <c r="AY11" s="252">
        <f>$Q$33*Table1[[#This Row],[Percentage of Total export for Billing Period (%)]]</f>
        <v>0</v>
      </c>
      <c r="AZ11"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1" s="252">
        <f t="shared" si="12"/>
        <v>0</v>
      </c>
      <c r="BB11" s="252">
        <f>Table1[[#This Row],[Energy Losses When Export to Grid (kWh)]]*Table1[[#This Row],[Percentage of Total export for Billing Period (%)]]</f>
        <v>0</v>
      </c>
      <c r="BC11" s="252" t="e">
        <f>Table1[[#This Row],[Therotical Energy Export to Grid (kWh)]]-Table1[[#This Row],[Energy Losses When Export to Grid based up % total export (kWh)]]</f>
        <v>#N/A</v>
      </c>
      <c r="BD11" s="260">
        <f>AW11*'Tariff Rates'!$C$3</f>
        <v>0</v>
      </c>
      <c r="BE11" s="260">
        <f>Table1[[#This Row],[Common Service based upon % total export to battery (kWh)]]*'Tariff Rates'!$C$3</f>
        <v>0</v>
      </c>
      <c r="BF11" s="260">
        <f>Table1[[#This Row],[EV Charger based upon % total export to battery (kWh)]]*'Tariff Rates'!$C$3</f>
        <v>0</v>
      </c>
      <c r="BG11" s="273" t="e">
        <f>AT11*'Tariff Rates'!$C$3</f>
        <v>#N/A</v>
      </c>
      <c r="BH11" s="273">
        <f>Table1[[#This Row],[Borrowed Allowance Based on Unused Daily Allowance % (kWh)]]*'Tariff Rates'!$K$3</f>
        <v>-0.261120739722698</v>
      </c>
      <c r="BI11" s="273" t="e">
        <f>BC11*'Tariff Rates'!$F$3</f>
        <v>#N/A</v>
      </c>
      <c r="BJ11" s="273" t="e">
        <f t="shared" si="18"/>
        <v>#N/A</v>
      </c>
      <c r="BK11" s="274">
        <f>$D$52*Table1[[#This Row],[Percentage of Unit Entitlement (%)]]</f>
        <v>0</v>
      </c>
      <c r="BL11" s="275">
        <f>BK11*'Tariff Rates'!$H$3</f>
        <v>0</v>
      </c>
      <c r="BM11" s="275">
        <f>($Q$33)*Table1[[#This Row],[Percentage of Unit Entitlement (%)]]*'Tariff Rates'!$B$3</f>
        <v>21.46518</v>
      </c>
      <c r="BN11" s="275">
        <f t="shared" si="15"/>
        <v>21.46518</v>
      </c>
      <c r="BO11" s="275">
        <f t="shared" si="16"/>
        <v>0</v>
      </c>
      <c r="BP11" s="295">
        <f t="shared" si="17"/>
        <v>21.46518</v>
      </c>
      <c r="BQ11" s="296" t="e">
        <f t="shared" si="13"/>
        <v>#N/A</v>
      </c>
      <c r="BR11" s="303"/>
      <c r="BS11" s="304"/>
      <c r="BT11" s="299">
        <v>7</v>
      </c>
    </row>
    <row r="12" spans="1:72">
      <c r="A12" s="102">
        <v>8</v>
      </c>
      <c r="B12" s="96" t="str" cm="1">
        <f t="array" ref="B12">INDEX(Table_Household_Alloc[Owner],MATCH(1,(Table_Household_Alloc[Lot]=A12)*(Table_Household_Alloc[cluster]=$B$1),0))</f>
        <v>Marcus Browne &amp; Sook-­‐JaRebecchi</v>
      </c>
      <c r="C12" s="97" cm="1">
        <f t="array" ref="C12">INDEX(Reading_import[Meter'#],MATCH(1,(Table_Household_Alloc[Lot]=A12)*(Table_Household_Alloc[cluster]=$B$1),0))</f>
        <v>50002846</v>
      </c>
      <c r="D12" s="98" cm="1">
        <f t="array" ref="D12">INDEX(Table_Household_Alloc[UE % over Cluster],MATCH(1,(Table_Household_Alloc[Lot]=A12)*(Table_Household_Alloc[cluster]=$B$1),0))</f>
        <v>0.036</v>
      </c>
      <c r="E12" s="99" t="str" cm="1">
        <f t="array" ref="E12">INDEX(Table_Household_Alloc[Stage of Dev.],MATCH(1,(Table_Household_Alloc[Lot]=A12)*(Table_Household_Alloc[cluster]=$B$1),0))</f>
        <v>O</v>
      </c>
      <c r="F12" s="100" cm="1">
        <f t="array" ref="F12">INDEX(Amanda_energy[Daily_Supply_incl_GST],MATCH(1,(Amanda_energy[Cluster]=$B$1)*(Amanda_energy[Month]=$F$2),0))/MAX($A:$A)</f>
        <v>6.31481481481481</v>
      </c>
      <c r="G12" s="101" cm="1">
        <f t="array" ref="G12">INDEX(Amanda_energy[Daily_Supply_incl_GST],MATCH(1,(Amanda_energy[Cluster]=$B$1)*(Amanda_energy[Month]=$G$2),0))/MAX($A:$A)</f>
        <v>5.7037037037037</v>
      </c>
      <c r="H12" s="101" cm="1">
        <f t="array" ref="H12">INDEX(Amanda_energy[Daily_Supply_incl_GST],MATCH(1,(Amanda_energy[Cluster]=$B$1)*(Amanda_energy[Month]=$H$2),0))/MAX($A:$A)</f>
        <v>6.31481481481481</v>
      </c>
      <c r="I12" s="101">
        <f>$J$46/MAX($A:$A)</f>
        <v>1.67222222222222</v>
      </c>
      <c r="J12" s="168"/>
      <c r="K12" s="168"/>
      <c r="L12" s="168">
        <f>$L$3*'Tariff Rates'!$D$8*IF(Table1[[#This Row],[Stage of Dev.]]="V",0,1)</f>
        <v>19.8</v>
      </c>
      <c r="M12" s="169">
        <v>1.1</v>
      </c>
      <c r="N12" s="170">
        <f t="shared" si="1"/>
        <v>40.9055555555556</v>
      </c>
      <c r="O12" s="171" cm="1">
        <f t="array" ref="O12">INDEX(Reading_import[1/1/2025],MATCH(1,(Reading_import[Lot]=A12)*(Reading_import[cluster]=$B$1),0))</f>
        <v>3006</v>
      </c>
      <c r="P12" s="172" cm="1">
        <f t="array" ref="P12">INDEX(Reading_import[01/04/2025],MATCH(1,(Reading_import[Lot]=A12)*(Reading_import[cluster]=$B$1),0))</f>
        <v>3589</v>
      </c>
      <c r="Q12" s="189">
        <f>Table1[[#This Row],[Last day of reporting period: import]]-Table1[[#This Row],[1st day of reporting period: import]]</f>
        <v>583</v>
      </c>
      <c r="R12" s="190">
        <f t="shared" si="2"/>
        <v>6.47777777777778</v>
      </c>
      <c r="S12" s="191">
        <f t="shared" si="3"/>
        <v>0.0649799375835934</v>
      </c>
      <c r="T12" s="192">
        <f>IF(Table1[[#This Row],[Stage of Dev.]]="V",0,233*Table1[[#This Row],[Percentage of Unit Entitlement (%)]])</f>
        <v>8.388</v>
      </c>
      <c r="U12" s="193">
        <f t="shared" si="4"/>
        <v>6.47777777777778</v>
      </c>
      <c r="V12" s="193">
        <f>Table1[[#This Row],[Daily Battery allowance based on UE% (kWh)]]-Table1[[#This Row],[Applicable Battery Allowance Daily Consumption (kWh)]]</f>
        <v>1.91022222222222</v>
      </c>
      <c r="W12" s="194">
        <f>Table1[[#This Row],[Unused Daily Allowance (kWh)]]/$V$38</f>
        <v>0.0146122260951308</v>
      </c>
      <c r="X12" s="193">
        <f>IF(Table1[[#This Row],[Applicable Battery Allowance Daily Consumption (kWh)]]&gt;Table1[[#This Row],[Total Daily Average Consumptio for Billing Period (kWh)]],Table1[[#This Row],[Total Consumption Import  (kWh)]],U12*$N$3)</f>
        <v>583</v>
      </c>
      <c r="Y12" s="209">
        <f>IF(Table1[[#This Row],[Applicable Battery Allowance Daily Consumption (kWh)]]&gt;0,ABS(Q12-X12),0)</f>
        <v>0</v>
      </c>
      <c r="Z12" s="210">
        <f>IFERROR(Table1[[#This Row],[Energy Exceeding Battery Allowance (kWh)]]/$Y$38,0)</f>
        <v>0</v>
      </c>
      <c r="AA12" s="211">
        <f t="shared" si="5"/>
        <v>835.34</v>
      </c>
      <c r="AB12" s="212">
        <f>IFERROR(Table1[[#This Row],[Total Cluster Energy Balance for P2P Trading (kWh)]]*Table1[[#This Row],[Energy Exceeding Battery Allowance %]],0)</f>
        <v>0</v>
      </c>
      <c r="AC12" s="213">
        <f>Table1[[#This Row],[P2P Import Consumption within Battery Allowance(kWh)]]+Table1[[#This Row],[P2P Import Consumption over Battery Allowance based on Energy Exceeding Allowance % (kWh)]]</f>
        <v>583</v>
      </c>
      <c r="AD12" s="213">
        <f>Table1[[#This Row],[Total Consumption Import  (kWh)]]-Table1[[#This Row],[Total P2P import (kWh)]]</f>
        <v>0</v>
      </c>
      <c r="AE12" s="214">
        <f>IFERROR(Table1[[#This Row],[Total P2P import (kWh)]]/$AC$38,0)</f>
        <v>0</v>
      </c>
      <c r="AF12" s="215">
        <f t="shared" si="6"/>
        <v>2476</v>
      </c>
      <c r="AG12" s="215">
        <f t="shared" si="7"/>
        <v>0</v>
      </c>
      <c r="AH12" s="226">
        <f t="shared" si="8"/>
        <v>658</v>
      </c>
      <c r="AI12" s="226">
        <f>Table1[[#This Row],[Cluster''s Total Common Services (kWh)]]*Table1[[#This Row],[Percentage of Unit Entitlement (%)]]</f>
        <v>23.688</v>
      </c>
      <c r="AJ12" s="227">
        <f>AG12*'Tariff Rates'!$B$3</f>
        <v>0</v>
      </c>
      <c r="AK12" s="227">
        <f>Table1[[#This Row],[Common Services based on Split per Unit Entitlement % to battery (kWh)]]*'Tariff Rates'!$B$3</f>
        <v>5.21136</v>
      </c>
      <c r="AL12" s="228">
        <f>Table1[[#This Row],[Total P2P import (kWh)]]*IF(Table1[[#This Row],[Total Lot Export (kWh)]]=0,'Tariff Rates'!$L$3,'Tariff Rates'!$B$3)</f>
        <v>128.26</v>
      </c>
      <c r="AM12" s="229">
        <f>Table1[[#This Row],[P2P Import Consumption over Battery Allowance based on Energy Exceeding Allowance % (kWh)]]*'Tariff Rates'!$J$3</f>
        <v>0</v>
      </c>
      <c r="AN12" s="230">
        <f>Table1[[#This Row],[Energy Import from Grid (kWh)]]*'Tariff Rates'!$E$3</f>
        <v>0</v>
      </c>
      <c r="AO12" s="247">
        <f t="shared" si="14"/>
        <v>133.47136</v>
      </c>
      <c r="AP12" s="248" cm="1">
        <f t="array" ref="AP12">INDEX(Reading_export[1/1/2025],MATCH(1,(Reading_export[Lot]=A12)*(Reading_export[cluster]=$B$1),0))</f>
        <v>2569</v>
      </c>
      <c r="AQ12" s="248" cm="1">
        <f t="array" ref="AQ12">INDEX(Reading_export[01/04/2025],MATCH(1,(Reading_export[Lot]=A12)*(Reading_export[cluster]=$B$1),0))</f>
        <v>5027</v>
      </c>
      <c r="AR12" s="249">
        <f>Table1[[#This Row],[Last day of reporting period: export]]-Table1[[#This Row],[1st day of reporting period: export]]</f>
        <v>2458</v>
      </c>
      <c r="AS12" s="250">
        <f t="shared" si="9"/>
        <v>0.0526439784969266</v>
      </c>
      <c r="AT12" s="251" t="e">
        <f>Table1[[#This Row],[Percentage of Total export for Billing Period (%)]]*$AC$38</f>
        <v>#N/A</v>
      </c>
      <c r="AU12" s="251">
        <f t="shared" si="10"/>
        <v>835.34</v>
      </c>
      <c r="AV12" s="252">
        <f>IFERROR(Table1[[#This Row],[Total Cluster Energy Balance for P2P Trading (kWh)2]]*Table1[[#This Row],[Unused Daily Allowance %]],0)</f>
        <v>12.2061769463065</v>
      </c>
      <c r="AW12" s="251">
        <f t="shared" si="11"/>
        <v>130.34649075839</v>
      </c>
      <c r="AX12" s="252">
        <f>Table1[[#This Row],[Cluster''s Total Common Services (kWh)]]*Table1[[#This Row],[Percentage of Total export for Billing Period (%)]]</f>
        <v>34.6397378509777</v>
      </c>
      <c r="AY12" s="252">
        <f>$Q$33*Table1[[#This Row],[Percentage of Total export for Billing Period (%)]]</f>
        <v>138.822171296395</v>
      </c>
      <c r="AZ12"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2" s="252">
        <f t="shared" si="12"/>
        <v>0</v>
      </c>
      <c r="BB12" s="252">
        <f>Table1[[#This Row],[Energy Losses When Export to Grid (kWh)]]*Table1[[#This Row],[Percentage of Total export for Billing Period (%)]]</f>
        <v>0</v>
      </c>
      <c r="BC12" s="252" t="e">
        <f>Table1[[#This Row],[Therotical Energy Export to Grid (kWh)]]-Table1[[#This Row],[Energy Losses When Export to Grid based up % total export (kWh)]]</f>
        <v>#N/A</v>
      </c>
      <c r="BD12" s="260">
        <f>AW12*'Tariff Rates'!$C$3</f>
        <v>-28.6762279668459</v>
      </c>
      <c r="BE12" s="260">
        <f>Table1[[#This Row],[Common Service based upon % total export to battery (kWh)]]*'Tariff Rates'!$C$3</f>
        <v>-7.62074232721509</v>
      </c>
      <c r="BF12" s="260">
        <f>Table1[[#This Row],[EV Charger based upon % total export to battery (kWh)]]*'Tariff Rates'!$C$3</f>
        <v>-30.540877685207</v>
      </c>
      <c r="BG12" s="273" t="e">
        <f>AT12*'Tariff Rates'!$C$3</f>
        <v>#N/A</v>
      </c>
      <c r="BH12" s="273">
        <f>Table1[[#This Row],[Borrowed Allowance Based on Unused Daily Allowance % (kWh)]]*'Tariff Rates'!$K$3</f>
        <v>-0.244123538926131</v>
      </c>
      <c r="BI12" s="273" t="e">
        <f>BC12*'Tariff Rates'!$F$3</f>
        <v>#N/A</v>
      </c>
      <c r="BJ12" s="273" t="e">
        <f t="shared" si="18"/>
        <v>#N/A</v>
      </c>
      <c r="BK12" s="274">
        <f>$D$52*Table1[[#This Row],[Percentage of Unit Entitlement (%)]]</f>
        <v>0</v>
      </c>
      <c r="BL12" s="275">
        <f>BK12*'Tariff Rates'!$H$3</f>
        <v>0</v>
      </c>
      <c r="BM12" s="275">
        <f>($Q$33)*Table1[[#This Row],[Percentage of Unit Entitlement (%)]]*'Tariff Rates'!$B$3</f>
        <v>20.88504</v>
      </c>
      <c r="BN12" s="275">
        <f t="shared" si="15"/>
        <v>20.88504</v>
      </c>
      <c r="BO12" s="275">
        <f t="shared" si="16"/>
        <v>0</v>
      </c>
      <c r="BP12" s="295">
        <f t="shared" si="17"/>
        <v>20.88504</v>
      </c>
      <c r="BQ12" s="296" t="e">
        <f t="shared" si="13"/>
        <v>#N/A</v>
      </c>
      <c r="BR12" s="300"/>
      <c r="BS12" s="301"/>
      <c r="BT12" s="302">
        <v>8</v>
      </c>
    </row>
    <row r="13" spans="1:72">
      <c r="A13" s="95">
        <v>9</v>
      </c>
      <c r="B13" s="96" t="str" cm="1">
        <f t="array" ref="B13">INDEX(Table_Household_Alloc[Owner],MATCH(1,(Table_Household_Alloc[Lot]=A13)*(Table_Household_Alloc[cluster]=$B$1),0))</f>
        <v>Jasmine Heah</v>
      </c>
      <c r="C13" s="97" cm="1">
        <f t="array" ref="C13">INDEX(Reading_import[Meter'#],MATCH(1,(Table_Household_Alloc[Lot]=A13)*(Table_Household_Alloc[cluster]=$B$1),0))</f>
        <v>50002885</v>
      </c>
      <c r="D13" s="98" cm="1">
        <f t="array" ref="D13">INDEX(Table_Household_Alloc[UE % over Cluster],MATCH(1,(Table_Household_Alloc[Lot]=A13)*(Table_Household_Alloc[cluster]=$B$1),0))</f>
        <v>0.036</v>
      </c>
      <c r="E13" s="99" t="str" cm="1">
        <f t="array" ref="E13">INDEX(Table_Household_Alloc[Stage of Dev.],MATCH(1,(Table_Household_Alloc[Lot]=A13)*(Table_Household_Alloc[cluster]=$B$1),0))</f>
        <v>O</v>
      </c>
      <c r="F13" s="100" cm="1">
        <f t="array" ref="F13">INDEX(Amanda_energy[Daily_Supply_incl_GST],MATCH(1,(Amanda_energy[Cluster]=$B$1)*(Amanda_energy[Month]=$F$2),0))/MAX($A:$A)</f>
        <v>6.31481481481481</v>
      </c>
      <c r="G13" s="101" cm="1">
        <f t="array" ref="G13">INDEX(Amanda_energy[Daily_Supply_incl_GST],MATCH(1,(Amanda_energy[Cluster]=$B$1)*(Amanda_energy[Month]=$G$2),0))/MAX($A:$A)</f>
        <v>5.7037037037037</v>
      </c>
      <c r="H13" s="101" cm="1">
        <f t="array" ref="H13">INDEX(Amanda_energy[Daily_Supply_incl_GST],MATCH(1,(Amanda_energy[Cluster]=$B$1)*(Amanda_energy[Month]=$H$2),0))/MAX($A:$A)</f>
        <v>6.31481481481481</v>
      </c>
      <c r="I13" s="101">
        <f>$J$46/MAX($A:$A)</f>
        <v>1.67222222222222</v>
      </c>
      <c r="J13" s="168"/>
      <c r="K13" s="168"/>
      <c r="L13" s="168">
        <f>$L$3*'Tariff Rates'!$D$8*IF(Table1[[#This Row],[Stage of Dev.]]="V",0,1)</f>
        <v>19.8</v>
      </c>
      <c r="M13" s="169">
        <v>1.1</v>
      </c>
      <c r="N13" s="170">
        <f t="shared" si="1"/>
        <v>40.9055555555556</v>
      </c>
      <c r="O13" s="171" cm="1">
        <f t="array" ref="O13">INDEX(Reading_import[1/1/2025],MATCH(1,(Reading_import[Lot]=A13)*(Reading_import[cluster]=$B$1),0))</f>
        <v>13606</v>
      </c>
      <c r="P13" s="172" cm="1">
        <f t="array" ref="P13">INDEX(Reading_import[01/04/2025],MATCH(1,(Reading_import[Lot]=A13)*(Reading_import[cluster]=$B$1),0))</f>
        <v>14595</v>
      </c>
      <c r="Q13" s="189">
        <f>Table1[[#This Row],[Last day of reporting period: import]]-Table1[[#This Row],[1st day of reporting period: import]]</f>
        <v>989</v>
      </c>
      <c r="R13" s="190">
        <f t="shared" si="2"/>
        <v>10.9888888888889</v>
      </c>
      <c r="S13" s="191">
        <f t="shared" si="3"/>
        <v>0.110231832367365</v>
      </c>
      <c r="T13" s="192">
        <f>IF(Table1[[#This Row],[Stage of Dev.]]="V",0,233*Table1[[#This Row],[Percentage of Unit Entitlement (%)]])</f>
        <v>8.388</v>
      </c>
      <c r="U13" s="193">
        <f t="shared" si="4"/>
        <v>8.388</v>
      </c>
      <c r="V13" s="193">
        <f>Table1[[#This Row],[Daily Battery allowance based on UE% (kWh)]]-Table1[[#This Row],[Applicable Battery Allowance Daily Consumption (kWh)]]</f>
        <v>0</v>
      </c>
      <c r="W13" s="194">
        <f>Table1[[#This Row],[Unused Daily Allowance (kWh)]]/$V$38</f>
        <v>0</v>
      </c>
      <c r="X13" s="193">
        <f>IF(Table1[[#This Row],[Applicable Battery Allowance Daily Consumption (kWh)]]&gt;Table1[[#This Row],[Total Daily Average Consumptio for Billing Period (kWh)]],Table1[[#This Row],[Total Consumption Import  (kWh)]],U13*$N$3)</f>
        <v>754.92</v>
      </c>
      <c r="Y13" s="209">
        <f>IF(Table1[[#This Row],[Applicable Battery Allowance Daily Consumption (kWh)]]&gt;0,ABS(Q13-X13),0)</f>
        <v>234.08</v>
      </c>
      <c r="Z13" s="210">
        <f>IFERROR(Table1[[#This Row],[Energy Exceeding Battery Allowance (kWh)]]/$Y$38,0)</f>
        <v>0.254202684505452</v>
      </c>
      <c r="AA13" s="211">
        <f t="shared" si="5"/>
        <v>835.34</v>
      </c>
      <c r="AB13" s="212">
        <f>IFERROR(Table1[[#This Row],[Total Cluster Energy Balance for P2P Trading (kWh)]]*Table1[[#This Row],[Energy Exceeding Battery Allowance %]],0)</f>
        <v>212.345670474784</v>
      </c>
      <c r="AC13" s="213">
        <f>Table1[[#This Row],[P2P Import Consumption within Battery Allowance(kWh)]]+Table1[[#This Row],[P2P Import Consumption over Battery Allowance based on Energy Exceeding Allowance % (kWh)]]</f>
        <v>967.265670474784</v>
      </c>
      <c r="AD13" s="213">
        <f>Table1[[#This Row],[Total Consumption Import  (kWh)]]-Table1[[#This Row],[Total P2P import (kWh)]]</f>
        <v>21.7343295252161</v>
      </c>
      <c r="AE13" s="214">
        <f>IFERROR(Table1[[#This Row],[Total P2P import (kWh)]]/$AC$38,0)</f>
        <v>0</v>
      </c>
      <c r="AF13" s="215">
        <f t="shared" si="6"/>
        <v>2476</v>
      </c>
      <c r="AG13" s="215">
        <f t="shared" si="7"/>
        <v>0</v>
      </c>
      <c r="AH13" s="226">
        <f t="shared" si="8"/>
        <v>658</v>
      </c>
      <c r="AI13" s="226">
        <f>Table1[[#This Row],[Cluster''s Total Common Services (kWh)]]*Table1[[#This Row],[Percentage of Unit Entitlement (%)]]</f>
        <v>23.688</v>
      </c>
      <c r="AJ13" s="227">
        <f>AG13*'Tariff Rates'!$B$3</f>
        <v>0</v>
      </c>
      <c r="AK13" s="227">
        <f>Table1[[#This Row],[Common Services based on Split per Unit Entitlement % to battery (kWh)]]*'Tariff Rates'!$B$3</f>
        <v>5.21136</v>
      </c>
      <c r="AL13" s="228">
        <f>Table1[[#This Row],[Total P2P import (kWh)]]*IF(Table1[[#This Row],[Total Lot Export (kWh)]]=0,'Tariff Rates'!$L$3,'Tariff Rates'!$B$3)</f>
        <v>348.215641370922</v>
      </c>
      <c r="AM13" s="229">
        <f>Table1[[#This Row],[P2P Import Consumption over Battery Allowance based on Energy Exceeding Allowance % (kWh)]]*'Tariff Rates'!$J$3</f>
        <v>4.24691340949568</v>
      </c>
      <c r="AN13" s="230">
        <f>Table1[[#This Row],[Energy Import from Grid (kWh)]]*'Tariff Rates'!$E$3</f>
        <v>6.52029885756484</v>
      </c>
      <c r="AO13" s="247">
        <f t="shared" si="14"/>
        <v>364.194213637983</v>
      </c>
      <c r="AP13" s="248" cm="1">
        <f t="array" ref="AP13">INDEX(Reading_export[1/1/2025],MATCH(1,(Reading_export[Lot]=A13)*(Reading_export[cluster]=$B$1),0))</f>
        <v>0</v>
      </c>
      <c r="AQ13" s="248" cm="1">
        <f t="array" ref="AQ13">INDEX(Reading_export[01/04/2025],MATCH(1,(Reading_export[Lot]=A13)*(Reading_export[cluster]=$B$1),0))</f>
        <v>0</v>
      </c>
      <c r="AR13" s="249">
        <f>Table1[[#This Row],[Last day of reporting period: export]]-Table1[[#This Row],[1st day of reporting period: export]]</f>
        <v>0</v>
      </c>
      <c r="AS13" s="250">
        <f t="shared" si="9"/>
        <v>0</v>
      </c>
      <c r="AT13" s="251" t="e">
        <f>Table1[[#This Row],[Percentage of Total export for Billing Period (%)]]*$AC$38</f>
        <v>#N/A</v>
      </c>
      <c r="AU13" s="251">
        <f t="shared" si="10"/>
        <v>835.34</v>
      </c>
      <c r="AV13" s="252">
        <f>IFERROR(Table1[[#This Row],[Total Cluster Energy Balance for P2P Trading (kWh)2]]*Table1[[#This Row],[Unused Daily Allowance %]],0)</f>
        <v>0</v>
      </c>
      <c r="AW13" s="251">
        <f t="shared" si="11"/>
        <v>0</v>
      </c>
      <c r="AX13" s="252">
        <f>Table1[[#This Row],[Cluster''s Total Common Services (kWh)]]*Table1[[#This Row],[Percentage of Total export for Billing Period (%)]]</f>
        <v>0</v>
      </c>
      <c r="AY13" s="252">
        <f>$Q$33*Table1[[#This Row],[Percentage of Total export for Billing Period (%)]]</f>
        <v>0</v>
      </c>
      <c r="AZ13"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3" s="252">
        <f t="shared" si="12"/>
        <v>0</v>
      </c>
      <c r="BB13" s="252">
        <f>Table1[[#This Row],[Energy Losses When Export to Grid (kWh)]]*Table1[[#This Row],[Percentage of Total export for Billing Period (%)]]</f>
        <v>0</v>
      </c>
      <c r="BC13" s="252" t="e">
        <f>Table1[[#This Row],[Therotical Energy Export to Grid (kWh)]]-Table1[[#This Row],[Energy Losses When Export to Grid based up % total export (kWh)]]</f>
        <v>#N/A</v>
      </c>
      <c r="BD13" s="260">
        <f>AW13*'Tariff Rates'!$C$3</f>
        <v>0</v>
      </c>
      <c r="BE13" s="260">
        <f>Table1[[#This Row],[Common Service based upon % total export to battery (kWh)]]*'Tariff Rates'!$C$3</f>
        <v>0</v>
      </c>
      <c r="BF13" s="260">
        <f>Table1[[#This Row],[EV Charger based upon % total export to battery (kWh)]]*'Tariff Rates'!$C$3</f>
        <v>0</v>
      </c>
      <c r="BG13" s="273" t="e">
        <f>AT13*'Tariff Rates'!$C$3</f>
        <v>#N/A</v>
      </c>
      <c r="BH13" s="273">
        <f>Table1[[#This Row],[Borrowed Allowance Based on Unused Daily Allowance % (kWh)]]*'Tariff Rates'!$K$3</f>
        <v>0</v>
      </c>
      <c r="BI13" s="273" t="e">
        <f>BC13*'Tariff Rates'!$F$3</f>
        <v>#N/A</v>
      </c>
      <c r="BJ13" s="273" t="e">
        <f t="shared" si="18"/>
        <v>#N/A</v>
      </c>
      <c r="BK13" s="274">
        <f>$D$52*Table1[[#This Row],[Percentage of Unit Entitlement (%)]]</f>
        <v>0</v>
      </c>
      <c r="BL13" s="275">
        <f>BK13*'Tariff Rates'!$H$3</f>
        <v>0</v>
      </c>
      <c r="BM13" s="275">
        <f>($Q$33)*Table1[[#This Row],[Percentage of Unit Entitlement (%)]]*'Tariff Rates'!$B$3</f>
        <v>20.88504</v>
      </c>
      <c r="BN13" s="275">
        <f t="shared" si="15"/>
        <v>20.88504</v>
      </c>
      <c r="BO13" s="275">
        <f t="shared" si="16"/>
        <v>0</v>
      </c>
      <c r="BP13" s="295">
        <f t="shared" si="17"/>
        <v>20.88504</v>
      </c>
      <c r="BQ13" s="296" t="e">
        <f t="shared" si="13"/>
        <v>#N/A</v>
      </c>
      <c r="BR13" s="303"/>
      <c r="BS13" s="304"/>
      <c r="BT13" s="299">
        <v>9</v>
      </c>
    </row>
    <row r="14" spans="1:72">
      <c r="A14" s="95">
        <v>10</v>
      </c>
      <c r="B14" s="96" t="str" cm="1">
        <f t="array" ref="B14">INDEX(Table_Household_Alloc[Owner],MATCH(1,(Table_Household_Alloc[Lot]=A14)*(Table_Household_Alloc[cluster]=$B$1),0))</f>
        <v>Pernille Stent</v>
      </c>
      <c r="C14" s="97" cm="1">
        <f t="array" ref="C14">INDEX(Reading_import[Meter'#],MATCH(1,(Table_Household_Alloc[Lot]=A14)*(Table_Household_Alloc[cluster]=$B$1),0))</f>
        <v>50002850</v>
      </c>
      <c r="D14" s="98" cm="1">
        <f t="array" ref="D14">INDEX(Table_Household_Alloc[UE % over Cluster],MATCH(1,(Table_Household_Alloc[Lot]=A14)*(Table_Household_Alloc[cluster]=$B$1),0))</f>
        <v>0.053</v>
      </c>
      <c r="E14" s="99" t="str" cm="1">
        <f t="array" ref="E14">INDEX(Table_Household_Alloc[Stage of Dev.],MATCH(1,(Table_Household_Alloc[Lot]=A14)*(Table_Household_Alloc[cluster]=$B$1),0))</f>
        <v>O</v>
      </c>
      <c r="F14" s="100" cm="1">
        <f t="array" ref="F14">INDEX(Amanda_energy[Daily_Supply_incl_GST],MATCH(1,(Amanda_energy[Cluster]=$B$1)*(Amanda_energy[Month]=$F$2),0))/MAX($A:$A)</f>
        <v>6.31481481481481</v>
      </c>
      <c r="G14" s="101" cm="1">
        <f t="array" ref="G14">INDEX(Amanda_energy[Daily_Supply_incl_GST],MATCH(1,(Amanda_energy[Cluster]=$B$1)*(Amanda_energy[Month]=$G$2),0))/MAX($A:$A)</f>
        <v>5.7037037037037</v>
      </c>
      <c r="H14" s="101" cm="1">
        <f t="array" ref="H14">INDEX(Amanda_energy[Daily_Supply_incl_GST],MATCH(1,(Amanda_energy[Cluster]=$B$1)*(Amanda_energy[Month]=$H$2),0))/MAX($A:$A)</f>
        <v>6.31481481481481</v>
      </c>
      <c r="I14" s="101">
        <f>$J$46/MAX($A:$A)</f>
        <v>1.67222222222222</v>
      </c>
      <c r="J14" s="168"/>
      <c r="K14" s="168"/>
      <c r="L14" s="168">
        <f>$L$3*'Tariff Rates'!$D$8*IF(Table1[[#This Row],[Stage of Dev.]]="V",0,1)</f>
        <v>19.8</v>
      </c>
      <c r="M14" s="169">
        <v>1.1</v>
      </c>
      <c r="N14" s="170">
        <f t="shared" si="1"/>
        <v>40.9055555555556</v>
      </c>
      <c r="O14" s="171" cm="1">
        <f t="array" ref="O14">INDEX(Reading_import[1/1/2025],MATCH(1,(Reading_import[Lot]=A14)*(Reading_import[cluster]=$B$1),0))</f>
        <v>3930</v>
      </c>
      <c r="P14" s="172" cm="1">
        <f t="array" ref="P14">INDEX(Reading_import[01/04/2025],MATCH(1,(Reading_import[Lot]=A14)*(Reading_import[cluster]=$B$1),0))</f>
        <v>4514</v>
      </c>
      <c r="Q14" s="189">
        <f>Table1[[#This Row],[Last day of reporting period: import]]-Table1[[#This Row],[1st day of reporting period: import]]</f>
        <v>584</v>
      </c>
      <c r="R14" s="190">
        <f t="shared" si="2"/>
        <v>6.48888888888889</v>
      </c>
      <c r="S14" s="191">
        <f t="shared" si="3"/>
        <v>0.0650913954525189</v>
      </c>
      <c r="T14" s="192">
        <f>IF(Table1[[#This Row],[Stage of Dev.]]="V",0,233*Table1[[#This Row],[Percentage of Unit Entitlement (%)]])</f>
        <v>12.349</v>
      </c>
      <c r="U14" s="193">
        <f t="shared" si="4"/>
        <v>6.48888888888889</v>
      </c>
      <c r="V14" s="193">
        <f>Table1[[#This Row],[Daily Battery allowance based on UE% (kWh)]]-Table1[[#This Row],[Applicable Battery Allowance Daily Consumption (kWh)]]</f>
        <v>5.86011111111111</v>
      </c>
      <c r="W14" s="194">
        <f>Table1[[#This Row],[Unused Daily Allowance (kWh)]]/$V$38</f>
        <v>0.0448268622896284</v>
      </c>
      <c r="X14" s="193">
        <f>IF(Table1[[#This Row],[Applicable Battery Allowance Daily Consumption (kWh)]]&gt;Table1[[#This Row],[Total Daily Average Consumptio for Billing Period (kWh)]],Table1[[#This Row],[Total Consumption Import  (kWh)]],U14*$N$3)</f>
        <v>584</v>
      </c>
      <c r="Y14" s="209">
        <f>IF(Table1[[#This Row],[Applicable Battery Allowance Daily Consumption (kWh)]]&gt;0,ABS(Q14-X14),0)</f>
        <v>0</v>
      </c>
      <c r="Z14" s="210">
        <f>IFERROR(Table1[[#This Row],[Energy Exceeding Battery Allowance (kWh)]]/$Y$38,0)</f>
        <v>0</v>
      </c>
      <c r="AA14" s="211">
        <f t="shared" si="5"/>
        <v>835.34</v>
      </c>
      <c r="AB14" s="212">
        <f>IFERROR(Table1[[#This Row],[Total Cluster Energy Balance for P2P Trading (kWh)]]*Table1[[#This Row],[Energy Exceeding Battery Allowance %]],0)</f>
        <v>0</v>
      </c>
      <c r="AC14" s="213">
        <f>Table1[[#This Row],[P2P Import Consumption within Battery Allowance(kWh)]]+Table1[[#This Row],[P2P Import Consumption over Battery Allowance based on Energy Exceeding Allowance % (kWh)]]</f>
        <v>584</v>
      </c>
      <c r="AD14" s="213">
        <f>Table1[[#This Row],[Total Consumption Import  (kWh)]]-Table1[[#This Row],[Total P2P import (kWh)]]</f>
        <v>0</v>
      </c>
      <c r="AE14" s="214">
        <f>IFERROR(Table1[[#This Row],[Total P2P import (kWh)]]/$AC$38,0)</f>
        <v>0</v>
      </c>
      <c r="AF14" s="215">
        <f t="shared" si="6"/>
        <v>2476</v>
      </c>
      <c r="AG14" s="215">
        <f t="shared" si="7"/>
        <v>0</v>
      </c>
      <c r="AH14" s="226">
        <f t="shared" si="8"/>
        <v>658</v>
      </c>
      <c r="AI14" s="226">
        <f>Table1[[#This Row],[Cluster''s Total Common Services (kWh)]]*Table1[[#This Row],[Percentage of Unit Entitlement (%)]]</f>
        <v>34.874</v>
      </c>
      <c r="AJ14" s="227">
        <f>AG14*'Tariff Rates'!$B$3</f>
        <v>0</v>
      </c>
      <c r="AK14" s="227">
        <f>Table1[[#This Row],[Common Services based on Split per Unit Entitlement % to battery (kWh)]]*'Tariff Rates'!$B$3</f>
        <v>7.67228</v>
      </c>
      <c r="AL14" s="228">
        <f>Table1[[#This Row],[Total P2P import (kWh)]]*IF(Table1[[#This Row],[Total Lot Export (kWh)]]=0,'Tariff Rates'!$L$3,'Tariff Rates'!$B$3)</f>
        <v>128.48</v>
      </c>
      <c r="AM14" s="229">
        <f>Table1[[#This Row],[P2P Import Consumption over Battery Allowance based on Energy Exceeding Allowance % (kWh)]]*'Tariff Rates'!$J$3</f>
        <v>0</v>
      </c>
      <c r="AN14" s="230">
        <f>Table1[[#This Row],[Energy Import from Grid (kWh)]]*'Tariff Rates'!$E$3</f>
        <v>0</v>
      </c>
      <c r="AO14" s="247">
        <f t="shared" si="14"/>
        <v>136.15228</v>
      </c>
      <c r="AP14" s="248" cm="1">
        <f t="array" ref="AP14">INDEX(Reading_export[1/1/2025],MATCH(1,(Reading_export[Lot]=A14)*(Reading_export[cluster]=$B$1),0))</f>
        <v>20316</v>
      </c>
      <c r="AQ14" s="248" cm="1">
        <f t="array" ref="AQ14">INDEX(Reading_export[01/04/2025],MATCH(1,(Reading_export[Lot]=A14)*(Reading_export[cluster]=$B$1),0))</f>
        <v>22009</v>
      </c>
      <c r="AR14" s="249">
        <f>Table1[[#This Row],[Last day of reporting period: export]]-Table1[[#This Row],[1st day of reporting period: export]]</f>
        <v>1693</v>
      </c>
      <c r="AS14" s="250">
        <f t="shared" si="9"/>
        <v>0.0362596646034568</v>
      </c>
      <c r="AT14" s="251" t="e">
        <f>Table1[[#This Row],[Percentage of Total export for Billing Period (%)]]*$AC$38</f>
        <v>#N/A</v>
      </c>
      <c r="AU14" s="251">
        <f t="shared" si="10"/>
        <v>835.34</v>
      </c>
      <c r="AV14" s="252">
        <f>IFERROR(Table1[[#This Row],[Total Cluster Energy Balance for P2P Trading (kWh)2]]*Table1[[#This Row],[Unused Daily Allowance %]],0)</f>
        <v>37.4456711450182</v>
      </c>
      <c r="AW14" s="251">
        <f t="shared" si="11"/>
        <v>89.7789295581589</v>
      </c>
      <c r="AX14" s="252">
        <f>Table1[[#This Row],[Cluster''s Total Common Services (kWh)]]*Table1[[#This Row],[Percentage of Total export for Billing Period (%)]]</f>
        <v>23.8588593090746</v>
      </c>
      <c r="AY14" s="252">
        <f>$Q$33*Table1[[#This Row],[Percentage of Total export for Billing Period (%)]]</f>
        <v>95.6167355593155</v>
      </c>
      <c r="AZ14"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4" s="252">
        <f t="shared" si="12"/>
        <v>0</v>
      </c>
      <c r="BB14" s="252">
        <f>Table1[[#This Row],[Energy Losses When Export to Grid (kWh)]]*Table1[[#This Row],[Percentage of Total export for Billing Period (%)]]</f>
        <v>0</v>
      </c>
      <c r="BC14" s="252" t="e">
        <f>Table1[[#This Row],[Therotical Energy Export to Grid (kWh)]]-Table1[[#This Row],[Energy Losses When Export to Grid based up % total export (kWh)]]</f>
        <v>#N/A</v>
      </c>
      <c r="BD14" s="260">
        <f>AW14*'Tariff Rates'!$C$3</f>
        <v>-19.751364502795</v>
      </c>
      <c r="BE14" s="260">
        <f>Table1[[#This Row],[Common Service based upon % total export to battery (kWh)]]*'Tariff Rates'!$C$3</f>
        <v>-5.2489490479964</v>
      </c>
      <c r="BF14" s="260">
        <f>Table1[[#This Row],[EV Charger based upon % total export to battery (kWh)]]*'Tariff Rates'!$C$3</f>
        <v>-21.0356818230494</v>
      </c>
      <c r="BG14" s="273" t="e">
        <f>AT14*'Tariff Rates'!$C$3</f>
        <v>#N/A</v>
      </c>
      <c r="BH14" s="273">
        <f>Table1[[#This Row],[Borrowed Allowance Based on Unused Daily Allowance % (kWh)]]*'Tariff Rates'!$K$3</f>
        <v>-0.748913422900364</v>
      </c>
      <c r="BI14" s="273" t="e">
        <f>BC14*'Tariff Rates'!$F$3</f>
        <v>#N/A</v>
      </c>
      <c r="BJ14" s="273" t="e">
        <f t="shared" si="18"/>
        <v>#N/A</v>
      </c>
      <c r="BK14" s="274">
        <f>$D$52*Table1[[#This Row],[Percentage of Unit Entitlement (%)]]</f>
        <v>0</v>
      </c>
      <c r="BL14" s="275">
        <f>BK14*'Tariff Rates'!$H$3</f>
        <v>0</v>
      </c>
      <c r="BM14" s="275">
        <f>($Q$33)*Table1[[#This Row],[Percentage of Unit Entitlement (%)]]*'Tariff Rates'!$B$3</f>
        <v>30.74742</v>
      </c>
      <c r="BN14" s="275">
        <f t="shared" si="15"/>
        <v>30.74742</v>
      </c>
      <c r="BO14" s="275">
        <f t="shared" si="16"/>
        <v>0</v>
      </c>
      <c r="BP14" s="295">
        <f t="shared" si="17"/>
        <v>30.74742</v>
      </c>
      <c r="BQ14" s="296" t="e">
        <f t="shared" si="13"/>
        <v>#N/A</v>
      </c>
      <c r="BR14" s="303"/>
      <c r="BS14" s="304"/>
      <c r="BT14" s="299">
        <v>10</v>
      </c>
    </row>
    <row r="15" spans="1:72">
      <c r="A15" s="102">
        <v>11</v>
      </c>
      <c r="B15" s="96" t="str" cm="1">
        <f t="array" ref="B15">INDEX(Table_Household_Alloc[Owner],MATCH(1,(Table_Household_Alloc[Lot]=A15)*(Table_Household_Alloc[cluster]=$B$1),0))</f>
        <v>Levi Holden</v>
      </c>
      <c r="C15" s="97" cm="1">
        <f t="array" ref="C15">INDEX(Reading_import[Meter'#],MATCH(1,(Table_Household_Alloc[Lot]=A15)*(Table_Household_Alloc[cluster]=$B$1),0))</f>
        <v>50002848</v>
      </c>
      <c r="D15" s="98" cm="1">
        <f t="array" ref="D15">INDEX(Table_Household_Alloc[UE % over Cluster],MATCH(1,(Table_Household_Alloc[Lot]=A15)*(Table_Household_Alloc[cluster]=$B$1),0))</f>
        <v>0.052</v>
      </c>
      <c r="E15" s="99" t="str" cm="1">
        <f t="array" ref="E15">INDEX(Table_Household_Alloc[Stage of Dev.],MATCH(1,(Table_Household_Alloc[Lot]=A15)*(Table_Household_Alloc[cluster]=$B$1),0))</f>
        <v>O</v>
      </c>
      <c r="F15" s="100" cm="1">
        <f t="array" ref="F15">INDEX(Amanda_energy[Daily_Supply_incl_GST],MATCH(1,(Amanda_energy[Cluster]=$B$1)*(Amanda_energy[Month]=$F$2),0))/MAX($A:$A)</f>
        <v>6.31481481481481</v>
      </c>
      <c r="G15" s="101" cm="1">
        <f t="array" ref="G15">INDEX(Amanda_energy[Daily_Supply_incl_GST],MATCH(1,(Amanda_energy[Cluster]=$B$1)*(Amanda_energy[Month]=$G$2),0))/MAX($A:$A)</f>
        <v>5.7037037037037</v>
      </c>
      <c r="H15" s="101" cm="1">
        <f t="array" ref="H15">INDEX(Amanda_energy[Daily_Supply_incl_GST],MATCH(1,(Amanda_energy[Cluster]=$B$1)*(Amanda_energy[Month]=$H$2),0))/MAX($A:$A)</f>
        <v>6.31481481481481</v>
      </c>
      <c r="I15" s="101">
        <f>$J$46/MAX($A:$A)</f>
        <v>1.67222222222222</v>
      </c>
      <c r="J15" s="168"/>
      <c r="K15" s="168"/>
      <c r="L15" s="168">
        <f>$L$3*'Tariff Rates'!$D$8*IF(Table1[[#This Row],[Stage of Dev.]]="V",0,1)</f>
        <v>19.8</v>
      </c>
      <c r="M15" s="169">
        <v>1.1</v>
      </c>
      <c r="N15" s="170">
        <f t="shared" si="1"/>
        <v>40.9055555555556</v>
      </c>
      <c r="O15" s="171" cm="1">
        <f t="array" ref="O15">INDEX(Reading_import[1/1/2025],MATCH(1,(Reading_import[Lot]=A15)*(Reading_import[cluster]=$B$1),0))</f>
        <v>1173</v>
      </c>
      <c r="P15" s="172" cm="1">
        <f t="array" ref="P15">INDEX(Reading_import[01/04/2025],MATCH(1,(Reading_import[Lot]=A15)*(Reading_import[cluster]=$B$1),0))</f>
        <v>1203</v>
      </c>
      <c r="Q15" s="189">
        <f>Table1[[#This Row],[Last day of reporting period: import]]-Table1[[#This Row],[1st day of reporting period: import]]</f>
        <v>30</v>
      </c>
      <c r="R15" s="190">
        <f t="shared" si="2"/>
        <v>0.333333333333333</v>
      </c>
      <c r="S15" s="191">
        <f t="shared" si="3"/>
        <v>0.00334373606776638</v>
      </c>
      <c r="T15" s="192">
        <f>IF(Table1[[#This Row],[Stage of Dev.]]="V",0,233*Table1[[#This Row],[Percentage of Unit Entitlement (%)]])</f>
        <v>12.116</v>
      </c>
      <c r="U15" s="193">
        <f t="shared" si="4"/>
        <v>0.333333333333333</v>
      </c>
      <c r="V15" s="193">
        <f>Table1[[#This Row],[Daily Battery allowance based on UE% (kWh)]]-Table1[[#This Row],[Applicable Battery Allowance Daily Consumption (kWh)]]</f>
        <v>11.7826666666667</v>
      </c>
      <c r="W15" s="194">
        <f>Table1[[#This Row],[Unused Daily Allowance (kWh)]]/$V$38</f>
        <v>0.0901313927426737</v>
      </c>
      <c r="X15" s="193">
        <f>IF(Table1[[#This Row],[Applicable Battery Allowance Daily Consumption (kWh)]]&gt;Table1[[#This Row],[Total Daily Average Consumptio for Billing Period (kWh)]],Table1[[#This Row],[Total Consumption Import  (kWh)]],U15*$N$3)</f>
        <v>30</v>
      </c>
      <c r="Y15" s="209">
        <f>IF(Table1[[#This Row],[Applicable Battery Allowance Daily Consumption (kWh)]]&gt;0,ABS(Q15-X15),0)</f>
        <v>0</v>
      </c>
      <c r="Z15" s="210">
        <f>IFERROR(Table1[[#This Row],[Energy Exceeding Battery Allowance (kWh)]]/$Y$38,0)</f>
        <v>0</v>
      </c>
      <c r="AA15" s="211">
        <f t="shared" si="5"/>
        <v>835.34</v>
      </c>
      <c r="AB15" s="212">
        <f>IFERROR(Table1[[#This Row],[Total Cluster Energy Balance for P2P Trading (kWh)]]*Table1[[#This Row],[Energy Exceeding Battery Allowance %]],0)</f>
        <v>0</v>
      </c>
      <c r="AC15" s="213">
        <f>Table1[[#This Row],[P2P Import Consumption within Battery Allowance(kWh)]]+Table1[[#This Row],[P2P Import Consumption over Battery Allowance based on Energy Exceeding Allowance % (kWh)]]</f>
        <v>30</v>
      </c>
      <c r="AD15" s="213">
        <f>Table1[[#This Row],[Total Consumption Import  (kWh)]]-Table1[[#This Row],[Total P2P import (kWh)]]</f>
        <v>0</v>
      </c>
      <c r="AE15" s="214">
        <f>IFERROR(Table1[[#This Row],[Total P2P import (kWh)]]/$AC$38,0)</f>
        <v>0</v>
      </c>
      <c r="AF15" s="215">
        <f t="shared" si="6"/>
        <v>2476</v>
      </c>
      <c r="AG15" s="215">
        <f t="shared" si="7"/>
        <v>0</v>
      </c>
      <c r="AH15" s="226">
        <f t="shared" si="8"/>
        <v>658</v>
      </c>
      <c r="AI15" s="226">
        <f>Table1[[#This Row],[Cluster''s Total Common Services (kWh)]]*Table1[[#This Row],[Percentage of Unit Entitlement (%)]]</f>
        <v>34.216</v>
      </c>
      <c r="AJ15" s="227">
        <f>AG15*'Tariff Rates'!$B$3</f>
        <v>0</v>
      </c>
      <c r="AK15" s="227">
        <f>Table1[[#This Row],[Common Services based on Split per Unit Entitlement % to battery (kWh)]]*'Tariff Rates'!$B$3</f>
        <v>7.52752</v>
      </c>
      <c r="AL15" s="228">
        <f>Table1[[#This Row],[Total P2P import (kWh)]]*IF(Table1[[#This Row],[Total Lot Export (kWh)]]=0,'Tariff Rates'!$L$3,'Tariff Rates'!$B$3)</f>
        <v>6.6</v>
      </c>
      <c r="AM15" s="229">
        <f>Table1[[#This Row],[P2P Import Consumption over Battery Allowance based on Energy Exceeding Allowance % (kWh)]]*'Tariff Rates'!$J$3</f>
        <v>0</v>
      </c>
      <c r="AN15" s="230">
        <f>Table1[[#This Row],[Energy Import from Grid (kWh)]]*'Tariff Rates'!$E$3</f>
        <v>0</v>
      </c>
      <c r="AO15" s="247">
        <f t="shared" si="14"/>
        <v>14.12752</v>
      </c>
      <c r="AP15" s="248" cm="1">
        <f t="array" ref="AP15">INDEX(Reading_export[1/1/2025],MATCH(1,(Reading_export[Lot]=A15)*(Reading_export[cluster]=$B$1),0))</f>
        <v>22593</v>
      </c>
      <c r="AQ15" s="248" cm="1">
        <f t="array" ref="AQ15">INDEX(Reading_export[01/04/2025],MATCH(1,(Reading_export[Lot]=A15)*(Reading_export[cluster]=$B$1),0))</f>
        <v>25470</v>
      </c>
      <c r="AR15" s="249">
        <f>Table1[[#This Row],[Last day of reporting period: export]]-Table1[[#This Row],[1st day of reporting period: export]]</f>
        <v>2877</v>
      </c>
      <c r="AS15" s="250">
        <f t="shared" si="9"/>
        <v>0.061617870681716</v>
      </c>
      <c r="AT15" s="251" t="e">
        <f>Table1[[#This Row],[Percentage of Total export for Billing Period (%)]]*$AC$38</f>
        <v>#N/A</v>
      </c>
      <c r="AU15" s="251">
        <f t="shared" si="10"/>
        <v>835.34</v>
      </c>
      <c r="AV15" s="252">
        <f>IFERROR(Table1[[#This Row],[Total Cluster Energy Balance for P2P Trading (kWh)2]]*Table1[[#This Row],[Unused Daily Allowance %]],0)</f>
        <v>75.2903576136651</v>
      </c>
      <c r="AW15" s="251">
        <f t="shared" si="11"/>
        <v>152.565847807929</v>
      </c>
      <c r="AX15" s="252">
        <f>Table1[[#This Row],[Cluster''s Total Common Services (kWh)]]*Table1[[#This Row],[Percentage of Total export for Billing Period (%)]]</f>
        <v>40.5445589085691</v>
      </c>
      <c r="AY15" s="252">
        <f>$Q$33*Table1[[#This Row],[Percentage of Total export for Billing Period (%)]]</f>
        <v>162.486324987685</v>
      </c>
      <c r="AZ15"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5" s="252">
        <f t="shared" si="12"/>
        <v>0</v>
      </c>
      <c r="BB15" s="252">
        <f>Table1[[#This Row],[Energy Losses When Export to Grid (kWh)]]*Table1[[#This Row],[Percentage of Total export for Billing Period (%)]]</f>
        <v>0</v>
      </c>
      <c r="BC15" s="252" t="e">
        <f>Table1[[#This Row],[Therotical Energy Export to Grid (kWh)]]-Table1[[#This Row],[Energy Losses When Export to Grid based up % total export (kWh)]]</f>
        <v>#N/A</v>
      </c>
      <c r="BD15" s="260">
        <f>AW15*'Tariff Rates'!$C$3</f>
        <v>-33.5644865177443</v>
      </c>
      <c r="BE15" s="260">
        <f>Table1[[#This Row],[Common Service based upon % total export to battery (kWh)]]*'Tariff Rates'!$C$3</f>
        <v>-8.9198029598852</v>
      </c>
      <c r="BF15" s="260">
        <f>Table1[[#This Row],[EV Charger based upon % total export to battery (kWh)]]*'Tariff Rates'!$C$3</f>
        <v>-35.7469914972907</v>
      </c>
      <c r="BG15" s="273" t="e">
        <f>AT15*'Tariff Rates'!$C$3</f>
        <v>#N/A</v>
      </c>
      <c r="BH15" s="273">
        <f>Table1[[#This Row],[Borrowed Allowance Based on Unused Daily Allowance % (kWh)]]*'Tariff Rates'!$K$3</f>
        <v>-1.5058071522733</v>
      </c>
      <c r="BI15" s="273" t="e">
        <f>BC15*'Tariff Rates'!$F$3</f>
        <v>#N/A</v>
      </c>
      <c r="BJ15" s="273" t="e">
        <f t="shared" si="18"/>
        <v>#N/A</v>
      </c>
      <c r="BK15" s="274">
        <f>$D$52*Table1[[#This Row],[Percentage of Unit Entitlement (%)]]</f>
        <v>0</v>
      </c>
      <c r="BL15" s="275">
        <f>BK15*'Tariff Rates'!$H$3</f>
        <v>0</v>
      </c>
      <c r="BM15" s="275">
        <f>($Q$33)*Table1[[#This Row],[Percentage of Unit Entitlement (%)]]*'Tariff Rates'!$B$3</f>
        <v>30.16728</v>
      </c>
      <c r="BN15" s="275">
        <f t="shared" si="15"/>
        <v>30.16728</v>
      </c>
      <c r="BO15" s="275">
        <f t="shared" si="16"/>
        <v>0</v>
      </c>
      <c r="BP15" s="295">
        <f t="shared" si="17"/>
        <v>30.16728</v>
      </c>
      <c r="BQ15" s="296" t="e">
        <f t="shared" si="13"/>
        <v>#N/A</v>
      </c>
      <c r="BR15" s="300"/>
      <c r="BS15" s="301"/>
      <c r="BT15" s="302">
        <v>11</v>
      </c>
    </row>
    <row r="16" spans="1:72">
      <c r="A16" s="95">
        <v>12</v>
      </c>
      <c r="B16" s="96" t="str" cm="1">
        <f t="array" ref="B16">INDEX(Table_Household_Alloc[Owner],MATCH(1,(Table_Household_Alloc[Lot]=A16)*(Table_Household_Alloc[cluster]=$B$1),0))</f>
        <v>Matt &amp; Kate Shaw</v>
      </c>
      <c r="C16" s="97" cm="1">
        <f t="array" ref="C16">INDEX(Reading_import[Meter'#],MATCH(1,(Table_Household_Alloc[Lot]=A16)*(Table_Household_Alloc[cluster]=$B$1),0))</f>
        <v>50002847</v>
      </c>
      <c r="D16" s="98" cm="1">
        <f t="array" ref="D16">INDEX(Table_Household_Alloc[UE % over Cluster],MATCH(1,(Table_Household_Alloc[Lot]=A16)*(Table_Household_Alloc[cluster]=$B$1),0))</f>
        <v>0.052</v>
      </c>
      <c r="E16" s="99" t="str" cm="1">
        <f t="array" ref="E16">INDEX(Table_Household_Alloc[Stage of Dev.],MATCH(1,(Table_Household_Alloc[Lot]=A16)*(Table_Household_Alloc[cluster]=$B$1),0))</f>
        <v>UC</v>
      </c>
      <c r="F16" s="100" cm="1">
        <f t="array" ref="F16">INDEX(Amanda_energy[Daily_Supply_incl_GST],MATCH(1,(Amanda_energy[Cluster]=$B$1)*(Amanda_energy[Month]=$F$2),0))/MAX($A:$A)</f>
        <v>6.31481481481481</v>
      </c>
      <c r="G16" s="101" cm="1">
        <f t="array" ref="G16">INDEX(Amanda_energy[Daily_Supply_incl_GST],MATCH(1,(Amanda_energy[Cluster]=$B$1)*(Amanda_energy[Month]=$G$2),0))/MAX($A:$A)</f>
        <v>5.7037037037037</v>
      </c>
      <c r="H16" s="101" cm="1">
        <f t="array" ref="H16">INDEX(Amanda_energy[Daily_Supply_incl_GST],MATCH(1,(Amanda_energy[Cluster]=$B$1)*(Amanda_energy[Month]=$H$2),0))/MAX($A:$A)</f>
        <v>6.31481481481481</v>
      </c>
      <c r="I16" s="101">
        <f>$J$46/MAX($A:$A)</f>
        <v>1.67222222222222</v>
      </c>
      <c r="J16" s="168"/>
      <c r="K16" s="168"/>
      <c r="L16" s="168">
        <f>$L$3*'Tariff Rates'!$D$8*IF(Table1[[#This Row],[Stage of Dev.]]="V",0,1)</f>
        <v>19.8</v>
      </c>
      <c r="M16" s="169">
        <v>1.1</v>
      </c>
      <c r="N16" s="170">
        <f t="shared" si="1"/>
        <v>40.9055555555556</v>
      </c>
      <c r="O16" s="171" cm="1">
        <f t="array" ref="O16">INDEX(Reading_import[1/1/2025],MATCH(1,(Reading_import[Lot]=A16)*(Reading_import[cluster]=$B$1),0))</f>
        <v>34</v>
      </c>
      <c r="P16" s="172" cm="1">
        <f t="array" ref="P16">INDEX(Reading_import[01/04/2025],MATCH(1,(Reading_import[Lot]=A16)*(Reading_import[cluster]=$B$1),0))</f>
        <v>43</v>
      </c>
      <c r="Q16" s="189">
        <f>Table1[[#This Row],[Last day of reporting period: import]]-Table1[[#This Row],[1st day of reporting period: import]]</f>
        <v>9</v>
      </c>
      <c r="R16" s="190">
        <f t="shared" si="2"/>
        <v>0.1</v>
      </c>
      <c r="S16" s="191">
        <f t="shared" si="3"/>
        <v>0.00100312082032992</v>
      </c>
      <c r="T16" s="192">
        <f>IF(Table1[[#This Row],[Stage of Dev.]]="V",0,233*Table1[[#This Row],[Percentage of Unit Entitlement (%)]])</f>
        <v>12.116</v>
      </c>
      <c r="U16" s="193">
        <f t="shared" si="4"/>
        <v>0.1</v>
      </c>
      <c r="V16" s="193">
        <f>Table1[[#This Row],[Daily Battery allowance based on UE% (kWh)]]-Table1[[#This Row],[Applicable Battery Allowance Daily Consumption (kWh)]]</f>
        <v>12.016</v>
      </c>
      <c r="W16" s="194">
        <f>Table1[[#This Row],[Unused Daily Allowance (kWh)]]/$V$38</f>
        <v>0.0919162737803525</v>
      </c>
      <c r="X16" s="193">
        <f>IF(Table1[[#This Row],[Applicable Battery Allowance Daily Consumption (kWh)]]&gt;Table1[[#This Row],[Total Daily Average Consumptio for Billing Period (kWh)]],Table1[[#This Row],[Total Consumption Import  (kWh)]],U16*$N$3)</f>
        <v>9</v>
      </c>
      <c r="Y16" s="209">
        <f>IF(Table1[[#This Row],[Applicable Battery Allowance Daily Consumption (kWh)]]&gt;0,ABS(Q16-X16),0)</f>
        <v>0</v>
      </c>
      <c r="Z16" s="210">
        <f>IFERROR(Table1[[#This Row],[Energy Exceeding Battery Allowance (kWh)]]/$Y$38,0)</f>
        <v>0</v>
      </c>
      <c r="AA16" s="211">
        <f t="shared" si="5"/>
        <v>835.34</v>
      </c>
      <c r="AB16" s="212">
        <f>IFERROR(Table1[[#This Row],[Total Cluster Energy Balance for P2P Trading (kWh)]]*Table1[[#This Row],[Energy Exceeding Battery Allowance %]],0)</f>
        <v>0</v>
      </c>
      <c r="AC16" s="213">
        <f>Table1[[#This Row],[P2P Import Consumption within Battery Allowance(kWh)]]+Table1[[#This Row],[P2P Import Consumption over Battery Allowance based on Energy Exceeding Allowance % (kWh)]]</f>
        <v>9</v>
      </c>
      <c r="AD16" s="213">
        <f>Table1[[#This Row],[Total Consumption Import  (kWh)]]-Table1[[#This Row],[Total P2P import (kWh)]]</f>
        <v>0</v>
      </c>
      <c r="AE16" s="214">
        <f>IFERROR(Table1[[#This Row],[Total P2P import (kWh)]]/$AC$38,0)</f>
        <v>0</v>
      </c>
      <c r="AF16" s="215">
        <f t="shared" si="6"/>
        <v>2476</v>
      </c>
      <c r="AG16" s="215">
        <f t="shared" si="7"/>
        <v>0</v>
      </c>
      <c r="AH16" s="226">
        <f t="shared" si="8"/>
        <v>658</v>
      </c>
      <c r="AI16" s="226">
        <f>Table1[[#This Row],[Cluster''s Total Common Services (kWh)]]*Table1[[#This Row],[Percentage of Unit Entitlement (%)]]</f>
        <v>34.216</v>
      </c>
      <c r="AJ16" s="227">
        <f>AG16*'Tariff Rates'!$B$3</f>
        <v>0</v>
      </c>
      <c r="AK16" s="227">
        <f>Table1[[#This Row],[Common Services based on Split per Unit Entitlement % to battery (kWh)]]*'Tariff Rates'!$B$3</f>
        <v>7.52752</v>
      </c>
      <c r="AL16" s="228">
        <f>Table1[[#This Row],[Total P2P import (kWh)]]*IF(Table1[[#This Row],[Total Lot Export (kWh)]]=0,'Tariff Rates'!$L$3,'Tariff Rates'!$B$3)</f>
        <v>3.24</v>
      </c>
      <c r="AM16" s="229">
        <f>Table1[[#This Row],[P2P Import Consumption over Battery Allowance based on Energy Exceeding Allowance % (kWh)]]*'Tariff Rates'!$J$3</f>
        <v>0</v>
      </c>
      <c r="AN16" s="230">
        <f>Table1[[#This Row],[Energy Import from Grid (kWh)]]*'Tariff Rates'!$E$3</f>
        <v>0</v>
      </c>
      <c r="AO16" s="247">
        <f t="shared" si="14"/>
        <v>10.76752</v>
      </c>
      <c r="AP16" s="248" cm="1">
        <f t="array" ref="AP16">INDEX(Reading_export[1/1/2025],MATCH(1,(Reading_export[Lot]=A16)*(Reading_export[cluster]=$B$1),0))</f>
        <v>0</v>
      </c>
      <c r="AQ16" s="248" cm="1">
        <f t="array" ref="AQ16">INDEX(Reading_export[01/04/2025],MATCH(1,(Reading_export[Lot]=A16)*(Reading_export[cluster]=$B$1),0))</f>
        <v>0</v>
      </c>
      <c r="AR16" s="249">
        <f>Table1[[#This Row],[Last day of reporting period: export]]-Table1[[#This Row],[1st day of reporting period: export]]</f>
        <v>0</v>
      </c>
      <c r="AS16" s="250">
        <f t="shared" si="9"/>
        <v>0</v>
      </c>
      <c r="AT16" s="251" t="e">
        <f>Table1[[#This Row],[Percentage of Total export for Billing Period (%)]]*$AC$38</f>
        <v>#N/A</v>
      </c>
      <c r="AU16" s="251">
        <f t="shared" si="10"/>
        <v>835.34</v>
      </c>
      <c r="AV16" s="252">
        <f>IFERROR(Table1[[#This Row],[Total Cluster Energy Balance for P2P Trading (kWh)2]]*Table1[[#This Row],[Unused Daily Allowance %]],0)</f>
        <v>76.7813401396797</v>
      </c>
      <c r="AW16" s="251">
        <f t="shared" si="11"/>
        <v>0</v>
      </c>
      <c r="AX16" s="252">
        <f>Table1[[#This Row],[Cluster''s Total Common Services (kWh)]]*Table1[[#This Row],[Percentage of Total export for Billing Period (%)]]</f>
        <v>0</v>
      </c>
      <c r="AY16" s="252">
        <f>$Q$33*Table1[[#This Row],[Percentage of Total export for Billing Period (%)]]</f>
        <v>0</v>
      </c>
      <c r="AZ16"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6" s="252">
        <f t="shared" si="12"/>
        <v>0</v>
      </c>
      <c r="BB16" s="252">
        <f>Table1[[#This Row],[Energy Losses When Export to Grid (kWh)]]*Table1[[#This Row],[Percentage of Total export for Billing Period (%)]]</f>
        <v>0</v>
      </c>
      <c r="BC16" s="252" t="e">
        <f>Table1[[#This Row],[Therotical Energy Export to Grid (kWh)]]-Table1[[#This Row],[Energy Losses When Export to Grid based up % total export (kWh)]]</f>
        <v>#N/A</v>
      </c>
      <c r="BD16" s="260">
        <f>AW16*'Tariff Rates'!$C$3</f>
        <v>0</v>
      </c>
      <c r="BE16" s="260">
        <f>Table1[[#This Row],[Common Service based upon % total export to battery (kWh)]]*'Tariff Rates'!$C$3</f>
        <v>0</v>
      </c>
      <c r="BF16" s="260">
        <f>Table1[[#This Row],[EV Charger based upon % total export to battery (kWh)]]*'Tariff Rates'!$C$3</f>
        <v>0</v>
      </c>
      <c r="BG16" s="273" t="e">
        <f>AT16*'Tariff Rates'!$C$3</f>
        <v>#N/A</v>
      </c>
      <c r="BH16" s="273">
        <f>Table1[[#This Row],[Borrowed Allowance Based on Unused Daily Allowance % (kWh)]]*'Tariff Rates'!$K$3</f>
        <v>-1.53562680279359</v>
      </c>
      <c r="BI16" s="273" t="e">
        <f>BC16*'Tariff Rates'!$F$3</f>
        <v>#N/A</v>
      </c>
      <c r="BJ16" s="273" t="e">
        <f t="shared" si="18"/>
        <v>#N/A</v>
      </c>
      <c r="BK16" s="274">
        <f>$D$52*Table1[[#This Row],[Percentage of Unit Entitlement (%)]]</f>
        <v>0</v>
      </c>
      <c r="BL16" s="275">
        <f>BK16*'Tariff Rates'!$H$3</f>
        <v>0</v>
      </c>
      <c r="BM16" s="275">
        <f>($Q$33)*Table1[[#This Row],[Percentage of Unit Entitlement (%)]]*'Tariff Rates'!$B$3</f>
        <v>30.16728</v>
      </c>
      <c r="BN16" s="275">
        <f t="shared" si="15"/>
        <v>30.16728</v>
      </c>
      <c r="BO16" s="275">
        <f t="shared" si="16"/>
        <v>0</v>
      </c>
      <c r="BP16" s="295">
        <f t="shared" si="17"/>
        <v>30.16728</v>
      </c>
      <c r="BQ16" s="296" t="e">
        <f t="shared" si="13"/>
        <v>#N/A</v>
      </c>
      <c r="BR16" s="303"/>
      <c r="BS16" s="304"/>
      <c r="BT16" s="299">
        <v>12</v>
      </c>
    </row>
    <row r="17" spans="1:72">
      <c r="A17" s="102">
        <v>13</v>
      </c>
      <c r="B17" s="96" t="str" cm="1">
        <f t="array" ref="B17">INDEX(Table_Household_Alloc[Owner],MATCH(1,(Table_Household_Alloc[Lot]=A17)*(Table_Household_Alloc[cluster]=$B$1),0))</f>
        <v>Peter Froehlich &amp; Lydia Walzel</v>
      </c>
      <c r="C17" s="97" cm="1">
        <f t="array" ref="C17">INDEX(Reading_import[Meter'#],MATCH(1,(Table_Household_Alloc[Lot]=A17)*(Table_Household_Alloc[cluster]=$B$1),0))</f>
        <v>50002739</v>
      </c>
      <c r="D17" s="98" cm="1">
        <f t="array" ref="D17">INDEX(Table_Household_Alloc[UE % over Cluster],MATCH(1,(Table_Household_Alloc[Lot]=A17)*(Table_Household_Alloc[cluster]=$B$1),0))</f>
        <v>0.052</v>
      </c>
      <c r="E17" s="99" t="str" cm="1">
        <f t="array" ref="E17">INDEX(Table_Household_Alloc[Stage of Dev.],MATCH(1,(Table_Household_Alloc[Lot]=A17)*(Table_Household_Alloc[cluster]=$B$1),0))</f>
        <v>O</v>
      </c>
      <c r="F17" s="100" cm="1">
        <f t="array" ref="F17">INDEX(Amanda_energy[Daily_Supply_incl_GST],MATCH(1,(Amanda_energy[Cluster]=$B$1)*(Amanda_energy[Month]=$F$2),0))/MAX($A:$A)</f>
        <v>6.31481481481481</v>
      </c>
      <c r="G17" s="101" cm="1">
        <f t="array" ref="G17">INDEX(Amanda_energy[Daily_Supply_incl_GST],MATCH(1,(Amanda_energy[Cluster]=$B$1)*(Amanda_energy[Month]=$G$2),0))/MAX($A:$A)</f>
        <v>5.7037037037037</v>
      </c>
      <c r="H17" s="101" cm="1">
        <f t="array" ref="H17">INDEX(Amanda_energy[Daily_Supply_incl_GST],MATCH(1,(Amanda_energy[Cluster]=$B$1)*(Amanda_energy[Month]=$H$2),0))/MAX($A:$A)</f>
        <v>6.31481481481481</v>
      </c>
      <c r="I17" s="101">
        <f>$J$46/MAX($A:$A)</f>
        <v>1.67222222222222</v>
      </c>
      <c r="J17" s="168"/>
      <c r="K17" s="168"/>
      <c r="L17" s="168">
        <f>$L$3*'Tariff Rates'!$D$8*IF(Table1[[#This Row],[Stage of Dev.]]="V",0,1)</f>
        <v>19.8</v>
      </c>
      <c r="M17" s="169">
        <v>1.1</v>
      </c>
      <c r="N17" s="170">
        <f t="shared" si="1"/>
        <v>40.9055555555556</v>
      </c>
      <c r="O17" s="171" cm="1">
        <f t="array" ref="O17">INDEX(Reading_import[1/1/2025],MATCH(1,(Reading_import[Lot]=A17)*(Reading_import[cluster]=$B$1),0))</f>
        <v>5168</v>
      </c>
      <c r="P17" s="172" cm="1">
        <f t="array" ref="P17">INDEX(Reading_import[01/04/2025],MATCH(1,(Reading_import[Lot]=A17)*(Reading_import[cluster]=$B$1),0))</f>
        <v>5504</v>
      </c>
      <c r="Q17" s="189">
        <f>Table1[[#This Row],[Last day of reporting period: import]]-Table1[[#This Row],[1st day of reporting period: import]]</f>
        <v>336</v>
      </c>
      <c r="R17" s="190">
        <f t="shared" si="2"/>
        <v>3.73333333333333</v>
      </c>
      <c r="S17" s="191">
        <f t="shared" si="3"/>
        <v>0.0374498439589835</v>
      </c>
      <c r="T17" s="192">
        <f>IF(Table1[[#This Row],[Stage of Dev.]]="V",0,233*Table1[[#This Row],[Percentage of Unit Entitlement (%)]])</f>
        <v>12.116</v>
      </c>
      <c r="U17" s="193">
        <f t="shared" si="4"/>
        <v>3.73333333333333</v>
      </c>
      <c r="V17" s="193">
        <f>Table1[[#This Row],[Daily Battery allowance based on UE% (kWh)]]-Table1[[#This Row],[Applicable Battery Allowance Daily Consumption (kWh)]]</f>
        <v>8.38266666666667</v>
      </c>
      <c r="W17" s="194">
        <f>Table1[[#This Row],[Unused Daily Allowance (kWh)]]/$V$38</f>
        <v>0.0641231261936392</v>
      </c>
      <c r="X17" s="193">
        <f>IF(Table1[[#This Row],[Applicable Battery Allowance Daily Consumption (kWh)]]&gt;Table1[[#This Row],[Total Daily Average Consumptio for Billing Period (kWh)]],Table1[[#This Row],[Total Consumption Import  (kWh)]],U17*$N$3)</f>
        <v>336</v>
      </c>
      <c r="Y17" s="209">
        <f>IF(Table1[[#This Row],[Applicable Battery Allowance Daily Consumption (kWh)]]&gt;0,ABS(Q17-X17),0)</f>
        <v>0</v>
      </c>
      <c r="Z17" s="210">
        <f>IFERROR(Table1[[#This Row],[Energy Exceeding Battery Allowance (kWh)]]/$Y$38,0)</f>
        <v>0</v>
      </c>
      <c r="AA17" s="211">
        <f t="shared" si="5"/>
        <v>835.34</v>
      </c>
      <c r="AB17" s="212">
        <f>IFERROR(Table1[[#This Row],[Total Cluster Energy Balance for P2P Trading (kWh)]]*Table1[[#This Row],[Energy Exceeding Battery Allowance %]],0)</f>
        <v>0</v>
      </c>
      <c r="AC17" s="213">
        <f>Table1[[#This Row],[P2P Import Consumption within Battery Allowance(kWh)]]+Table1[[#This Row],[P2P Import Consumption over Battery Allowance based on Energy Exceeding Allowance % (kWh)]]</f>
        <v>336</v>
      </c>
      <c r="AD17" s="213">
        <f>Table1[[#This Row],[Total Consumption Import  (kWh)]]-Table1[[#This Row],[Total P2P import (kWh)]]</f>
        <v>0</v>
      </c>
      <c r="AE17" s="214">
        <f>IFERROR(Table1[[#This Row],[Total P2P import (kWh)]]/$AC$38,0)</f>
        <v>0</v>
      </c>
      <c r="AF17" s="215">
        <f t="shared" si="6"/>
        <v>2476</v>
      </c>
      <c r="AG17" s="215">
        <f t="shared" si="7"/>
        <v>0</v>
      </c>
      <c r="AH17" s="226">
        <f t="shared" si="8"/>
        <v>658</v>
      </c>
      <c r="AI17" s="226">
        <f>Table1[[#This Row],[Cluster''s Total Common Services (kWh)]]*Table1[[#This Row],[Percentage of Unit Entitlement (%)]]</f>
        <v>34.216</v>
      </c>
      <c r="AJ17" s="227">
        <f>AG17*'Tariff Rates'!$B$3</f>
        <v>0</v>
      </c>
      <c r="AK17" s="227">
        <f>Table1[[#This Row],[Common Services based on Split per Unit Entitlement % to battery (kWh)]]*'Tariff Rates'!$B$3</f>
        <v>7.52752</v>
      </c>
      <c r="AL17" s="228">
        <f>Table1[[#This Row],[Total P2P import (kWh)]]*IF(Table1[[#This Row],[Total Lot Export (kWh)]]=0,'Tariff Rates'!$L$3,'Tariff Rates'!$B$3)</f>
        <v>73.92</v>
      </c>
      <c r="AM17" s="229">
        <f>Table1[[#This Row],[P2P Import Consumption over Battery Allowance based on Energy Exceeding Allowance % (kWh)]]*'Tariff Rates'!$J$3</f>
        <v>0</v>
      </c>
      <c r="AN17" s="230">
        <f>Table1[[#This Row],[Energy Import from Grid (kWh)]]*'Tariff Rates'!$E$3</f>
        <v>0</v>
      </c>
      <c r="AO17" s="247">
        <f t="shared" si="14"/>
        <v>81.44752</v>
      </c>
      <c r="AP17" s="248" cm="1">
        <f t="array" ref="AP17">INDEX(Reading_export[1/1/2025],MATCH(1,(Reading_export[Lot]=A17)*(Reading_export[cluster]=$B$1),0))</f>
        <v>41072</v>
      </c>
      <c r="AQ17" s="248" cm="1">
        <f t="array" ref="AQ17">INDEX(Reading_export[01/04/2025],MATCH(1,(Reading_export[Lot]=A17)*(Reading_export[cluster]=$B$1),0))</f>
        <v>46143</v>
      </c>
      <c r="AR17" s="249">
        <f>Table1[[#This Row],[Last day of reporting period: export]]-Table1[[#This Row],[1st day of reporting period: export]]</f>
        <v>5071</v>
      </c>
      <c r="AS17" s="250">
        <f t="shared" si="9"/>
        <v>0.108607654580112</v>
      </c>
      <c r="AT17" s="251" t="e">
        <f>Table1[[#This Row],[Percentage of Total export for Billing Period (%)]]*$AC$38</f>
        <v>#N/A</v>
      </c>
      <c r="AU17" s="251">
        <f t="shared" si="10"/>
        <v>835.34</v>
      </c>
      <c r="AV17" s="252">
        <f>IFERROR(Table1[[#This Row],[Total Cluster Energy Balance for P2P Trading (kWh)2]]*Table1[[#This Row],[Unused Daily Allowance %]],0)</f>
        <v>53.5646122345946</v>
      </c>
      <c r="AW17" s="251">
        <f t="shared" si="11"/>
        <v>268.912552740357</v>
      </c>
      <c r="AX17" s="252">
        <f>Table1[[#This Row],[Cluster''s Total Common Services (kWh)]]*Table1[[#This Row],[Percentage of Total export for Billing Period (%)]]</f>
        <v>71.4638367137136</v>
      </c>
      <c r="AY17" s="252">
        <f>$Q$33*Table1[[#This Row],[Percentage of Total export for Billing Period (%)]]</f>
        <v>286.398385127755</v>
      </c>
      <c r="AZ17"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7" s="252">
        <f t="shared" si="12"/>
        <v>0</v>
      </c>
      <c r="BB17" s="252">
        <f>Table1[[#This Row],[Energy Losses When Export to Grid (kWh)]]*Table1[[#This Row],[Percentage of Total export for Billing Period (%)]]</f>
        <v>0</v>
      </c>
      <c r="BC17" s="252" t="e">
        <f>Table1[[#This Row],[Therotical Energy Export to Grid (kWh)]]-Table1[[#This Row],[Energy Losses When Export to Grid based up % total export (kWh)]]</f>
        <v>#N/A</v>
      </c>
      <c r="BD17" s="260">
        <f>AW17*'Tariff Rates'!$C$3</f>
        <v>-59.1607616028785</v>
      </c>
      <c r="BE17" s="260">
        <f>Table1[[#This Row],[Common Service based upon % total export to battery (kWh)]]*'Tariff Rates'!$C$3</f>
        <v>-15.722044077017</v>
      </c>
      <c r="BF17" s="260">
        <f>Table1[[#This Row],[EV Charger based upon % total export to battery (kWh)]]*'Tariff Rates'!$C$3</f>
        <v>-63.0076447281061</v>
      </c>
      <c r="BG17" s="273" t="e">
        <f>AT17*'Tariff Rates'!$C$3</f>
        <v>#N/A</v>
      </c>
      <c r="BH17" s="273">
        <f>Table1[[#This Row],[Borrowed Allowance Based on Unused Daily Allowance % (kWh)]]*'Tariff Rates'!$K$3</f>
        <v>-1.07129224469189</v>
      </c>
      <c r="BI17" s="273" t="e">
        <f>BC17*'Tariff Rates'!$F$3</f>
        <v>#N/A</v>
      </c>
      <c r="BJ17" s="273" t="e">
        <f t="shared" si="18"/>
        <v>#N/A</v>
      </c>
      <c r="BK17" s="274">
        <f>$D$52*Table1[[#This Row],[Percentage of Unit Entitlement (%)]]</f>
        <v>0</v>
      </c>
      <c r="BL17" s="275">
        <f>BK17*'Tariff Rates'!$H$3</f>
        <v>0</v>
      </c>
      <c r="BM17" s="275">
        <f>($Q$33)*Table1[[#This Row],[Percentage of Unit Entitlement (%)]]*'Tariff Rates'!$B$3</f>
        <v>30.16728</v>
      </c>
      <c r="BN17" s="275">
        <f t="shared" si="15"/>
        <v>30.16728</v>
      </c>
      <c r="BO17" s="275">
        <f t="shared" si="16"/>
        <v>0</v>
      </c>
      <c r="BP17" s="295">
        <f t="shared" si="17"/>
        <v>30.16728</v>
      </c>
      <c r="BQ17" s="296" t="e">
        <f t="shared" si="13"/>
        <v>#N/A</v>
      </c>
      <c r="BR17" s="300"/>
      <c r="BS17" s="301"/>
      <c r="BT17" s="302">
        <v>13</v>
      </c>
    </row>
    <row r="18" spans="1:72">
      <c r="A18" s="95">
        <v>14</v>
      </c>
      <c r="B18" s="96" t="str" cm="1">
        <f t="array" ref="B18">INDEX(Table_Household_Alloc[Owner],MATCH(1,(Table_Household_Alloc[Lot]=A18)*(Table_Household_Alloc[cluster]=$B$1),0))</f>
        <v>Priscila Goncalves</v>
      </c>
      <c r="C18" s="97" cm="1">
        <f t="array" ref="C18">INDEX(Reading_import[Meter'#],MATCH(1,(Table_Household_Alloc[Lot]=A18)*(Table_Household_Alloc[cluster]=$B$1),0))</f>
        <v>50002709</v>
      </c>
      <c r="D18" s="98" cm="1">
        <f t="array" ref="D18">INDEX(Table_Household_Alloc[UE % over Cluster],MATCH(1,(Table_Household_Alloc[Lot]=A18)*(Table_Household_Alloc[cluster]=$B$1),0))</f>
        <v>0.052</v>
      </c>
      <c r="E18" s="99" t="str" cm="1">
        <f t="array" ref="E18">INDEX(Table_Household_Alloc[Stage of Dev.],MATCH(1,(Table_Household_Alloc[Lot]=A18)*(Table_Household_Alloc[cluster]=$B$1),0))</f>
        <v>UC</v>
      </c>
      <c r="F18" s="100" cm="1">
        <f t="array" ref="F18">INDEX(Amanda_energy[Daily_Supply_incl_GST],MATCH(1,(Amanda_energy[Cluster]=$B$1)*(Amanda_energy[Month]=$F$2),0))/MAX($A:$A)</f>
        <v>6.31481481481481</v>
      </c>
      <c r="G18" s="101" cm="1">
        <f t="array" ref="G18">INDEX(Amanda_energy[Daily_Supply_incl_GST],MATCH(1,(Amanda_energy[Cluster]=$B$1)*(Amanda_energy[Month]=$G$2),0))/MAX($A:$A)</f>
        <v>5.7037037037037</v>
      </c>
      <c r="H18" s="101" cm="1">
        <f t="array" ref="H18">INDEX(Amanda_energy[Daily_Supply_incl_GST],MATCH(1,(Amanda_energy[Cluster]=$B$1)*(Amanda_energy[Month]=$H$2),0))/MAX($A:$A)</f>
        <v>6.31481481481481</v>
      </c>
      <c r="I18" s="101">
        <f>$J$46/MAX($A:$A)</f>
        <v>1.67222222222222</v>
      </c>
      <c r="J18" s="168"/>
      <c r="K18" s="168"/>
      <c r="L18" s="168">
        <f>$L$3*'Tariff Rates'!$D$8*IF(Table1[[#This Row],[Stage of Dev.]]="V",0,1)</f>
        <v>19.8</v>
      </c>
      <c r="M18" s="169">
        <v>1.1</v>
      </c>
      <c r="N18" s="170">
        <f t="shared" si="1"/>
        <v>40.9055555555556</v>
      </c>
      <c r="O18" s="171" cm="1">
        <f t="array" ref="O18">INDEX(Reading_import[1/1/2025],MATCH(1,(Reading_import[Lot]=A18)*(Reading_import[cluster]=$B$1),0))</f>
        <v>213</v>
      </c>
      <c r="P18" s="172" cm="1">
        <f t="array" ref="P18">INDEX(Reading_import[01/04/2025],MATCH(1,(Reading_import[Lot]=A18)*(Reading_import[cluster]=$B$1),0))</f>
        <v>667</v>
      </c>
      <c r="Q18" s="189">
        <f>Table1[[#This Row],[Last day of reporting period: import]]-Table1[[#This Row],[1st day of reporting period: import]]</f>
        <v>454</v>
      </c>
      <c r="R18" s="190">
        <f t="shared" si="2"/>
        <v>5.04444444444444</v>
      </c>
      <c r="S18" s="191">
        <f t="shared" si="3"/>
        <v>0.0506018724921979</v>
      </c>
      <c r="T18" s="192">
        <f>IF(Table1[[#This Row],[Stage of Dev.]]="V",0,233*Table1[[#This Row],[Percentage of Unit Entitlement (%)]])</f>
        <v>12.116</v>
      </c>
      <c r="U18" s="193">
        <f t="shared" si="4"/>
        <v>5.04444444444444</v>
      </c>
      <c r="V18" s="193">
        <f>Table1[[#This Row],[Daily Battery allowance based on UE% (kWh)]]-Table1[[#This Row],[Applicable Battery Allowance Daily Consumption (kWh)]]</f>
        <v>7.07155555555556</v>
      </c>
      <c r="W18" s="194">
        <f>Table1[[#This Row],[Unused Daily Allowance (kWh)]]/$V$38</f>
        <v>0.0540937946485867</v>
      </c>
      <c r="X18" s="193">
        <f>IF(Table1[[#This Row],[Applicable Battery Allowance Daily Consumption (kWh)]]&gt;Table1[[#This Row],[Total Daily Average Consumptio for Billing Period (kWh)]],Table1[[#This Row],[Total Consumption Import  (kWh)]],U18*$N$3)</f>
        <v>454</v>
      </c>
      <c r="Y18" s="209">
        <f>IF(Table1[[#This Row],[Applicable Battery Allowance Daily Consumption (kWh)]]&gt;0,ABS(Q18-X18),0)</f>
        <v>0</v>
      </c>
      <c r="Z18" s="210">
        <f>IFERROR(Table1[[#This Row],[Energy Exceeding Battery Allowance (kWh)]]/$Y$38,0)</f>
        <v>0</v>
      </c>
      <c r="AA18" s="211">
        <f t="shared" si="5"/>
        <v>835.34</v>
      </c>
      <c r="AB18" s="212">
        <f>IFERROR(Table1[[#This Row],[Total Cluster Energy Balance for P2P Trading (kWh)]]*Table1[[#This Row],[Energy Exceeding Battery Allowance %]],0)</f>
        <v>0</v>
      </c>
      <c r="AC18" s="213">
        <f>Table1[[#This Row],[P2P Import Consumption within Battery Allowance(kWh)]]+Table1[[#This Row],[P2P Import Consumption over Battery Allowance based on Energy Exceeding Allowance % (kWh)]]</f>
        <v>454</v>
      </c>
      <c r="AD18" s="213">
        <f>Table1[[#This Row],[Total Consumption Import  (kWh)]]-Table1[[#This Row],[Total P2P import (kWh)]]</f>
        <v>0</v>
      </c>
      <c r="AE18" s="214">
        <f>IFERROR(Table1[[#This Row],[Total P2P import (kWh)]]/$AC$38,0)</f>
        <v>0</v>
      </c>
      <c r="AF18" s="215">
        <f t="shared" si="6"/>
        <v>2476</v>
      </c>
      <c r="AG18" s="215">
        <f t="shared" si="7"/>
        <v>0</v>
      </c>
      <c r="AH18" s="226">
        <f t="shared" si="8"/>
        <v>658</v>
      </c>
      <c r="AI18" s="226">
        <f>Table1[[#This Row],[Cluster''s Total Common Services (kWh)]]*Table1[[#This Row],[Percentage of Unit Entitlement (%)]]</f>
        <v>34.216</v>
      </c>
      <c r="AJ18" s="227">
        <f>AG18*'Tariff Rates'!$B$3</f>
        <v>0</v>
      </c>
      <c r="AK18" s="227">
        <f>Table1[[#This Row],[Common Services based on Split per Unit Entitlement % to battery (kWh)]]*'Tariff Rates'!$B$3</f>
        <v>7.52752</v>
      </c>
      <c r="AL18" s="228">
        <f>Table1[[#This Row],[Total P2P import (kWh)]]*IF(Table1[[#This Row],[Total Lot Export (kWh)]]=0,'Tariff Rates'!$L$3,'Tariff Rates'!$B$3)</f>
        <v>99.88</v>
      </c>
      <c r="AM18" s="229">
        <f>Table1[[#This Row],[P2P Import Consumption over Battery Allowance based on Energy Exceeding Allowance % (kWh)]]*'Tariff Rates'!$J$3</f>
        <v>0</v>
      </c>
      <c r="AN18" s="230">
        <f>Table1[[#This Row],[Energy Import from Grid (kWh)]]*'Tariff Rates'!$E$3</f>
        <v>0</v>
      </c>
      <c r="AO18" s="247">
        <f t="shared" si="14"/>
        <v>107.40752</v>
      </c>
      <c r="AP18" s="248" cm="1">
        <f t="array" ref="AP18">INDEX(Reading_export[1/1/2025],MATCH(1,(Reading_export[Lot]=A18)*(Reading_export[cluster]=$B$1),0))</f>
        <v>0</v>
      </c>
      <c r="AQ18" s="248" cm="1">
        <f t="array" ref="AQ18">INDEX(Reading_export[01/04/2025],MATCH(1,(Reading_export[Lot]=A18)*(Reading_export[cluster]=$B$1),0))</f>
        <v>3999</v>
      </c>
      <c r="AR18" s="249">
        <f>Table1[[#This Row],[Last day of reporting period: export]]-Table1[[#This Row],[1st day of reporting period: export]]</f>
        <v>3999</v>
      </c>
      <c r="AS18" s="250">
        <f t="shared" si="9"/>
        <v>0.0856481977254717</v>
      </c>
      <c r="AT18" s="251" t="e">
        <f>Table1[[#This Row],[Percentage of Total export for Billing Period (%)]]*$AC$38</f>
        <v>#N/A</v>
      </c>
      <c r="AU18" s="251">
        <f t="shared" si="10"/>
        <v>835.34</v>
      </c>
      <c r="AV18" s="252">
        <f>IFERROR(Table1[[#This Row],[Total Cluster Energy Balance for P2P Trading (kWh)2]]*Table1[[#This Row],[Unused Daily Allowance %]],0)</f>
        <v>45.1867104217504</v>
      </c>
      <c r="AW18" s="251">
        <f t="shared" si="11"/>
        <v>212.064937568268</v>
      </c>
      <c r="AX18" s="252">
        <f>Table1[[#This Row],[Cluster''s Total Common Services (kWh)]]*Table1[[#This Row],[Percentage of Total export for Billing Period (%)]]</f>
        <v>56.3565141033604</v>
      </c>
      <c r="AY18" s="252">
        <f>$Q$33*Table1[[#This Row],[Percentage of Total export for Billing Period (%)]]</f>
        <v>225.854297402069</v>
      </c>
      <c r="AZ18"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8" s="252">
        <f t="shared" si="12"/>
        <v>0</v>
      </c>
      <c r="BB18" s="252">
        <f>Table1[[#This Row],[Energy Losses When Export to Grid (kWh)]]*Table1[[#This Row],[Percentage of Total export for Billing Period (%)]]</f>
        <v>0</v>
      </c>
      <c r="BC18" s="252" t="e">
        <f>Table1[[#This Row],[Therotical Energy Export to Grid (kWh)]]-Table1[[#This Row],[Energy Losses When Export to Grid based up % total export (kWh)]]</f>
        <v>#N/A</v>
      </c>
      <c r="BD18" s="260">
        <f>AW18*'Tariff Rates'!$C$3</f>
        <v>-46.654286265019</v>
      </c>
      <c r="BE18" s="260">
        <f>Table1[[#This Row],[Common Service based upon % total export to battery (kWh)]]*'Tariff Rates'!$C$3</f>
        <v>-12.3984331027393</v>
      </c>
      <c r="BF18" s="260">
        <f>Table1[[#This Row],[EV Charger based upon % total export to battery (kWh)]]*'Tariff Rates'!$C$3</f>
        <v>-49.6879454284552</v>
      </c>
      <c r="BG18" s="273" t="e">
        <f>AT18*'Tariff Rates'!$C$3</f>
        <v>#N/A</v>
      </c>
      <c r="BH18" s="273">
        <f>Table1[[#This Row],[Borrowed Allowance Based on Unused Daily Allowance % (kWh)]]*'Tariff Rates'!$K$3</f>
        <v>-0.903734208435008</v>
      </c>
      <c r="BI18" s="273" t="e">
        <f>BC18*'Tariff Rates'!$F$3</f>
        <v>#N/A</v>
      </c>
      <c r="BJ18" s="273" t="e">
        <f t="shared" si="18"/>
        <v>#N/A</v>
      </c>
      <c r="BK18" s="274">
        <f>$D$52*Table1[[#This Row],[Percentage of Unit Entitlement (%)]]</f>
        <v>0</v>
      </c>
      <c r="BL18" s="275">
        <f>BK18*'Tariff Rates'!$H$3</f>
        <v>0</v>
      </c>
      <c r="BM18" s="275">
        <f>($Q$33)*Table1[[#This Row],[Percentage of Unit Entitlement (%)]]*'Tariff Rates'!$B$3</f>
        <v>30.16728</v>
      </c>
      <c r="BN18" s="275">
        <f t="shared" si="15"/>
        <v>30.16728</v>
      </c>
      <c r="BO18" s="275">
        <f t="shared" si="16"/>
        <v>0</v>
      </c>
      <c r="BP18" s="295">
        <f t="shared" si="17"/>
        <v>30.16728</v>
      </c>
      <c r="BQ18" s="296" t="e">
        <f t="shared" si="13"/>
        <v>#N/A</v>
      </c>
      <c r="BR18" s="303"/>
      <c r="BS18" s="304"/>
      <c r="BT18" s="299">
        <v>14</v>
      </c>
    </row>
    <row r="19" spans="1:72">
      <c r="A19" s="102">
        <v>15</v>
      </c>
      <c r="B19" s="96" t="str" cm="1">
        <f t="array" ref="B19">INDEX(Table_Household_Alloc[Owner],MATCH(1,(Table_Household_Alloc[Lot]=A19)*(Table_Household_Alloc[cluster]=$B$1),0))</f>
        <v>Jeﬀ &amp; Jo Thierfelder</v>
      </c>
      <c r="C19" s="97" cm="1">
        <f t="array" ref="C19">INDEX(Reading_import[Meter'#],MATCH(1,(Table_Household_Alloc[Lot]=A19)*(Table_Household_Alloc[cluster]=$B$1),0))</f>
        <v>50002714</v>
      </c>
      <c r="D19" s="98" cm="1">
        <f t="array" ref="D19">INDEX(Table_Household_Alloc[UE % over Cluster],MATCH(1,(Table_Household_Alloc[Lot]=A19)*(Table_Household_Alloc[cluster]=$B$1),0))</f>
        <v>0.053</v>
      </c>
      <c r="E19" s="99" t="str" cm="1">
        <f t="array" ref="E19">INDEX(Table_Household_Alloc[Stage of Dev.],MATCH(1,(Table_Household_Alloc[Lot]=A19)*(Table_Household_Alloc[cluster]=$B$1),0))</f>
        <v>UC</v>
      </c>
      <c r="F19" s="100" cm="1">
        <f t="array" ref="F19">INDEX(Amanda_energy[Daily_Supply_incl_GST],MATCH(1,(Amanda_energy[Cluster]=$B$1)*(Amanda_energy[Month]=$F$2),0))/MAX($A:$A)</f>
        <v>6.31481481481481</v>
      </c>
      <c r="G19" s="101" cm="1">
        <f t="array" ref="G19">INDEX(Amanda_energy[Daily_Supply_incl_GST],MATCH(1,(Amanda_energy[Cluster]=$B$1)*(Amanda_energy[Month]=$G$2),0))/MAX($A:$A)</f>
        <v>5.7037037037037</v>
      </c>
      <c r="H19" s="101" cm="1">
        <f t="array" ref="H19">INDEX(Amanda_energy[Daily_Supply_incl_GST],MATCH(1,(Amanda_energy[Cluster]=$B$1)*(Amanda_energy[Month]=$H$2),0))/MAX($A:$A)</f>
        <v>6.31481481481481</v>
      </c>
      <c r="I19" s="101">
        <f>$J$46/MAX($A:$A)</f>
        <v>1.67222222222222</v>
      </c>
      <c r="J19" s="168"/>
      <c r="K19" s="168"/>
      <c r="L19" s="168">
        <f>$L$3*'Tariff Rates'!$D$8*IF(Table1[[#This Row],[Stage of Dev.]]="V",0,1)</f>
        <v>19.8</v>
      </c>
      <c r="M19" s="169">
        <v>1.1</v>
      </c>
      <c r="N19" s="170">
        <f t="shared" si="1"/>
        <v>40.9055555555556</v>
      </c>
      <c r="O19" s="171" cm="1">
        <f t="array" ref="O19">INDEX(Reading_import[1/1/2025],MATCH(1,(Reading_import[Lot]=A19)*(Reading_import[cluster]=$B$1),0))</f>
        <v>571</v>
      </c>
      <c r="P19" s="172" cm="1">
        <f t="array" ref="P19">INDEX(Reading_import[01/04/2025],MATCH(1,(Reading_import[Lot]=A19)*(Reading_import[cluster]=$B$1),0))</f>
        <v>571</v>
      </c>
      <c r="Q19" s="189">
        <f>Table1[[#This Row],[Last day of reporting period: import]]-Table1[[#This Row],[1st day of reporting period: import]]</f>
        <v>0</v>
      </c>
      <c r="R19" s="190">
        <f t="shared" si="2"/>
        <v>0</v>
      </c>
      <c r="S19" s="191">
        <f t="shared" si="3"/>
        <v>0</v>
      </c>
      <c r="T19" s="192">
        <f>IF(Table1[[#This Row],[Stage of Dev.]]="V",0,233*Table1[[#This Row],[Percentage of Unit Entitlement (%)]])</f>
        <v>12.349</v>
      </c>
      <c r="U19" s="193">
        <f t="shared" si="4"/>
        <v>0</v>
      </c>
      <c r="V19" s="193">
        <f>Table1[[#This Row],[Daily Battery allowance based on UE% (kWh)]]-Table1[[#This Row],[Applicable Battery Allowance Daily Consumption (kWh)]]</f>
        <v>12.349</v>
      </c>
      <c r="W19" s="194">
        <f>Table1[[#This Row],[Unused Daily Allowance (kWh)]]/$V$38</f>
        <v>0.0944635540041256</v>
      </c>
      <c r="X19" s="193">
        <f>IF(Table1[[#This Row],[Applicable Battery Allowance Daily Consumption (kWh)]]&gt;Table1[[#This Row],[Total Daily Average Consumptio for Billing Period (kWh)]],Table1[[#This Row],[Total Consumption Import  (kWh)]],U19*$N$3)</f>
        <v>0</v>
      </c>
      <c r="Y19" s="209">
        <f>IF(Table1[[#This Row],[Applicable Battery Allowance Daily Consumption (kWh)]]&gt;0,ABS(Q19-X19),0)</f>
        <v>0</v>
      </c>
      <c r="Z19" s="210">
        <f>IFERROR(Table1[[#This Row],[Energy Exceeding Battery Allowance (kWh)]]/$Y$38,0)</f>
        <v>0</v>
      </c>
      <c r="AA19" s="211">
        <f t="shared" si="5"/>
        <v>835.34</v>
      </c>
      <c r="AB19" s="212">
        <f>IFERROR(Table1[[#This Row],[Total Cluster Energy Balance for P2P Trading (kWh)]]*Table1[[#This Row],[Energy Exceeding Battery Allowance %]],0)</f>
        <v>0</v>
      </c>
      <c r="AC19" s="213">
        <f>Table1[[#This Row],[P2P Import Consumption within Battery Allowance(kWh)]]+Table1[[#This Row],[P2P Import Consumption over Battery Allowance based on Energy Exceeding Allowance % (kWh)]]</f>
        <v>0</v>
      </c>
      <c r="AD19" s="213">
        <f>Table1[[#This Row],[Total Consumption Import  (kWh)]]-Table1[[#This Row],[Total P2P import (kWh)]]</f>
        <v>0</v>
      </c>
      <c r="AE19" s="214">
        <f>IFERROR(Table1[[#This Row],[Total P2P import (kWh)]]/$AC$38,0)</f>
        <v>0</v>
      </c>
      <c r="AF19" s="215">
        <f t="shared" si="6"/>
        <v>2476</v>
      </c>
      <c r="AG19" s="215">
        <f t="shared" si="7"/>
        <v>0</v>
      </c>
      <c r="AH19" s="226">
        <f t="shared" si="8"/>
        <v>658</v>
      </c>
      <c r="AI19" s="226">
        <f>Table1[[#This Row],[Cluster''s Total Common Services (kWh)]]*Table1[[#This Row],[Percentage of Unit Entitlement (%)]]</f>
        <v>34.874</v>
      </c>
      <c r="AJ19" s="227">
        <f>AG19*'Tariff Rates'!$B$3</f>
        <v>0</v>
      </c>
      <c r="AK19" s="227">
        <f>Table1[[#This Row],[Common Services based on Split per Unit Entitlement % to battery (kWh)]]*'Tariff Rates'!$B$3</f>
        <v>7.67228</v>
      </c>
      <c r="AL19" s="228">
        <f>Table1[[#This Row],[Total P2P import (kWh)]]*IF(Table1[[#This Row],[Total Lot Export (kWh)]]=0,'Tariff Rates'!$L$3,'Tariff Rates'!$B$3)</f>
        <v>0</v>
      </c>
      <c r="AM19" s="229">
        <f>Table1[[#This Row],[P2P Import Consumption over Battery Allowance based on Energy Exceeding Allowance % (kWh)]]*'Tariff Rates'!$J$3</f>
        <v>0</v>
      </c>
      <c r="AN19" s="230">
        <f>Table1[[#This Row],[Energy Import from Grid (kWh)]]*'Tariff Rates'!$E$3</f>
        <v>0</v>
      </c>
      <c r="AO19" s="247">
        <f t="shared" si="14"/>
        <v>7.67228</v>
      </c>
      <c r="AP19" s="248" cm="1">
        <f t="array" ref="AP19">INDEX(Reading_export[1/1/2025],MATCH(1,(Reading_export[Lot]=A19)*(Reading_export[cluster]=$B$1),0))</f>
        <v>0</v>
      </c>
      <c r="AQ19" s="248" cm="1">
        <f t="array" ref="AQ19">INDEX(Reading_export[01/04/2025],MATCH(1,(Reading_export[Lot]=A19)*(Reading_export[cluster]=$B$1),0))</f>
        <v>0</v>
      </c>
      <c r="AR19" s="249">
        <f>Table1[[#This Row],[Last day of reporting period: export]]-Table1[[#This Row],[1st day of reporting period: export]]</f>
        <v>0</v>
      </c>
      <c r="AS19" s="250">
        <f t="shared" si="9"/>
        <v>0</v>
      </c>
      <c r="AT19" s="251" t="e">
        <f>Table1[[#This Row],[Percentage of Total export for Billing Period (%)]]*$AC$38</f>
        <v>#N/A</v>
      </c>
      <c r="AU19" s="251">
        <f t="shared" si="10"/>
        <v>835.34</v>
      </c>
      <c r="AV19" s="252">
        <f>IFERROR(Table1[[#This Row],[Total Cluster Energy Balance for P2P Trading (kWh)2]]*Table1[[#This Row],[Unused Daily Allowance %]],0)</f>
        <v>78.9091852018063</v>
      </c>
      <c r="AW19" s="251">
        <f t="shared" si="11"/>
        <v>0</v>
      </c>
      <c r="AX19" s="252">
        <f>Table1[[#This Row],[Cluster''s Total Common Services (kWh)]]*Table1[[#This Row],[Percentage of Total export for Billing Period (%)]]</f>
        <v>0</v>
      </c>
      <c r="AY19" s="252">
        <f>$Q$33*Table1[[#This Row],[Percentage of Total export for Billing Period (%)]]</f>
        <v>0</v>
      </c>
      <c r="AZ19"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19" s="252">
        <f t="shared" si="12"/>
        <v>0</v>
      </c>
      <c r="BB19" s="252">
        <f>Table1[[#This Row],[Energy Losses When Export to Grid (kWh)]]*Table1[[#This Row],[Percentage of Total export for Billing Period (%)]]</f>
        <v>0</v>
      </c>
      <c r="BC19" s="252" t="e">
        <f>Table1[[#This Row],[Therotical Energy Export to Grid (kWh)]]-Table1[[#This Row],[Energy Losses When Export to Grid based up % total export (kWh)]]</f>
        <v>#N/A</v>
      </c>
      <c r="BD19" s="260">
        <f>AW19*'Tariff Rates'!$C$3</f>
        <v>0</v>
      </c>
      <c r="BE19" s="260">
        <f>Table1[[#This Row],[Common Service based upon % total export to battery (kWh)]]*'Tariff Rates'!$C$3</f>
        <v>0</v>
      </c>
      <c r="BF19" s="260">
        <f>Table1[[#This Row],[EV Charger based upon % total export to battery (kWh)]]*'Tariff Rates'!$C$3</f>
        <v>0</v>
      </c>
      <c r="BG19" s="273" t="e">
        <f>AT19*'Tariff Rates'!$C$3</f>
        <v>#N/A</v>
      </c>
      <c r="BH19" s="273">
        <f>Table1[[#This Row],[Borrowed Allowance Based on Unused Daily Allowance % (kWh)]]*'Tariff Rates'!$K$3</f>
        <v>-1.57818370403613</v>
      </c>
      <c r="BI19" s="273" t="e">
        <f>BC19*'Tariff Rates'!$F$3</f>
        <v>#N/A</v>
      </c>
      <c r="BJ19" s="273" t="e">
        <f t="shared" si="18"/>
        <v>#N/A</v>
      </c>
      <c r="BK19" s="274">
        <f>$D$52*Table1[[#This Row],[Percentage of Unit Entitlement (%)]]</f>
        <v>0</v>
      </c>
      <c r="BL19" s="275">
        <f>BK19*'Tariff Rates'!$H$3</f>
        <v>0</v>
      </c>
      <c r="BM19" s="275">
        <f>($Q$33)*Table1[[#This Row],[Percentage of Unit Entitlement (%)]]*'Tariff Rates'!$B$3</f>
        <v>30.74742</v>
      </c>
      <c r="BN19" s="275">
        <f t="shared" si="15"/>
        <v>30.74742</v>
      </c>
      <c r="BO19" s="275">
        <f t="shared" si="16"/>
        <v>0</v>
      </c>
      <c r="BP19" s="295">
        <f t="shared" si="17"/>
        <v>30.74742</v>
      </c>
      <c r="BQ19" s="296" t="e">
        <f t="shared" si="13"/>
        <v>#N/A</v>
      </c>
      <c r="BR19" s="300"/>
      <c r="BS19" s="301"/>
      <c r="BT19" s="302">
        <v>15</v>
      </c>
    </row>
    <row r="20" spans="1:72">
      <c r="A20" s="95">
        <v>16</v>
      </c>
      <c r="B20" s="96" t="str" cm="1">
        <f t="array" ref="B20">INDEX(Table_Household_Alloc[Owner],MATCH(1,(Table_Household_Alloc[Lot]=A20)*(Table_Household_Alloc[cluster]=$B$1),0))</f>
        <v>Libby Davy</v>
      </c>
      <c r="C20" s="97" cm="1">
        <f t="array" ref="C20">INDEX(Reading_import[Meter'#],MATCH(1,(Table_Household_Alloc[Lot]=A20)*(Table_Household_Alloc[cluster]=$B$1),0))</f>
        <v>50002855</v>
      </c>
      <c r="D20" s="98" cm="1">
        <f t="array" ref="D20">INDEX(Table_Household_Alloc[UE % over Cluster],MATCH(1,(Table_Household_Alloc[Lot]=A20)*(Table_Household_Alloc[cluster]=$B$1),0))</f>
        <v>0.055</v>
      </c>
      <c r="E20" s="99" t="str" cm="1">
        <f t="array" ref="E20">INDEX(Table_Household_Alloc[Stage of Dev.],MATCH(1,(Table_Household_Alloc[Lot]=A20)*(Table_Household_Alloc[cluster]=$B$1),0))</f>
        <v>O</v>
      </c>
      <c r="F20" s="100" cm="1">
        <f t="array" ref="F20">INDEX(Amanda_energy[Daily_Supply_incl_GST],MATCH(1,(Amanda_energy[Cluster]=$B$1)*(Amanda_energy[Month]=$F$2),0))/MAX($A:$A)</f>
        <v>6.31481481481481</v>
      </c>
      <c r="G20" s="101" cm="1">
        <f t="array" ref="G20">INDEX(Amanda_energy[Daily_Supply_incl_GST],MATCH(1,(Amanda_energy[Cluster]=$B$1)*(Amanda_energy[Month]=$G$2),0))/MAX($A:$A)</f>
        <v>5.7037037037037</v>
      </c>
      <c r="H20" s="101" cm="1">
        <f t="array" ref="H20">INDEX(Amanda_energy[Daily_Supply_incl_GST],MATCH(1,(Amanda_energy[Cluster]=$B$1)*(Amanda_energy[Month]=$H$2),0))/MAX($A:$A)</f>
        <v>6.31481481481481</v>
      </c>
      <c r="I20" s="101">
        <f>$J$46/MAX($A:$A)</f>
        <v>1.67222222222222</v>
      </c>
      <c r="J20" s="168"/>
      <c r="K20" s="168"/>
      <c r="L20" s="168">
        <f>$L$3*'Tariff Rates'!$D$8*IF(Table1[[#This Row],[Stage of Dev.]]="V",0,1)</f>
        <v>19.8</v>
      </c>
      <c r="M20" s="169">
        <v>1.1</v>
      </c>
      <c r="N20" s="170">
        <f t="shared" si="1"/>
        <v>40.9055555555556</v>
      </c>
      <c r="O20" s="171" cm="1">
        <f t="array" ref="O20">INDEX(Reading_import[1/1/2025],MATCH(1,(Reading_import[Lot]=A20)*(Reading_import[cluster]=$B$1),0))</f>
        <v>2536</v>
      </c>
      <c r="P20" s="172" cm="1">
        <f t="array" ref="P20">INDEX(Reading_import[01/04/2025],MATCH(1,(Reading_import[Lot]=A20)*(Reading_import[cluster]=$B$1),0))</f>
        <v>3048</v>
      </c>
      <c r="Q20" s="189">
        <f>Table1[[#This Row],[Last day of reporting period: import]]-Table1[[#This Row],[1st day of reporting period: import]]</f>
        <v>512</v>
      </c>
      <c r="R20" s="190">
        <f t="shared" si="2"/>
        <v>5.68888888888889</v>
      </c>
      <c r="S20" s="191">
        <f t="shared" si="3"/>
        <v>0.0570664288898796</v>
      </c>
      <c r="T20" s="192">
        <f>IF(Table1[[#This Row],[Stage of Dev.]]="V",0,233*Table1[[#This Row],[Percentage of Unit Entitlement (%)]])</f>
        <v>12.815</v>
      </c>
      <c r="U20" s="193">
        <f t="shared" si="4"/>
        <v>5.68888888888889</v>
      </c>
      <c r="V20" s="193">
        <f>Table1[[#This Row],[Daily Battery allowance based on UE% (kWh)]]-Table1[[#This Row],[Applicable Battery Allowance Daily Consumption (kWh)]]</f>
        <v>7.12611111111111</v>
      </c>
      <c r="W20" s="194">
        <f>Table1[[#This Row],[Unused Daily Allowance (kWh)]]/$V$38</f>
        <v>0.054511116834063</v>
      </c>
      <c r="X20" s="193">
        <f>IF(Table1[[#This Row],[Applicable Battery Allowance Daily Consumption (kWh)]]&gt;Table1[[#This Row],[Total Daily Average Consumptio for Billing Period (kWh)]],Table1[[#This Row],[Total Consumption Import  (kWh)]],U20*$N$3)</f>
        <v>512</v>
      </c>
      <c r="Y20" s="209">
        <f>IF(Table1[[#This Row],[Applicable Battery Allowance Daily Consumption (kWh)]]&gt;0,ABS(Q20-X20),0)</f>
        <v>0</v>
      </c>
      <c r="Z20" s="210">
        <f>IFERROR(Table1[[#This Row],[Energy Exceeding Battery Allowance (kWh)]]/$Y$38,0)</f>
        <v>0</v>
      </c>
      <c r="AA20" s="211">
        <f t="shared" si="5"/>
        <v>835.34</v>
      </c>
      <c r="AB20" s="212">
        <f>IFERROR(Table1[[#This Row],[Total Cluster Energy Balance for P2P Trading (kWh)]]*Table1[[#This Row],[Energy Exceeding Battery Allowance %]],0)</f>
        <v>0</v>
      </c>
      <c r="AC20" s="213">
        <f>Table1[[#This Row],[P2P Import Consumption within Battery Allowance(kWh)]]+Table1[[#This Row],[P2P Import Consumption over Battery Allowance based on Energy Exceeding Allowance % (kWh)]]</f>
        <v>512</v>
      </c>
      <c r="AD20" s="213">
        <f>Table1[[#This Row],[Total Consumption Import  (kWh)]]-Table1[[#This Row],[Total P2P import (kWh)]]</f>
        <v>0</v>
      </c>
      <c r="AE20" s="214">
        <f>IFERROR(Table1[[#This Row],[Total P2P import (kWh)]]/$AC$38,0)</f>
        <v>0</v>
      </c>
      <c r="AF20" s="215">
        <f t="shared" si="6"/>
        <v>2476</v>
      </c>
      <c r="AG20" s="215">
        <f t="shared" si="7"/>
        <v>0</v>
      </c>
      <c r="AH20" s="226">
        <f t="shared" si="8"/>
        <v>658</v>
      </c>
      <c r="AI20" s="226">
        <f>Table1[[#This Row],[Cluster''s Total Common Services (kWh)]]*Table1[[#This Row],[Percentage of Unit Entitlement (%)]]</f>
        <v>36.19</v>
      </c>
      <c r="AJ20" s="227">
        <f>AG20*'Tariff Rates'!$B$3</f>
        <v>0</v>
      </c>
      <c r="AK20" s="227">
        <f>Table1[[#This Row],[Common Services based on Split per Unit Entitlement % to battery (kWh)]]*'Tariff Rates'!$B$3</f>
        <v>7.9618</v>
      </c>
      <c r="AL20" s="228">
        <f>Table1[[#This Row],[Total P2P import (kWh)]]*IF(Table1[[#This Row],[Total Lot Export (kWh)]]=0,'Tariff Rates'!$L$3,'Tariff Rates'!$B$3)</f>
        <v>112.64</v>
      </c>
      <c r="AM20" s="229">
        <f>Table1[[#This Row],[P2P Import Consumption over Battery Allowance based on Energy Exceeding Allowance % (kWh)]]*'Tariff Rates'!$J$3</f>
        <v>0</v>
      </c>
      <c r="AN20" s="230">
        <f>Table1[[#This Row],[Energy Import from Grid (kWh)]]*'Tariff Rates'!$E$3</f>
        <v>0</v>
      </c>
      <c r="AO20" s="247">
        <f t="shared" si="14"/>
        <v>120.6018</v>
      </c>
      <c r="AP20" s="248" cm="1">
        <f t="array" ref="AP20">INDEX(Reading_export[1/1/2025],MATCH(1,(Reading_export[Lot]=A20)*(Reading_export[cluster]=$B$1),0))</f>
        <v>7804</v>
      </c>
      <c r="AQ20" s="248" cm="1">
        <f t="array" ref="AQ20">INDEX(Reading_export[01/04/2025],MATCH(1,(Reading_export[Lot]=A20)*(Reading_export[cluster]=$B$1),0))</f>
        <v>10186</v>
      </c>
      <c r="AR20" s="249">
        <f>Table1[[#This Row],[Last day of reporting period: export]]-Table1[[#This Row],[1st day of reporting period: export]]</f>
        <v>2382</v>
      </c>
      <c r="AS20" s="250">
        <f t="shared" si="9"/>
        <v>0.0510162558094708</v>
      </c>
      <c r="AT20" s="251" t="e">
        <f>Table1[[#This Row],[Percentage of Total export for Billing Period (%)]]*$AC$38</f>
        <v>#N/A</v>
      </c>
      <c r="AU20" s="251">
        <f t="shared" si="10"/>
        <v>835.34</v>
      </c>
      <c r="AV20" s="252">
        <f>IFERROR(Table1[[#This Row],[Total Cluster Energy Balance for P2P Trading (kWh)2]]*Table1[[#This Row],[Unused Daily Allowance %]],0)</f>
        <v>45.5353163361662</v>
      </c>
      <c r="AW20" s="251">
        <f t="shared" si="11"/>
        <v>126.31624938425</v>
      </c>
      <c r="AX20" s="252">
        <f>Table1[[#This Row],[Cluster''s Total Common Services (kWh)]]*Table1[[#This Row],[Percentage of Total export for Billing Period (%)]]</f>
        <v>33.5686963226318</v>
      </c>
      <c r="AY20" s="252">
        <f>$Q$33*Table1[[#This Row],[Percentage of Total export for Billing Period (%)]]</f>
        <v>134.529866569574</v>
      </c>
      <c r="AZ20"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0" s="252">
        <f t="shared" si="12"/>
        <v>0</v>
      </c>
      <c r="BB20" s="252">
        <f>Table1[[#This Row],[Energy Losses When Export to Grid (kWh)]]*Table1[[#This Row],[Percentage of Total export for Billing Period (%)]]</f>
        <v>0</v>
      </c>
      <c r="BC20" s="252" t="e">
        <f>Table1[[#This Row],[Therotical Energy Export to Grid (kWh)]]-Table1[[#This Row],[Energy Losses When Export to Grid based up % total export (kWh)]]</f>
        <v>#N/A</v>
      </c>
      <c r="BD20" s="260">
        <f>AW20*'Tariff Rates'!$C$3</f>
        <v>-27.7895748645349</v>
      </c>
      <c r="BE20" s="260">
        <f>Table1[[#This Row],[Common Service based upon % total export to battery (kWh)]]*'Tariff Rates'!$C$3</f>
        <v>-7.38511319097899</v>
      </c>
      <c r="BF20" s="260">
        <f>Table1[[#This Row],[EV Charger based upon % total export to battery (kWh)]]*'Tariff Rates'!$C$3</f>
        <v>-29.5965706453064</v>
      </c>
      <c r="BG20" s="273" t="e">
        <f>AT20*'Tariff Rates'!$C$3</f>
        <v>#N/A</v>
      </c>
      <c r="BH20" s="273">
        <f>Table1[[#This Row],[Borrowed Allowance Based on Unused Daily Allowance % (kWh)]]*'Tariff Rates'!$K$3</f>
        <v>-0.910706326723324</v>
      </c>
      <c r="BI20" s="273" t="e">
        <f>BC20*'Tariff Rates'!$F$3</f>
        <v>#N/A</v>
      </c>
      <c r="BJ20" s="273" t="e">
        <f t="shared" si="18"/>
        <v>#N/A</v>
      </c>
      <c r="BK20" s="274">
        <f>$D$52*Table1[[#This Row],[Percentage of Unit Entitlement (%)]]</f>
        <v>0</v>
      </c>
      <c r="BL20" s="275">
        <f>BK20*'Tariff Rates'!$H$3</f>
        <v>0</v>
      </c>
      <c r="BM20" s="275">
        <f>($Q$33)*Table1[[#This Row],[Percentage of Unit Entitlement (%)]]*'Tariff Rates'!$B$3</f>
        <v>31.9077</v>
      </c>
      <c r="BN20" s="275">
        <f t="shared" si="15"/>
        <v>31.9077</v>
      </c>
      <c r="BO20" s="275">
        <f t="shared" si="16"/>
        <v>0</v>
      </c>
      <c r="BP20" s="295">
        <f t="shared" si="17"/>
        <v>31.9077</v>
      </c>
      <c r="BQ20" s="296" t="e">
        <f t="shared" si="13"/>
        <v>#N/A</v>
      </c>
      <c r="BR20" s="303"/>
      <c r="BS20" s="304"/>
      <c r="BT20" s="299">
        <v>16</v>
      </c>
    </row>
    <row r="21" spans="1:72">
      <c r="A21" s="95">
        <v>17</v>
      </c>
      <c r="B21" s="96" t="str" cm="1">
        <f t="array" ref="B21">INDEX(Table_Household_Alloc[Owner],MATCH(1,(Table_Household_Alloc[Lot]=A21)*(Table_Household_Alloc[cluster]=$B$1),0))</f>
        <v>Henry &amp; Jo Weldon</v>
      </c>
      <c r="C21" s="97" cm="1">
        <f t="array" ref="C21">INDEX(Reading_import[Meter'#],MATCH(1,(Table_Household_Alloc[Lot]=A21)*(Table_Household_Alloc[cluster]=$B$1),0))</f>
        <v>50002877</v>
      </c>
      <c r="D21" s="98" cm="1">
        <f t="array" ref="D21">INDEX(Table_Household_Alloc[UE % over Cluster],MATCH(1,(Table_Household_Alloc[Lot]=A21)*(Table_Household_Alloc[cluster]=$B$1),0))</f>
        <v>0.055</v>
      </c>
      <c r="E21" s="99" t="str" cm="1">
        <f t="array" ref="E21">INDEX(Table_Household_Alloc[Stage of Dev.],MATCH(1,(Table_Household_Alloc[Lot]=A21)*(Table_Household_Alloc[cluster]=$B$1),0))</f>
        <v>O</v>
      </c>
      <c r="F21" s="100" cm="1">
        <f t="array" ref="F21">INDEX(Amanda_energy[Daily_Supply_incl_GST],MATCH(1,(Amanda_energy[Cluster]=$B$1)*(Amanda_energy[Month]=$F$2),0))/MAX($A:$A)</f>
        <v>6.31481481481481</v>
      </c>
      <c r="G21" s="101" cm="1">
        <f t="array" ref="G21">INDEX(Amanda_energy[Daily_Supply_incl_GST],MATCH(1,(Amanda_energy[Cluster]=$B$1)*(Amanda_energy[Month]=$G$2),0))/MAX($A:$A)</f>
        <v>5.7037037037037</v>
      </c>
      <c r="H21" s="101" cm="1">
        <f t="array" ref="H21">INDEX(Amanda_energy[Daily_Supply_incl_GST],MATCH(1,(Amanda_energy[Cluster]=$B$1)*(Amanda_energy[Month]=$H$2),0))/MAX($A:$A)</f>
        <v>6.31481481481481</v>
      </c>
      <c r="I21" s="101">
        <f>$J$46/MAX($A:$A)</f>
        <v>1.67222222222222</v>
      </c>
      <c r="J21" s="168"/>
      <c r="K21" s="168"/>
      <c r="L21" s="168">
        <f>$L$3*'Tariff Rates'!$D$8*IF(Table1[[#This Row],[Stage of Dev.]]="V",0,1)</f>
        <v>19.8</v>
      </c>
      <c r="M21" s="169">
        <v>1.1</v>
      </c>
      <c r="N21" s="170">
        <f t="shared" si="1"/>
        <v>40.9055555555556</v>
      </c>
      <c r="O21" s="171" cm="1">
        <f t="array" ref="O21">INDEX(Reading_import[1/1/2025],MATCH(1,(Reading_import[Lot]=A21)*(Reading_import[cluster]=$B$1),0))</f>
        <v>20977</v>
      </c>
      <c r="P21" s="172" cm="1">
        <f t="array" ref="P21">INDEX(Reading_import[01/04/2025],MATCH(1,(Reading_import[Lot]=A21)*(Reading_import[cluster]=$B$1),0))</f>
        <v>22723</v>
      </c>
      <c r="Q21" s="189">
        <f>Table1[[#This Row],[Last day of reporting period: import]]-Table1[[#This Row],[1st day of reporting period: import]]</f>
        <v>1746</v>
      </c>
      <c r="R21" s="190">
        <f t="shared" ref="R21:R25" si="19">Q21/$N$3</f>
        <v>19.4</v>
      </c>
      <c r="S21" s="191">
        <f t="shared" si="3"/>
        <v>0.194605439144004</v>
      </c>
      <c r="T21" s="192">
        <f>IF(Table1[[#This Row],[Stage of Dev.]]="V",0,233*Table1[[#This Row],[Percentage of Unit Entitlement (%)]])</f>
        <v>12.815</v>
      </c>
      <c r="U21" s="193">
        <f t="shared" ref="U21:U25" si="20">IF(T21&gt;R21,R21,T21)</f>
        <v>12.815</v>
      </c>
      <c r="V21" s="193">
        <f>Table1[[#This Row],[Daily Battery allowance based on UE% (kWh)]]-Table1[[#This Row],[Applicable Battery Allowance Daily Consumption (kWh)]]</f>
        <v>0</v>
      </c>
      <c r="W21" s="194">
        <f>Table1[[#This Row],[Unused Daily Allowance (kWh)]]/$V$38</f>
        <v>0</v>
      </c>
      <c r="X21" s="193">
        <f>IF(Table1[[#This Row],[Applicable Battery Allowance Daily Consumption (kWh)]]&gt;Table1[[#This Row],[Total Daily Average Consumptio for Billing Period (kWh)]],Table1[[#This Row],[Total Consumption Import  (kWh)]],U21*$N$3)</f>
        <v>1153.35</v>
      </c>
      <c r="Y21" s="209">
        <f>IF(Table1[[#This Row],[Applicable Battery Allowance Daily Consumption (kWh)]]&gt;0,ABS(Q21-X21),0)</f>
        <v>592.65</v>
      </c>
      <c r="Z21" s="210">
        <f>IFERROR(Table1[[#This Row],[Energy Exceeding Battery Allowance (kWh)]]/$Y$38,0)</f>
        <v>0.64359715042787</v>
      </c>
      <c r="AA21" s="211">
        <f t="shared" si="5"/>
        <v>835.34</v>
      </c>
      <c r="AB21" s="212">
        <f>IFERROR(Table1[[#This Row],[Total Cluster Energy Balance for P2P Trading (kWh)]]*Table1[[#This Row],[Energy Exceeding Battery Allowance %]],0)</f>
        <v>537.622443638417</v>
      </c>
      <c r="AC21" s="213">
        <f>Table1[[#This Row],[P2P Import Consumption within Battery Allowance(kWh)]]+Table1[[#This Row],[P2P Import Consumption over Battery Allowance based on Energy Exceeding Allowance % (kWh)]]</f>
        <v>1690.97244363842</v>
      </c>
      <c r="AD21" s="213">
        <f>Table1[[#This Row],[Total Consumption Import  (kWh)]]-Table1[[#This Row],[Total P2P import (kWh)]]</f>
        <v>55.0275563615828</v>
      </c>
      <c r="AE21" s="214">
        <f>IFERROR(Table1[[#This Row],[Total P2P import (kWh)]]/$AC$38,0)</f>
        <v>0</v>
      </c>
      <c r="AF21" s="215">
        <f t="shared" si="6"/>
        <v>2476</v>
      </c>
      <c r="AG21" s="215">
        <f t="shared" ref="AG21:AG25" si="21">AF21*AE21</f>
        <v>0</v>
      </c>
      <c r="AH21" s="226">
        <f t="shared" si="8"/>
        <v>658</v>
      </c>
      <c r="AI21" s="226">
        <f>Table1[[#This Row],[Cluster''s Total Common Services (kWh)]]*Table1[[#This Row],[Percentage of Unit Entitlement (%)]]</f>
        <v>36.19</v>
      </c>
      <c r="AJ21" s="227">
        <f>AG21*'Tariff Rates'!$B$3</f>
        <v>0</v>
      </c>
      <c r="AK21" s="227">
        <f>Table1[[#This Row],[Common Services based on Split per Unit Entitlement % to battery (kWh)]]*'Tariff Rates'!$B$3</f>
        <v>7.9618</v>
      </c>
      <c r="AL21" s="228">
        <f>Table1[[#This Row],[Total P2P import (kWh)]]*IF(Table1[[#This Row],[Total Lot Export (kWh)]]=0,'Tariff Rates'!$L$3,'Tariff Rates'!$B$3)</f>
        <v>372.013937600452</v>
      </c>
      <c r="AM21" s="229">
        <f>Table1[[#This Row],[P2P Import Consumption over Battery Allowance based on Energy Exceeding Allowance % (kWh)]]*'Tariff Rates'!$J$3</f>
        <v>10.7524488727683</v>
      </c>
      <c r="AN21" s="230">
        <f>Table1[[#This Row],[Energy Import from Grid (kWh)]]*'Tariff Rates'!$E$3</f>
        <v>16.5082669084748</v>
      </c>
      <c r="AO21" s="247">
        <f t="shared" ref="AO21:AO25" si="22">SUM(AJ21:AN21)</f>
        <v>407.236453381695</v>
      </c>
      <c r="AP21" s="248" cm="1">
        <f t="array" ref="AP21">INDEX(Reading_export[1/1/2025],MATCH(1,(Reading_export[Lot]=A21)*(Reading_export[cluster]=$B$1),0))</f>
        <v>12029</v>
      </c>
      <c r="AQ21" s="248" cm="1">
        <f t="array" ref="AQ21">INDEX(Reading_export[01/04/2025],MATCH(1,(Reading_export[Lot]=A21)*(Reading_export[cluster]=$B$1),0))</f>
        <v>14923</v>
      </c>
      <c r="AR21" s="249">
        <f>Table1[[#This Row],[Last day of reporting period: export]]-Table1[[#This Row],[1st day of reporting period: export]]</f>
        <v>2894</v>
      </c>
      <c r="AS21" s="250">
        <f t="shared" si="9"/>
        <v>0.0619819665460153</v>
      </c>
      <c r="AT21" s="251" t="e">
        <f>Table1[[#This Row],[Percentage of Total export for Billing Period (%)]]*$AC$38</f>
        <v>#N/A</v>
      </c>
      <c r="AU21" s="251">
        <f t="shared" si="10"/>
        <v>835.34</v>
      </c>
      <c r="AV21" s="252">
        <f>IFERROR(Table1[[#This Row],[Total Cluster Energy Balance for P2P Trading (kWh)2]]*Table1[[#This Row],[Unused Daily Allowance %]],0)</f>
        <v>0</v>
      </c>
      <c r="AW21" s="251">
        <f t="shared" ref="AW21:AW25" si="23">AS21*AF21</f>
        <v>153.467349167934</v>
      </c>
      <c r="AX21" s="252">
        <f>Table1[[#This Row],[Cluster''s Total Common Services (kWh)]]*Table1[[#This Row],[Percentage of Total export for Billing Period (%)]]</f>
        <v>40.7841339872781</v>
      </c>
      <c r="AY21" s="252">
        <f>$Q$33*Table1[[#This Row],[Percentage of Total export for Billing Period (%)]]</f>
        <v>163.446445781842</v>
      </c>
      <c r="AZ21"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1" s="252">
        <f t="shared" si="12"/>
        <v>0</v>
      </c>
      <c r="BB21" s="252">
        <f>Table1[[#This Row],[Energy Losses When Export to Grid (kWh)]]*Table1[[#This Row],[Percentage of Total export for Billing Period (%)]]</f>
        <v>0</v>
      </c>
      <c r="BC21" s="252" t="e">
        <f>Table1[[#This Row],[Therotical Energy Export to Grid (kWh)]]-Table1[[#This Row],[Energy Losses When Export to Grid based up % total export (kWh)]]</f>
        <v>#N/A</v>
      </c>
      <c r="BD21" s="260">
        <f>AW21*'Tariff Rates'!$C$3</f>
        <v>-33.7628168169455</v>
      </c>
      <c r="BE21" s="260">
        <f>Table1[[#This Row],[Common Service based upon % total export to battery (kWh)]]*'Tariff Rates'!$C$3</f>
        <v>-8.97250947720117</v>
      </c>
      <c r="BF21" s="260">
        <f>Table1[[#This Row],[EV Charger based upon % total export to battery (kWh)]]*'Tariff Rates'!$C$3</f>
        <v>-35.9582180720053</v>
      </c>
      <c r="BG21" s="273" t="e">
        <f>AT21*'Tariff Rates'!$C$3</f>
        <v>#N/A</v>
      </c>
      <c r="BH21" s="273">
        <f>Table1[[#This Row],[Borrowed Allowance Based on Unused Daily Allowance % (kWh)]]*'Tariff Rates'!$K$3</f>
        <v>0</v>
      </c>
      <c r="BI21" s="273" t="e">
        <f>BC21*'Tariff Rates'!$F$3</f>
        <v>#N/A</v>
      </c>
      <c r="BJ21" s="273" t="e">
        <f t="shared" si="18"/>
        <v>#N/A</v>
      </c>
      <c r="BK21" s="274">
        <f>$D$52*Table1[[#This Row],[Percentage of Unit Entitlement (%)]]</f>
        <v>0</v>
      </c>
      <c r="BL21" s="275">
        <f>BK21*'Tariff Rates'!$H$3</f>
        <v>0</v>
      </c>
      <c r="BM21" s="275">
        <f>($Q$33)*Table1[[#This Row],[Percentage of Unit Entitlement (%)]]*'Tariff Rates'!$B$3</f>
        <v>31.9077</v>
      </c>
      <c r="BN21" s="275">
        <f t="shared" ref="BN21:BN25" si="24">SUM(BM21,BL21)</f>
        <v>31.9077</v>
      </c>
      <c r="BO21" s="275">
        <f t="shared" ref="BO21:BO25" si="25">BK21</f>
        <v>0</v>
      </c>
      <c r="BP21" s="295">
        <f t="shared" ref="BP21:BP25" si="26">BO21+BN21</f>
        <v>31.9077</v>
      </c>
      <c r="BQ21" s="296" t="e">
        <f t="shared" si="13"/>
        <v>#N/A</v>
      </c>
      <c r="BR21" s="303"/>
      <c r="BS21" s="304"/>
      <c r="BT21" s="299">
        <v>14</v>
      </c>
    </row>
    <row r="22" spans="1:72">
      <c r="A22" s="95">
        <v>18</v>
      </c>
      <c r="B22" s="96" t="str" cm="1">
        <f t="array" ref="B22">INDEX(Table_Household_Alloc[Owner],MATCH(1,(Table_Household_Alloc[Lot]=A22)*(Table_Household_Alloc[cluster]=$B$1),0))</f>
        <v>Liz Kirk</v>
      </c>
      <c r="C22" s="97" cm="1">
        <f t="array" ref="C22">INDEX(Reading_import[Meter'#],MATCH(1,(Table_Household_Alloc[Lot]=A22)*(Table_Household_Alloc[cluster]=$B$1),0))</f>
        <v>0</v>
      </c>
      <c r="D22" s="98" cm="1">
        <f t="array" ref="D22">INDEX(Table_Household_Alloc[UE % over Cluster],MATCH(1,(Table_Household_Alloc[Lot]=A22)*(Table_Household_Alloc[cluster]=$B$1),0))</f>
        <v>0.055</v>
      </c>
      <c r="E22" s="99" t="str" cm="1">
        <f t="array" ref="E22">INDEX(Table_Household_Alloc[Stage of Dev.],MATCH(1,(Table_Household_Alloc[Lot]=A22)*(Table_Household_Alloc[cluster]=$B$1),0))</f>
        <v>V</v>
      </c>
      <c r="F22" s="100" cm="1">
        <f t="array" ref="F22">INDEX(Amanda_energy[Daily_Supply_incl_GST],MATCH(1,(Amanda_energy[Cluster]=$B$1)*(Amanda_energy[Month]=$F$2),0))/MAX($A:$A)</f>
        <v>6.31481481481481</v>
      </c>
      <c r="G22" s="101" cm="1">
        <f t="array" ref="G22">INDEX(Amanda_energy[Daily_Supply_incl_GST],MATCH(1,(Amanda_energy[Cluster]=$B$1)*(Amanda_energy[Month]=$G$2),0))/MAX($A:$A)</f>
        <v>5.7037037037037</v>
      </c>
      <c r="H22" s="101" cm="1">
        <f t="array" ref="H22">INDEX(Amanda_energy[Daily_Supply_incl_GST],MATCH(1,(Amanda_energy[Cluster]=$B$1)*(Amanda_energy[Month]=$H$2),0))/MAX($A:$A)</f>
        <v>6.31481481481481</v>
      </c>
      <c r="I22" s="101">
        <f>$J$46/MAX($A:$A)</f>
        <v>1.67222222222222</v>
      </c>
      <c r="J22" s="168"/>
      <c r="K22" s="168"/>
      <c r="L22" s="168">
        <f>$L$3*'Tariff Rates'!$D$8*IF(Table1[[#This Row],[Stage of Dev.]]="V",0,1)</f>
        <v>0</v>
      </c>
      <c r="M22" s="169">
        <v>1.1</v>
      </c>
      <c r="N22" s="170">
        <f t="shared" si="1"/>
        <v>21.1055555555556</v>
      </c>
      <c r="O22" s="171" cm="1">
        <f t="array" ref="O22">INDEX(Reading_import[1/1/2025],MATCH(1,(Reading_import[Lot]=A22)*(Reading_import[cluster]=$B$1),0))</f>
        <v>0</v>
      </c>
      <c r="P22" s="172" cm="1">
        <f t="array" ref="P22">INDEX(Reading_import[01/04/2025],MATCH(1,(Reading_import[Lot]=A22)*(Reading_import[cluster]=$B$1),0))</f>
        <v>0</v>
      </c>
      <c r="Q22" s="189">
        <f>Table1[[#This Row],[Last day of reporting period: import]]-Table1[[#This Row],[1st day of reporting period: import]]</f>
        <v>0</v>
      </c>
      <c r="R22" s="190">
        <f t="shared" si="19"/>
        <v>0</v>
      </c>
      <c r="S22" s="191">
        <f t="shared" si="3"/>
        <v>0</v>
      </c>
      <c r="T22" s="192">
        <f>IF(Table1[[#This Row],[Stage of Dev.]]="V",0,233*Table1[[#This Row],[Percentage of Unit Entitlement (%)]])</f>
        <v>0</v>
      </c>
      <c r="U22" s="193">
        <f t="shared" si="20"/>
        <v>0</v>
      </c>
      <c r="V22" s="193">
        <f>Table1[[#This Row],[Daily Battery allowance based on UE% (kWh)]]-Table1[[#This Row],[Applicable Battery Allowance Daily Consumption (kWh)]]</f>
        <v>0</v>
      </c>
      <c r="W22" s="194">
        <f>Table1[[#This Row],[Unused Daily Allowance (kWh)]]/$V$38</f>
        <v>0</v>
      </c>
      <c r="X22" s="193">
        <f>IF(Table1[[#This Row],[Applicable Battery Allowance Daily Consumption (kWh)]]&gt;Table1[[#This Row],[Total Daily Average Consumptio for Billing Period (kWh)]],Table1[[#This Row],[Total Consumption Import  (kWh)]],U22*$N$3)</f>
        <v>0</v>
      </c>
      <c r="Y22" s="209">
        <f>IF(Table1[[#This Row],[Applicable Battery Allowance Daily Consumption (kWh)]]&gt;0,ABS(Q22-X22),0)</f>
        <v>0</v>
      </c>
      <c r="Z22" s="210">
        <f>IFERROR(Table1[[#This Row],[Energy Exceeding Battery Allowance (kWh)]]/$Y$38,0)</f>
        <v>0</v>
      </c>
      <c r="AA22" s="211">
        <f t="shared" si="5"/>
        <v>835.34</v>
      </c>
      <c r="AB22" s="212">
        <f>IFERROR(Table1[[#This Row],[Total Cluster Energy Balance for P2P Trading (kWh)]]*Table1[[#This Row],[Energy Exceeding Battery Allowance %]],0)</f>
        <v>0</v>
      </c>
      <c r="AC22" s="213">
        <f>Table1[[#This Row],[P2P Import Consumption within Battery Allowance(kWh)]]+Table1[[#This Row],[P2P Import Consumption over Battery Allowance based on Energy Exceeding Allowance % (kWh)]]</f>
        <v>0</v>
      </c>
      <c r="AD22" s="213">
        <f>Table1[[#This Row],[Total Consumption Import  (kWh)]]-Table1[[#This Row],[Total P2P import (kWh)]]</f>
        <v>0</v>
      </c>
      <c r="AE22" s="214">
        <f>IFERROR(Table1[[#This Row],[Total P2P import (kWh)]]/$AC$38,0)</f>
        <v>0</v>
      </c>
      <c r="AF22" s="215">
        <f t="shared" si="6"/>
        <v>2476</v>
      </c>
      <c r="AG22" s="215">
        <f t="shared" si="21"/>
        <v>0</v>
      </c>
      <c r="AH22" s="226">
        <f t="shared" si="8"/>
        <v>658</v>
      </c>
      <c r="AI22" s="226">
        <f>Table1[[#This Row],[Cluster''s Total Common Services (kWh)]]*Table1[[#This Row],[Percentage of Unit Entitlement (%)]]</f>
        <v>36.19</v>
      </c>
      <c r="AJ22" s="227">
        <f>AG22*'Tariff Rates'!$B$3</f>
        <v>0</v>
      </c>
      <c r="AK22" s="227">
        <f>Table1[[#This Row],[Common Services based on Split per Unit Entitlement % to battery (kWh)]]*'Tariff Rates'!$B$3</f>
        <v>7.9618</v>
      </c>
      <c r="AL22" s="228">
        <f>Table1[[#This Row],[Total P2P import (kWh)]]*IF(Table1[[#This Row],[Total Lot Export (kWh)]]=0,'Tariff Rates'!$L$3,'Tariff Rates'!$B$3)</f>
        <v>0</v>
      </c>
      <c r="AM22" s="229">
        <f>Table1[[#This Row],[P2P Import Consumption over Battery Allowance based on Energy Exceeding Allowance % (kWh)]]*'Tariff Rates'!$J$3</f>
        <v>0</v>
      </c>
      <c r="AN22" s="230">
        <f>Table1[[#This Row],[Energy Import from Grid (kWh)]]*'Tariff Rates'!$E$3</f>
        <v>0</v>
      </c>
      <c r="AO22" s="247">
        <f t="shared" si="22"/>
        <v>7.9618</v>
      </c>
      <c r="AP22" s="248" cm="1">
        <f t="array" ref="AP22">INDEX(Reading_export[1/1/2025],MATCH(1,(Reading_export[Lot]=A22)*(Reading_export[cluster]=$B$1),0))</f>
        <v>0</v>
      </c>
      <c r="AQ22" s="248" cm="1">
        <f t="array" ref="AQ22">INDEX(Reading_export[01/04/2025],MATCH(1,(Reading_export[Lot]=A22)*(Reading_export[cluster]=$B$1),0))</f>
        <v>0</v>
      </c>
      <c r="AR22" s="249">
        <f>Table1[[#This Row],[Last day of reporting period: export]]-Table1[[#This Row],[1st day of reporting period: export]]</f>
        <v>0</v>
      </c>
      <c r="AS22" s="250">
        <f t="shared" si="9"/>
        <v>0</v>
      </c>
      <c r="AT22" s="251" t="e">
        <f>Table1[[#This Row],[Percentage of Total export for Billing Period (%)]]*$AC$38</f>
        <v>#N/A</v>
      </c>
      <c r="AU22" s="251">
        <f t="shared" si="10"/>
        <v>835.34</v>
      </c>
      <c r="AV22" s="252">
        <f>IFERROR(Table1[[#This Row],[Total Cluster Energy Balance for P2P Trading (kWh)2]]*Table1[[#This Row],[Unused Daily Allowance %]],0)</f>
        <v>0</v>
      </c>
      <c r="AW22" s="251">
        <f t="shared" si="23"/>
        <v>0</v>
      </c>
      <c r="AX22" s="252">
        <f>Table1[[#This Row],[Cluster''s Total Common Services (kWh)]]*Table1[[#This Row],[Percentage of Total export for Billing Period (%)]]</f>
        <v>0</v>
      </c>
      <c r="AY22" s="252">
        <f>$Q$33*Table1[[#This Row],[Percentage of Total export for Billing Period (%)]]</f>
        <v>0</v>
      </c>
      <c r="AZ22"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2" s="252">
        <f t="shared" si="12"/>
        <v>0</v>
      </c>
      <c r="BB22" s="252">
        <f>Table1[[#This Row],[Energy Losses When Export to Grid (kWh)]]*Table1[[#This Row],[Percentage of Total export for Billing Period (%)]]</f>
        <v>0</v>
      </c>
      <c r="BC22" s="252" t="e">
        <f>Table1[[#This Row],[Therotical Energy Export to Grid (kWh)]]-Table1[[#This Row],[Energy Losses When Export to Grid based up % total export (kWh)]]</f>
        <v>#N/A</v>
      </c>
      <c r="BD22" s="260">
        <f>AW22*'Tariff Rates'!$C$3</f>
        <v>0</v>
      </c>
      <c r="BE22" s="260">
        <f>Table1[[#This Row],[Common Service based upon % total export to battery (kWh)]]*'Tariff Rates'!$C$3</f>
        <v>0</v>
      </c>
      <c r="BF22" s="260">
        <f>Table1[[#This Row],[EV Charger based upon % total export to battery (kWh)]]*'Tariff Rates'!$C$3</f>
        <v>0</v>
      </c>
      <c r="BG22" s="273" t="e">
        <f>AT22*'Tariff Rates'!$C$3</f>
        <v>#N/A</v>
      </c>
      <c r="BH22" s="273">
        <f>Table1[[#This Row],[Borrowed Allowance Based on Unused Daily Allowance % (kWh)]]*'Tariff Rates'!$K$3</f>
        <v>0</v>
      </c>
      <c r="BI22" s="273" t="e">
        <f>BC22*'Tariff Rates'!$F$3</f>
        <v>#N/A</v>
      </c>
      <c r="BJ22" s="273" t="e">
        <f t="shared" si="18"/>
        <v>#N/A</v>
      </c>
      <c r="BK22" s="274">
        <f>$D$52*Table1[[#This Row],[Percentage of Unit Entitlement (%)]]</f>
        <v>0</v>
      </c>
      <c r="BL22" s="275">
        <f>BK22*'Tariff Rates'!$H$3</f>
        <v>0</v>
      </c>
      <c r="BM22" s="275">
        <f>($Q$33)*Table1[[#This Row],[Percentage of Unit Entitlement (%)]]*'Tariff Rates'!$B$3</f>
        <v>31.9077</v>
      </c>
      <c r="BN22" s="275">
        <f t="shared" si="24"/>
        <v>31.9077</v>
      </c>
      <c r="BO22" s="275">
        <f t="shared" si="25"/>
        <v>0</v>
      </c>
      <c r="BP22" s="295">
        <f t="shared" si="26"/>
        <v>31.9077</v>
      </c>
      <c r="BQ22" s="296" t="e">
        <f t="shared" si="13"/>
        <v>#N/A</v>
      </c>
      <c r="BR22" s="300"/>
      <c r="BS22" s="301"/>
      <c r="BT22" s="302">
        <v>15</v>
      </c>
    </row>
    <row r="23" spans="1:72">
      <c r="A23" s="95">
        <v>19</v>
      </c>
      <c r="B23" s="96" t="str" cm="1">
        <f t="array" ref="B23">INDEX(Table_Household_Alloc[Owner],MATCH(1,(Table_Household_Alloc[Lot]=A23)*(Table_Household_Alloc[cluster]=$B$1),0))</f>
        <v>Lindy Dunlop</v>
      </c>
      <c r="C23" s="97" cm="1">
        <f t="array" ref="C23">INDEX(Reading_import[Meter'#],MATCH(1,(Table_Household_Alloc[Lot]=A23)*(Table_Household_Alloc[cluster]=$B$1),0))</f>
        <v>50002864</v>
      </c>
      <c r="D23" s="98" cm="1">
        <f t="array" ref="D23">INDEX(Table_Household_Alloc[UE % over Cluster],MATCH(1,(Table_Household_Alloc[Lot]=A23)*(Table_Household_Alloc[cluster]=$B$1),0))</f>
        <v>0.055</v>
      </c>
      <c r="E23" s="99" t="str" cm="1">
        <f t="array" ref="E23">INDEX(Table_Household_Alloc[Stage of Dev.],MATCH(1,(Table_Household_Alloc[Lot]=A23)*(Table_Household_Alloc[cluster]=$B$1),0))</f>
        <v>O</v>
      </c>
      <c r="F23" s="100" cm="1">
        <f t="array" ref="F23">INDEX(Amanda_energy[Daily_Supply_incl_GST],MATCH(1,(Amanda_energy[Cluster]=$B$1)*(Amanda_energy[Month]=$F$2),0))/MAX($A:$A)</f>
        <v>6.31481481481481</v>
      </c>
      <c r="G23" s="101" cm="1">
        <f t="array" ref="G23">INDEX(Amanda_energy[Daily_Supply_incl_GST],MATCH(1,(Amanda_energy[Cluster]=$B$1)*(Amanda_energy[Month]=$G$2),0))/MAX($A:$A)</f>
        <v>5.7037037037037</v>
      </c>
      <c r="H23" s="101" cm="1">
        <f t="array" ref="H23">INDEX(Amanda_energy[Daily_Supply_incl_GST],MATCH(1,(Amanda_energy[Cluster]=$B$1)*(Amanda_energy[Month]=$H$2),0))/MAX($A:$A)</f>
        <v>6.31481481481481</v>
      </c>
      <c r="I23" s="101">
        <f>$J$46/MAX($A:$A)</f>
        <v>1.67222222222222</v>
      </c>
      <c r="J23" s="168"/>
      <c r="K23" s="168"/>
      <c r="L23" s="168">
        <f>$L$3*'Tariff Rates'!$D$8*IF(Table1[[#This Row],[Stage of Dev.]]="V",0,1)</f>
        <v>19.8</v>
      </c>
      <c r="M23" s="169">
        <v>1.1</v>
      </c>
      <c r="N23" s="170">
        <f t="shared" si="1"/>
        <v>40.9055555555556</v>
      </c>
      <c r="O23" s="171" cm="1">
        <f t="array" ref="O23">INDEX(Reading_import[1/1/2025],MATCH(1,(Reading_import[Lot]=A23)*(Reading_import[cluster]=$B$1),0))</f>
        <v>3203</v>
      </c>
      <c r="P23" s="172" cm="1">
        <f t="array" ref="P23">INDEX(Reading_import[01/04/2025],MATCH(1,(Reading_import[Lot]=A23)*(Reading_import[cluster]=$B$1),0))</f>
        <v>3415</v>
      </c>
      <c r="Q23" s="189">
        <f>Table1[[#This Row],[Last day of reporting period: import]]-Table1[[#This Row],[1st day of reporting period: import]]</f>
        <v>212</v>
      </c>
      <c r="R23" s="190">
        <f t="shared" si="19"/>
        <v>2.35555555555556</v>
      </c>
      <c r="S23" s="191">
        <f t="shared" si="3"/>
        <v>0.0236290682122158</v>
      </c>
      <c r="T23" s="192">
        <f>IF(Table1[[#This Row],[Stage of Dev.]]="V",0,233*Table1[[#This Row],[Percentage of Unit Entitlement (%)]])</f>
        <v>12.815</v>
      </c>
      <c r="U23" s="193">
        <f t="shared" si="20"/>
        <v>2.35555555555556</v>
      </c>
      <c r="V23" s="193">
        <f>Table1[[#This Row],[Daily Battery allowance based on UE% (kWh)]]-Table1[[#This Row],[Applicable Battery Allowance Daily Consumption (kWh)]]</f>
        <v>10.4594444444444</v>
      </c>
      <c r="W23" s="194">
        <f>Table1[[#This Row],[Unused Daily Allowance (kWh)]]/$V$38</f>
        <v>0.0800094173723321</v>
      </c>
      <c r="X23" s="193">
        <f>IF(Table1[[#This Row],[Applicable Battery Allowance Daily Consumption (kWh)]]&gt;Table1[[#This Row],[Total Daily Average Consumptio for Billing Period (kWh)]],Table1[[#This Row],[Total Consumption Import  (kWh)]],U23*$N$3)</f>
        <v>212</v>
      </c>
      <c r="Y23" s="209">
        <f>IF(Table1[[#This Row],[Applicable Battery Allowance Daily Consumption (kWh)]]&gt;0,ABS(Q23-X23),0)</f>
        <v>0</v>
      </c>
      <c r="Z23" s="210">
        <f>IFERROR(Table1[[#This Row],[Energy Exceeding Battery Allowance (kWh)]]/$Y$38,0)</f>
        <v>0</v>
      </c>
      <c r="AA23" s="211">
        <f t="shared" si="5"/>
        <v>835.34</v>
      </c>
      <c r="AB23" s="212">
        <f>IFERROR(Table1[[#This Row],[Total Cluster Energy Balance for P2P Trading (kWh)]]*Table1[[#This Row],[Energy Exceeding Battery Allowance %]],0)</f>
        <v>0</v>
      </c>
      <c r="AC23" s="213">
        <f>Table1[[#This Row],[P2P Import Consumption within Battery Allowance(kWh)]]+Table1[[#This Row],[P2P Import Consumption over Battery Allowance based on Energy Exceeding Allowance % (kWh)]]</f>
        <v>212</v>
      </c>
      <c r="AD23" s="213">
        <f>Table1[[#This Row],[Total Consumption Import  (kWh)]]-Table1[[#This Row],[Total P2P import (kWh)]]</f>
        <v>0</v>
      </c>
      <c r="AE23" s="214">
        <f>IFERROR(Table1[[#This Row],[Total P2P import (kWh)]]/$AC$38,0)</f>
        <v>0</v>
      </c>
      <c r="AF23" s="215">
        <f t="shared" si="6"/>
        <v>2476</v>
      </c>
      <c r="AG23" s="215">
        <f t="shared" si="21"/>
        <v>0</v>
      </c>
      <c r="AH23" s="226">
        <f t="shared" si="8"/>
        <v>658</v>
      </c>
      <c r="AI23" s="226">
        <f>Table1[[#This Row],[Cluster''s Total Common Services (kWh)]]*Table1[[#This Row],[Percentage of Unit Entitlement (%)]]</f>
        <v>36.19</v>
      </c>
      <c r="AJ23" s="227">
        <f>AG23*'Tariff Rates'!$B$3</f>
        <v>0</v>
      </c>
      <c r="AK23" s="227">
        <f>Table1[[#This Row],[Common Services based on Split per Unit Entitlement % to battery (kWh)]]*'Tariff Rates'!$B$3</f>
        <v>7.9618</v>
      </c>
      <c r="AL23" s="228">
        <f>Table1[[#This Row],[Total P2P import (kWh)]]*IF(Table1[[#This Row],[Total Lot Export (kWh)]]=0,'Tariff Rates'!$L$3,'Tariff Rates'!$B$3)</f>
        <v>46.64</v>
      </c>
      <c r="AM23" s="229">
        <f>Table1[[#This Row],[P2P Import Consumption over Battery Allowance based on Energy Exceeding Allowance % (kWh)]]*'Tariff Rates'!$J$3</f>
        <v>0</v>
      </c>
      <c r="AN23" s="230">
        <f>Table1[[#This Row],[Energy Import from Grid (kWh)]]*'Tariff Rates'!$E$3</f>
        <v>0</v>
      </c>
      <c r="AO23" s="247">
        <f t="shared" si="22"/>
        <v>54.6018</v>
      </c>
      <c r="AP23" s="248" cm="1">
        <f t="array" ref="AP23">INDEX(Reading_export[1/1/2025],MATCH(1,(Reading_export[Lot]=A23)*(Reading_export[cluster]=$B$1),0))</f>
        <v>43757</v>
      </c>
      <c r="AQ23" s="248" cm="1">
        <f t="array" ref="AQ23">INDEX(Reading_export[01/04/2025],MATCH(1,(Reading_export[Lot]=A23)*(Reading_export[cluster]=$B$1),0))</f>
        <v>49180</v>
      </c>
      <c r="AR23" s="249">
        <f>Table1[[#This Row],[Last day of reporting period: export]]-Table1[[#This Row],[1st day of reporting period: export]]</f>
        <v>5423</v>
      </c>
      <c r="AS23" s="250">
        <f t="shared" si="9"/>
        <v>0.116146580711486</v>
      </c>
      <c r="AT23" s="251" t="e">
        <f>Table1[[#This Row],[Percentage of Total export for Billing Period (%)]]*$AC$38</f>
        <v>#N/A</v>
      </c>
      <c r="AU23" s="251">
        <f t="shared" si="10"/>
        <v>835.34</v>
      </c>
      <c r="AV23" s="252">
        <f>IFERROR(Table1[[#This Row],[Total Cluster Energy Balance for P2P Trading (kWh)2]]*Table1[[#This Row],[Unused Daily Allowance %]],0)</f>
        <v>66.8350667078039</v>
      </c>
      <c r="AW23" s="251">
        <f t="shared" si="23"/>
        <v>287.57893384164</v>
      </c>
      <c r="AX23" s="252">
        <f>Table1[[#This Row],[Cluster''s Total Common Services (kWh)]]*Table1[[#This Row],[Percentage of Total export for Billing Period (%)]]</f>
        <v>76.4244501081579</v>
      </c>
      <c r="AY23" s="252">
        <f>$Q$33*Table1[[#This Row],[Percentage of Total export for Billing Period (%)]]</f>
        <v>306.278533336189</v>
      </c>
      <c r="AZ23"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3" s="252">
        <f t="shared" si="12"/>
        <v>0</v>
      </c>
      <c r="BB23" s="252">
        <f>Table1[[#This Row],[Energy Losses When Export to Grid (kWh)]]*Table1[[#This Row],[Percentage of Total export for Billing Period (%)]]</f>
        <v>0</v>
      </c>
      <c r="BC23" s="252" t="e">
        <f>Table1[[#This Row],[Therotical Energy Export to Grid (kWh)]]-Table1[[#This Row],[Energy Losses When Export to Grid based up % total export (kWh)]]</f>
        <v>#N/A</v>
      </c>
      <c r="BD23" s="260">
        <f>AW23*'Tariff Rates'!$C$3</f>
        <v>-63.2673654451607</v>
      </c>
      <c r="BE23" s="260">
        <f>Table1[[#This Row],[Common Service based upon % total export to battery (kWh)]]*'Tariff Rates'!$C$3</f>
        <v>-16.8133790237947</v>
      </c>
      <c r="BF23" s="260">
        <f>Table1[[#This Row],[EV Charger based upon % total export to battery (kWh)]]*'Tariff Rates'!$C$3</f>
        <v>-67.3812773339616</v>
      </c>
      <c r="BG23" s="273" t="e">
        <f>AT23*'Tariff Rates'!$C$3</f>
        <v>#N/A</v>
      </c>
      <c r="BH23" s="273">
        <f>Table1[[#This Row],[Borrowed Allowance Based on Unused Daily Allowance % (kWh)]]*'Tariff Rates'!$K$3</f>
        <v>-1.33670133415608</v>
      </c>
      <c r="BI23" s="273" t="e">
        <f>BC23*'Tariff Rates'!$F$3</f>
        <v>#N/A</v>
      </c>
      <c r="BJ23" s="273" t="e">
        <f t="shared" si="18"/>
        <v>#N/A</v>
      </c>
      <c r="BK23" s="274">
        <f>$D$52*Table1[[#This Row],[Percentage of Unit Entitlement (%)]]</f>
        <v>0</v>
      </c>
      <c r="BL23" s="275">
        <f>BK23*'Tariff Rates'!$H$3</f>
        <v>0</v>
      </c>
      <c r="BM23" s="275">
        <f>($Q$33)*Table1[[#This Row],[Percentage of Unit Entitlement (%)]]*'Tariff Rates'!$B$3</f>
        <v>31.9077</v>
      </c>
      <c r="BN23" s="275">
        <f t="shared" si="24"/>
        <v>31.9077</v>
      </c>
      <c r="BO23" s="275">
        <f t="shared" si="25"/>
        <v>0</v>
      </c>
      <c r="BP23" s="295">
        <f t="shared" si="26"/>
        <v>31.9077</v>
      </c>
      <c r="BQ23" s="296" t="e">
        <f t="shared" si="13"/>
        <v>#N/A</v>
      </c>
      <c r="BR23" s="303"/>
      <c r="BS23" s="304"/>
      <c r="BT23" s="299">
        <v>16</v>
      </c>
    </row>
    <row r="24" spans="1:72">
      <c r="A24" s="95">
        <v>20</v>
      </c>
      <c r="B24" s="96" t="str" cm="1">
        <f t="array" ref="B24">INDEX(Table_Household_Alloc[Owner],MATCH(1,(Table_Household_Alloc[Lot]=A24)*(Table_Household_Alloc[cluster]=$B$1),0))</f>
        <v>Elke Light</v>
      </c>
      <c r="C24" s="97" cm="1">
        <f t="array" ref="C24">INDEX(Reading_import[Meter'#],MATCH(1,(Table_Household_Alloc[Lot]=A24)*(Table_Household_Alloc[cluster]=$B$1),0))</f>
        <v>50002710</v>
      </c>
      <c r="D24" s="98" cm="1">
        <f t="array" ref="D24">INDEX(Table_Household_Alloc[UE % over Cluster],MATCH(1,(Table_Household_Alloc[Lot]=A24)*(Table_Household_Alloc[cluster]=$B$1),0))</f>
        <v>0.026</v>
      </c>
      <c r="E24" s="99" t="str" cm="1">
        <f t="array" ref="E24">INDEX(Table_Household_Alloc[Stage of Dev.],MATCH(1,(Table_Household_Alloc[Lot]=A24)*(Table_Household_Alloc[cluster]=$B$1),0))</f>
        <v>O</v>
      </c>
      <c r="F24" s="100" cm="1">
        <f t="array" ref="F24">INDEX(Amanda_energy[Daily_Supply_incl_GST],MATCH(1,(Amanda_energy[Cluster]=$B$1)*(Amanda_energy[Month]=$F$2),0))/MAX($A:$A)</f>
        <v>6.31481481481481</v>
      </c>
      <c r="G24" s="101" cm="1">
        <f t="array" ref="G24">INDEX(Amanda_energy[Daily_Supply_incl_GST],MATCH(1,(Amanda_energy[Cluster]=$B$1)*(Amanda_energy[Month]=$G$2),0))/MAX($A:$A)</f>
        <v>5.7037037037037</v>
      </c>
      <c r="H24" s="101" cm="1">
        <f t="array" ref="H24">INDEX(Amanda_energy[Daily_Supply_incl_GST],MATCH(1,(Amanda_energy[Cluster]=$B$1)*(Amanda_energy[Month]=$H$2),0))/MAX($A:$A)</f>
        <v>6.31481481481481</v>
      </c>
      <c r="I24" s="101">
        <f>$J$46/MAX($A:$A)</f>
        <v>1.67222222222222</v>
      </c>
      <c r="J24" s="168"/>
      <c r="K24" s="168"/>
      <c r="L24" s="168">
        <f>$L$3*'Tariff Rates'!$D$8*IF(Table1[[#This Row],[Stage of Dev.]]="V",0,1)</f>
        <v>19.8</v>
      </c>
      <c r="M24" s="169">
        <v>1.1</v>
      </c>
      <c r="N24" s="170">
        <f t="shared" si="1"/>
        <v>40.9055555555556</v>
      </c>
      <c r="O24" s="171" cm="1">
        <f t="array" ref="O24">INDEX(Reading_import[1/1/2025],MATCH(1,(Reading_import[Lot]=A24)*(Reading_import[cluster]=$B$1),0))</f>
        <v>3644</v>
      </c>
      <c r="P24" s="172" cm="1">
        <f t="array" ref="P24">INDEX(Reading_import[01/04/2025],MATCH(1,(Reading_import[Lot]=A24)*(Reading_import[cluster]=$B$1),0))</f>
        <v>3852</v>
      </c>
      <c r="Q24" s="189">
        <f>Table1[[#This Row],[Last day of reporting period: import]]-Table1[[#This Row],[1st day of reporting period: import]]</f>
        <v>208</v>
      </c>
      <c r="R24" s="190">
        <f t="shared" si="19"/>
        <v>2.31111111111111</v>
      </c>
      <c r="S24" s="191">
        <f t="shared" si="3"/>
        <v>0.0231832367365136</v>
      </c>
      <c r="T24" s="192">
        <f>IF(Table1[[#This Row],[Stage of Dev.]]="V",0,233*Table1[[#This Row],[Percentage of Unit Entitlement (%)]])</f>
        <v>6.058</v>
      </c>
      <c r="U24" s="193">
        <f t="shared" si="20"/>
        <v>2.31111111111111</v>
      </c>
      <c r="V24" s="193">
        <f>Table1[[#This Row],[Daily Battery allowance based on UE% (kWh)]]-Table1[[#This Row],[Applicable Battery Allowance Daily Consumption (kWh)]]</f>
        <v>3.74688888888889</v>
      </c>
      <c r="W24" s="194">
        <f>Table1[[#This Row],[Unused Daily Allowance (kWh)]]/$V$38</f>
        <v>0.028661789691717</v>
      </c>
      <c r="X24" s="193">
        <f>IF(Table1[[#This Row],[Applicable Battery Allowance Daily Consumption (kWh)]]&gt;Table1[[#This Row],[Total Daily Average Consumptio for Billing Period (kWh)]],Table1[[#This Row],[Total Consumption Import  (kWh)]],U24*$N$3)</f>
        <v>208</v>
      </c>
      <c r="Y24" s="209">
        <f>IF(Table1[[#This Row],[Applicable Battery Allowance Daily Consumption (kWh)]]&gt;0,ABS(Q24-X24),0)</f>
        <v>0</v>
      </c>
      <c r="Z24" s="210">
        <f>IFERROR(Table1[[#This Row],[Energy Exceeding Battery Allowance (kWh)]]/$Y$38,0)</f>
        <v>0</v>
      </c>
      <c r="AA24" s="211">
        <f t="shared" si="5"/>
        <v>835.34</v>
      </c>
      <c r="AB24" s="212">
        <f>IFERROR(Table1[[#This Row],[Total Cluster Energy Balance for P2P Trading (kWh)]]*Table1[[#This Row],[Energy Exceeding Battery Allowance %]],0)</f>
        <v>0</v>
      </c>
      <c r="AC24" s="213">
        <f>Table1[[#This Row],[P2P Import Consumption within Battery Allowance(kWh)]]+Table1[[#This Row],[P2P Import Consumption over Battery Allowance based on Energy Exceeding Allowance % (kWh)]]</f>
        <v>208</v>
      </c>
      <c r="AD24" s="213">
        <f>Table1[[#This Row],[Total Consumption Import  (kWh)]]-Table1[[#This Row],[Total P2P import (kWh)]]</f>
        <v>0</v>
      </c>
      <c r="AE24" s="214">
        <f>IFERROR(Table1[[#This Row],[Total P2P import (kWh)]]/$AC$38,0)</f>
        <v>0</v>
      </c>
      <c r="AF24" s="215">
        <f t="shared" si="6"/>
        <v>2476</v>
      </c>
      <c r="AG24" s="215">
        <f t="shared" si="21"/>
        <v>0</v>
      </c>
      <c r="AH24" s="226">
        <f t="shared" si="8"/>
        <v>658</v>
      </c>
      <c r="AI24" s="226">
        <f>Table1[[#This Row],[Cluster''s Total Common Services (kWh)]]*Table1[[#This Row],[Percentage of Unit Entitlement (%)]]</f>
        <v>17.108</v>
      </c>
      <c r="AJ24" s="227">
        <f>AG24*'Tariff Rates'!$B$3</f>
        <v>0</v>
      </c>
      <c r="AK24" s="227">
        <f>Table1[[#This Row],[Common Services based on Split per Unit Entitlement % to battery (kWh)]]*'Tariff Rates'!$B$3</f>
        <v>3.76376</v>
      </c>
      <c r="AL24" s="228">
        <f>Table1[[#This Row],[Total P2P import (kWh)]]*IF(Table1[[#This Row],[Total Lot Export (kWh)]]=0,'Tariff Rates'!$L$3,'Tariff Rates'!$B$3)</f>
        <v>45.76</v>
      </c>
      <c r="AM24" s="229">
        <f>Table1[[#This Row],[P2P Import Consumption over Battery Allowance based on Energy Exceeding Allowance % (kWh)]]*'Tariff Rates'!$J$3</f>
        <v>0</v>
      </c>
      <c r="AN24" s="230">
        <f>Table1[[#This Row],[Energy Import from Grid (kWh)]]*'Tariff Rates'!$E$3</f>
        <v>0</v>
      </c>
      <c r="AO24" s="247">
        <f t="shared" si="22"/>
        <v>49.52376</v>
      </c>
      <c r="AP24" s="248" cm="1">
        <f t="array" ref="AP24">INDEX(Reading_export[1/1/2025],MATCH(1,(Reading_export[Lot]=A24)*(Reading_export[cluster]=$B$1),0))</f>
        <v>11511</v>
      </c>
      <c r="AQ24" s="248" cm="1">
        <f t="array" ref="AQ24">INDEX(Reading_export[01/04/2025],MATCH(1,(Reading_export[Lot]=A24)*(Reading_export[cluster]=$B$1),0))</f>
        <v>14162</v>
      </c>
      <c r="AR24" s="249">
        <f>Table1[[#This Row],[Last day of reporting period: export]]-Table1[[#This Row],[1st day of reporting period: export]]</f>
        <v>2651</v>
      </c>
      <c r="AS24" s="250">
        <f t="shared" si="9"/>
        <v>0.0567775374269131</v>
      </c>
      <c r="AT24" s="251" t="e">
        <f>Table1[[#This Row],[Percentage of Total export for Billing Period (%)]]*$AC$38</f>
        <v>#N/A</v>
      </c>
      <c r="AU24" s="251">
        <f t="shared" si="10"/>
        <v>835.34</v>
      </c>
      <c r="AV24" s="252">
        <f>IFERROR(Table1[[#This Row],[Total Cluster Energy Balance for P2P Trading (kWh)2]]*Table1[[#This Row],[Unused Daily Allowance %]],0)</f>
        <v>23.9423394010789</v>
      </c>
      <c r="AW24" s="251">
        <f t="shared" si="23"/>
        <v>140.581182669037</v>
      </c>
      <c r="AX24" s="252">
        <f>Table1[[#This Row],[Cluster''s Total Common Services (kWh)]]*Table1[[#This Row],[Percentage of Total export for Billing Period (%)]]</f>
        <v>37.3596196269088</v>
      </c>
      <c r="AY24" s="252">
        <f>$Q$33*Table1[[#This Row],[Percentage of Total export for Billing Period (%)]]</f>
        <v>149.72236619477</v>
      </c>
      <c r="AZ24"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4" s="252">
        <f t="shared" si="12"/>
        <v>0</v>
      </c>
      <c r="BB24" s="252">
        <f>Table1[[#This Row],[Energy Losses When Export to Grid (kWh)]]*Table1[[#This Row],[Percentage of Total export for Billing Period (%)]]</f>
        <v>0</v>
      </c>
      <c r="BC24" s="252" t="e">
        <f>Table1[[#This Row],[Therotical Energy Export to Grid (kWh)]]-Table1[[#This Row],[Energy Losses When Export to Grid based up % total export (kWh)]]</f>
        <v>#N/A</v>
      </c>
      <c r="BD24" s="260">
        <f>AW24*'Tariff Rates'!$C$3</f>
        <v>-30.9278601871881</v>
      </c>
      <c r="BE24" s="260">
        <f>Table1[[#This Row],[Common Service based upon % total export to battery (kWh)]]*'Tariff Rates'!$C$3</f>
        <v>-8.21911631791994</v>
      </c>
      <c r="BF24" s="260">
        <f>Table1[[#This Row],[EV Charger based upon % total export to battery (kWh)]]*'Tariff Rates'!$C$3</f>
        <v>-32.9389205628494</v>
      </c>
      <c r="BG24" s="273" t="e">
        <f>AT24*'Tariff Rates'!$C$3</f>
        <v>#N/A</v>
      </c>
      <c r="BH24" s="273">
        <f>Table1[[#This Row],[Borrowed Allowance Based on Unused Daily Allowance % (kWh)]]*'Tariff Rates'!$K$3</f>
        <v>-0.478846788021578</v>
      </c>
      <c r="BI24" s="273" t="e">
        <f>BC24*'Tariff Rates'!$F$3</f>
        <v>#N/A</v>
      </c>
      <c r="BJ24" s="273" t="e">
        <f t="shared" si="18"/>
        <v>#N/A</v>
      </c>
      <c r="BK24" s="274">
        <f>$D$52*Table1[[#This Row],[Percentage of Unit Entitlement (%)]]</f>
        <v>0</v>
      </c>
      <c r="BL24" s="275">
        <f>BK24*'Tariff Rates'!$H$3</f>
        <v>0</v>
      </c>
      <c r="BM24" s="275">
        <f>($Q$33)*Table1[[#This Row],[Percentage of Unit Entitlement (%)]]*'Tariff Rates'!$B$3</f>
        <v>15.08364</v>
      </c>
      <c r="BN24" s="275">
        <f t="shared" si="24"/>
        <v>15.08364</v>
      </c>
      <c r="BO24" s="275">
        <f t="shared" si="25"/>
        <v>0</v>
      </c>
      <c r="BP24" s="295">
        <f t="shared" si="26"/>
        <v>15.08364</v>
      </c>
      <c r="BQ24" s="296" t="e">
        <f t="shared" si="13"/>
        <v>#N/A</v>
      </c>
      <c r="BR24" s="300"/>
      <c r="BS24" s="301"/>
      <c r="BT24" s="302">
        <v>15</v>
      </c>
    </row>
    <row r="25" spans="1:72">
      <c r="A25" s="95">
        <v>21</v>
      </c>
      <c r="B25" s="96" t="str" cm="1">
        <f t="array" ref="B25">INDEX(Table_Household_Alloc[Owner],MATCH(1,(Table_Household_Alloc[Lot]=A25)*(Table_Household_Alloc[cluster]=$B$1),0))</f>
        <v>Deborah Woodman</v>
      </c>
      <c r="C25" s="97" cm="1">
        <f t="array" ref="C25">INDEX(Reading_import[Meter'#],MATCH(1,(Table_Household_Alloc[Lot]=A25)*(Table_Household_Alloc[cluster]=$B$1),0))</f>
        <v>50002719</v>
      </c>
      <c r="D25" s="98" cm="1">
        <f t="array" ref="D25">INDEX(Table_Household_Alloc[UE % over Cluster],MATCH(1,(Table_Household_Alloc[Lot]=A25)*(Table_Household_Alloc[cluster]=$B$1),0))</f>
        <v>0.026</v>
      </c>
      <c r="E25" s="99" t="str" cm="1">
        <f t="array" ref="E25">INDEX(Table_Household_Alloc[Stage of Dev.],MATCH(1,(Table_Household_Alloc[Lot]=A25)*(Table_Household_Alloc[cluster]=$B$1),0))</f>
        <v>O</v>
      </c>
      <c r="F25" s="100" cm="1">
        <f t="array" ref="F25">INDEX(Amanda_energy[Daily_Supply_incl_GST],MATCH(1,(Amanda_energy[Cluster]=$B$1)*(Amanda_energy[Month]=$F$2),0))/MAX($A:$A)</f>
        <v>6.31481481481481</v>
      </c>
      <c r="G25" s="101" cm="1">
        <f t="array" ref="G25">INDEX(Amanda_energy[Daily_Supply_incl_GST],MATCH(1,(Amanda_energy[Cluster]=$B$1)*(Amanda_energy[Month]=$G$2),0))/MAX($A:$A)</f>
        <v>5.7037037037037</v>
      </c>
      <c r="H25" s="101" cm="1">
        <f t="array" ref="H25">INDEX(Amanda_energy[Daily_Supply_incl_GST],MATCH(1,(Amanda_energy[Cluster]=$B$1)*(Amanda_energy[Month]=$H$2),0))/MAX($A:$A)</f>
        <v>6.31481481481481</v>
      </c>
      <c r="I25" s="101">
        <f>$J$46/MAX($A:$A)</f>
        <v>1.67222222222222</v>
      </c>
      <c r="J25" s="168"/>
      <c r="K25" s="168"/>
      <c r="L25" s="168">
        <f>$L$3*'Tariff Rates'!$D$8*IF(Table1[[#This Row],[Stage of Dev.]]="V",0,1)</f>
        <v>19.8</v>
      </c>
      <c r="M25" s="169">
        <v>1.1</v>
      </c>
      <c r="N25" s="170">
        <f t="shared" si="1"/>
        <v>40.9055555555556</v>
      </c>
      <c r="O25" s="171" cm="1">
        <f t="array" ref="O25">INDEX(Reading_import[1/1/2025],MATCH(1,(Reading_import[Lot]=A25)*(Reading_import[cluster]=$B$1),0))</f>
        <v>1682</v>
      </c>
      <c r="P25" s="172" cm="1">
        <f t="array" ref="P25">INDEX(Reading_import[01/04/2025],MATCH(1,(Reading_import[Lot]=A25)*(Reading_import[cluster]=$B$1),0))</f>
        <v>1774</v>
      </c>
      <c r="Q25" s="189">
        <f>Table1[[#This Row],[Last day of reporting period: import]]-Table1[[#This Row],[1st day of reporting period: import]]</f>
        <v>92</v>
      </c>
      <c r="R25" s="190">
        <f t="shared" si="19"/>
        <v>1.02222222222222</v>
      </c>
      <c r="S25" s="191">
        <f t="shared" si="3"/>
        <v>0.0102541239411502</v>
      </c>
      <c r="T25" s="192">
        <f>IF(Table1[[#This Row],[Stage of Dev.]]="V",0,233*Table1[[#This Row],[Percentage of Unit Entitlement (%)]])</f>
        <v>6.058</v>
      </c>
      <c r="U25" s="193">
        <f t="shared" si="20"/>
        <v>1.02222222222222</v>
      </c>
      <c r="V25" s="193">
        <f>Table1[[#This Row],[Daily Battery allowance based on UE% (kWh)]]-Table1[[#This Row],[Applicable Battery Allowance Daily Consumption (kWh)]]</f>
        <v>5.03577777777778</v>
      </c>
      <c r="W25" s="194">
        <f>Table1[[#This Row],[Unused Daily Allowance (kWh)]]/$V$38</f>
        <v>0.0385211325665144</v>
      </c>
      <c r="X25" s="193">
        <f>IF(Table1[[#This Row],[Applicable Battery Allowance Daily Consumption (kWh)]]&gt;Table1[[#This Row],[Total Daily Average Consumptio for Billing Period (kWh)]],Table1[[#This Row],[Total Consumption Import  (kWh)]],U25*$N$3)</f>
        <v>92</v>
      </c>
      <c r="Y25" s="209">
        <f>IF(Table1[[#This Row],[Applicable Battery Allowance Daily Consumption (kWh)]]&gt;0,ABS(Q25-X25),0)</f>
        <v>0</v>
      </c>
      <c r="Z25" s="210">
        <f>IFERROR(Table1[[#This Row],[Energy Exceeding Battery Allowance (kWh)]]/$Y$38,0)</f>
        <v>0</v>
      </c>
      <c r="AA25" s="211">
        <f t="shared" si="5"/>
        <v>835.34</v>
      </c>
      <c r="AB25" s="212">
        <f>IFERROR(Table1[[#This Row],[Total Cluster Energy Balance for P2P Trading (kWh)]]*Table1[[#This Row],[Energy Exceeding Battery Allowance %]],0)</f>
        <v>0</v>
      </c>
      <c r="AC25" s="213">
        <f>Table1[[#This Row],[P2P Import Consumption within Battery Allowance(kWh)]]+Table1[[#This Row],[P2P Import Consumption over Battery Allowance based on Energy Exceeding Allowance % (kWh)]]</f>
        <v>92</v>
      </c>
      <c r="AD25" s="213">
        <f>Table1[[#This Row],[Total Consumption Import  (kWh)]]-Table1[[#This Row],[Total P2P import (kWh)]]</f>
        <v>0</v>
      </c>
      <c r="AE25" s="214">
        <f>IFERROR(Table1[[#This Row],[Total P2P import (kWh)]]/$AC$38,0)</f>
        <v>0</v>
      </c>
      <c r="AF25" s="215">
        <f t="shared" si="6"/>
        <v>2476</v>
      </c>
      <c r="AG25" s="215">
        <f t="shared" si="21"/>
        <v>0</v>
      </c>
      <c r="AH25" s="226">
        <f t="shared" si="8"/>
        <v>658</v>
      </c>
      <c r="AI25" s="226">
        <f>Table1[[#This Row],[Cluster''s Total Common Services (kWh)]]*Table1[[#This Row],[Percentage of Unit Entitlement (%)]]</f>
        <v>17.108</v>
      </c>
      <c r="AJ25" s="227">
        <f>AG25*'Tariff Rates'!$B$3</f>
        <v>0</v>
      </c>
      <c r="AK25" s="227">
        <f>Table1[[#This Row],[Common Services based on Split per Unit Entitlement % to battery (kWh)]]*'Tariff Rates'!$B$3</f>
        <v>3.76376</v>
      </c>
      <c r="AL25" s="228">
        <f>Table1[[#This Row],[Total P2P import (kWh)]]*IF(Table1[[#This Row],[Total Lot Export (kWh)]]=0,'Tariff Rates'!$L$3,'Tariff Rates'!$B$3)</f>
        <v>20.24</v>
      </c>
      <c r="AM25" s="229">
        <f>Table1[[#This Row],[P2P Import Consumption over Battery Allowance based on Energy Exceeding Allowance % (kWh)]]*'Tariff Rates'!$J$3</f>
        <v>0</v>
      </c>
      <c r="AN25" s="230">
        <f>Table1[[#This Row],[Energy Import from Grid (kWh)]]*'Tariff Rates'!$E$3</f>
        <v>0</v>
      </c>
      <c r="AO25" s="247">
        <f t="shared" si="22"/>
        <v>24.00376</v>
      </c>
      <c r="AP25" s="248" cm="1">
        <f t="array" ref="AP25">INDEX(Reading_export[1/1/2025],MATCH(1,(Reading_export[Lot]=A25)*(Reading_export[cluster]=$B$1),0))</f>
        <v>13350</v>
      </c>
      <c r="AQ25" s="248" cm="1">
        <f t="array" ref="AQ25">INDEX(Reading_export[01/04/2025],MATCH(1,(Reading_export[Lot]=A25)*(Reading_export[cluster]=$B$1),0))</f>
        <v>16096</v>
      </c>
      <c r="AR25" s="249">
        <f>Table1[[#This Row],[Last day of reporting period: export]]-Table1[[#This Row],[1st day of reporting period: export]]</f>
        <v>2746</v>
      </c>
      <c r="AS25" s="250">
        <f t="shared" si="9"/>
        <v>0.0588121907862329</v>
      </c>
      <c r="AT25" s="251" t="e">
        <f>Table1[[#This Row],[Percentage of Total export for Billing Period (%)]]*$AC$38</f>
        <v>#N/A</v>
      </c>
      <c r="AU25" s="251">
        <f t="shared" si="10"/>
        <v>835.34</v>
      </c>
      <c r="AV25" s="252">
        <f>IFERROR(Table1[[#This Row],[Total Cluster Energy Balance for P2P Trading (kWh)2]]*Table1[[#This Row],[Unused Daily Allowance %]],0)</f>
        <v>32.1782428781122</v>
      </c>
      <c r="AW25" s="251">
        <f t="shared" si="23"/>
        <v>145.618984386713</v>
      </c>
      <c r="AX25" s="252">
        <f>Table1[[#This Row],[Cluster''s Total Common Services (kWh)]]*Table1[[#This Row],[Percentage of Total export for Billing Period (%)]]</f>
        <v>38.6984215373412</v>
      </c>
      <c r="AY25" s="252">
        <f>$Q$33*Table1[[#This Row],[Percentage of Total export for Billing Period (%)]]</f>
        <v>155.087747103296</v>
      </c>
      <c r="AZ25"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5" s="252">
        <f t="shared" si="12"/>
        <v>0</v>
      </c>
      <c r="BB25" s="252">
        <f>Table1[[#This Row],[Energy Losses When Export to Grid (kWh)]]*Table1[[#This Row],[Percentage of Total export for Billing Period (%)]]</f>
        <v>0</v>
      </c>
      <c r="BC25" s="252" t="e">
        <f>Table1[[#This Row],[Therotical Energy Export to Grid (kWh)]]-Table1[[#This Row],[Energy Losses When Export to Grid based up % total export (kWh)]]</f>
        <v>#N/A</v>
      </c>
      <c r="BD25" s="260">
        <f>AW25*'Tariff Rates'!$C$3</f>
        <v>-32.0361765650768</v>
      </c>
      <c r="BE25" s="260">
        <f>Table1[[#This Row],[Common Service based upon % total export to battery (kWh)]]*'Tariff Rates'!$C$3</f>
        <v>-8.51365273821507</v>
      </c>
      <c r="BF25" s="260">
        <f>Table1[[#This Row],[EV Charger based upon % total export to battery (kWh)]]*'Tariff Rates'!$C$3</f>
        <v>-34.1193043627251</v>
      </c>
      <c r="BG25" s="273" t="e">
        <f>AT25*'Tariff Rates'!$C$3</f>
        <v>#N/A</v>
      </c>
      <c r="BH25" s="273">
        <f>Table1[[#This Row],[Borrowed Allowance Based on Unused Daily Allowance % (kWh)]]*'Tariff Rates'!$K$3</f>
        <v>-0.643564857562244</v>
      </c>
      <c r="BI25" s="273" t="e">
        <f>BC25*'Tariff Rates'!$F$3</f>
        <v>#N/A</v>
      </c>
      <c r="BJ25" s="273" t="e">
        <f t="shared" si="18"/>
        <v>#N/A</v>
      </c>
      <c r="BK25" s="274">
        <f>$D$52*Table1[[#This Row],[Percentage of Unit Entitlement (%)]]</f>
        <v>0</v>
      </c>
      <c r="BL25" s="275">
        <f>BK25*'Tariff Rates'!$H$3</f>
        <v>0</v>
      </c>
      <c r="BM25" s="275">
        <f>($Q$33)*Table1[[#This Row],[Percentage of Unit Entitlement (%)]]*'Tariff Rates'!$B$3</f>
        <v>15.08364</v>
      </c>
      <c r="BN25" s="275">
        <f t="shared" si="24"/>
        <v>15.08364</v>
      </c>
      <c r="BO25" s="275">
        <f t="shared" si="25"/>
        <v>0</v>
      </c>
      <c r="BP25" s="295">
        <f t="shared" si="26"/>
        <v>15.08364</v>
      </c>
      <c r="BQ25" s="296" t="e">
        <f t="shared" si="13"/>
        <v>#N/A</v>
      </c>
      <c r="BR25" s="303"/>
      <c r="BS25" s="304"/>
      <c r="BT25" s="299">
        <v>16</v>
      </c>
    </row>
    <row r="26" spans="1:72">
      <c r="A26" s="95">
        <v>22</v>
      </c>
      <c r="B26" s="96" t="str" cm="1">
        <f t="array" ref="B26">INDEX(Table_Household_Alloc[Owner],MATCH(1,(Table_Household_Alloc[Lot]=A26)*(Table_Household_Alloc[cluster]=$B$1),0))</f>
        <v>Carrie &amp; Warrick Goldsmith</v>
      </c>
      <c r="C26" s="97" cm="1">
        <f t="array" ref="C26">INDEX(Reading_import[Meter'#],MATCH(1,(Table_Household_Alloc[Lot]=A26)*(Table_Household_Alloc[cluster]=$B$1),0))</f>
        <v>50002876</v>
      </c>
      <c r="D26" s="98" cm="1">
        <f t="array" ref="D26">INDEX(Table_Household_Alloc[UE % over Cluster],MATCH(1,(Table_Household_Alloc[Lot]=A26)*(Table_Household_Alloc[cluster]=$B$1),0))</f>
        <v>0.026</v>
      </c>
      <c r="E26" s="99" t="str" cm="1">
        <f t="array" ref="E26">INDEX(Table_Household_Alloc[Stage of Dev.],MATCH(1,(Table_Household_Alloc[Lot]=A26)*(Table_Household_Alloc[cluster]=$B$1),0))</f>
        <v>O</v>
      </c>
      <c r="F26" s="100" cm="1">
        <f t="array" ref="F26">INDEX(Amanda_energy[Daily_Supply_incl_GST],MATCH(1,(Amanda_energy[Cluster]=$B$1)*(Amanda_energy[Month]=$F$2),0))/MAX($A:$A)</f>
        <v>6.31481481481481</v>
      </c>
      <c r="G26" s="101" cm="1">
        <f t="array" ref="G26">INDEX(Amanda_energy[Daily_Supply_incl_GST],MATCH(1,(Amanda_energy[Cluster]=$B$1)*(Amanda_energy[Month]=$G$2),0))/MAX($A:$A)</f>
        <v>5.7037037037037</v>
      </c>
      <c r="H26" s="101" cm="1">
        <f t="array" ref="H26">INDEX(Amanda_energy[Daily_Supply_incl_GST],MATCH(1,(Amanda_energy[Cluster]=$B$1)*(Amanda_energy[Month]=$H$2),0))/MAX($A:$A)</f>
        <v>6.31481481481481</v>
      </c>
      <c r="I26" s="101">
        <f>$J$46/MAX($A:$A)</f>
        <v>1.67222222222222</v>
      </c>
      <c r="J26" s="168"/>
      <c r="K26" s="168"/>
      <c r="L26" s="168">
        <f>$L$3*'Tariff Rates'!$D$8*IF(Table1[[#This Row],[Stage of Dev.]]="V",0,1)</f>
        <v>19.8</v>
      </c>
      <c r="M26" s="169">
        <v>2.1</v>
      </c>
      <c r="N26" s="170">
        <f t="shared" ref="N26:N28" si="27">SUM(F26:M26)</f>
        <v>41.9055555555556</v>
      </c>
      <c r="O26" s="171" cm="1">
        <f t="array" ref="O26">INDEX(Reading_import[1/1/2025],MATCH(1,(Reading_import[Lot]=A26)*(Reading_import[cluster]=$B$1),0))</f>
        <v>5052</v>
      </c>
      <c r="P26" s="172" cm="1">
        <f t="array" ref="P26">INDEX(Reading_import[01/04/2025],MATCH(1,(Reading_import[Lot]=A26)*(Reading_import[cluster]=$B$1),0))</f>
        <v>5246</v>
      </c>
      <c r="Q26" s="189">
        <f>Table1[[#This Row],[Last day of reporting period: import]]-Table1[[#This Row],[1st day of reporting period: import]]</f>
        <v>194</v>
      </c>
      <c r="R26" s="190">
        <f t="shared" ref="R26:R28" si="28">Q26/$N$3</f>
        <v>2.15555555555556</v>
      </c>
      <c r="S26" s="191">
        <f t="shared" ref="S26:S28" si="29">Q26/$Q$38</f>
        <v>0.021622826571556</v>
      </c>
      <c r="T26" s="192">
        <f>IF(Table1[[#This Row],[Stage of Dev.]]="V",0,233*Table1[[#This Row],[Percentage of Unit Entitlement (%)]])</f>
        <v>6.058</v>
      </c>
      <c r="U26" s="193">
        <f t="shared" ref="U26:U28" si="30">IF(T26&gt;R26,R26,T26)</f>
        <v>2.15555555555556</v>
      </c>
      <c r="V26" s="193">
        <f>Table1[[#This Row],[Daily Battery allowance based on UE% (kWh)]]-Table1[[#This Row],[Applicable Battery Allowance Daily Consumption (kWh)]]</f>
        <v>3.90244444444444</v>
      </c>
      <c r="W26" s="194">
        <f>Table1[[#This Row],[Unused Daily Allowance (kWh)]]/$V$38</f>
        <v>0.0298517103835029</v>
      </c>
      <c r="X26" s="193">
        <f>IF(Table1[[#This Row],[Applicable Battery Allowance Daily Consumption (kWh)]]&gt;Table1[[#This Row],[Total Daily Average Consumptio for Billing Period (kWh)]],Table1[[#This Row],[Total Consumption Import  (kWh)]],U26*$N$3)</f>
        <v>194</v>
      </c>
      <c r="Y26" s="209">
        <f>IF(Table1[[#This Row],[Applicable Battery Allowance Daily Consumption (kWh)]]&gt;0,ABS(Q26-X26),0)</f>
        <v>0</v>
      </c>
      <c r="Z26" s="210">
        <f>IFERROR(Table1[[#This Row],[Energy Exceeding Battery Allowance (kWh)]]/$Y$38,0)</f>
        <v>0</v>
      </c>
      <c r="AA26" s="211">
        <f t="shared" ref="AA26:AA28" si="31">IF($Y$38-$E$46&gt;0,$Y$38-$E$46,0)</f>
        <v>835.34</v>
      </c>
      <c r="AB26" s="212">
        <f>IFERROR(Table1[[#This Row],[Total Cluster Energy Balance for P2P Trading (kWh)]]*Table1[[#This Row],[Energy Exceeding Battery Allowance %]],0)</f>
        <v>0</v>
      </c>
      <c r="AC26" s="213">
        <f>Table1[[#This Row],[P2P Import Consumption within Battery Allowance(kWh)]]+Table1[[#This Row],[P2P Import Consumption over Battery Allowance based on Energy Exceeding Allowance % (kWh)]]</f>
        <v>194</v>
      </c>
      <c r="AD26" s="213">
        <f>Table1[[#This Row],[Total Consumption Import  (kWh)]]-Table1[[#This Row],[Total P2P import (kWh)]]</f>
        <v>0</v>
      </c>
      <c r="AE26" s="214">
        <f>IFERROR(Table1[[#This Row],[Total P2P import (kWh)]]/$AC$38,0)</f>
        <v>0</v>
      </c>
      <c r="AF26" s="215">
        <f t="shared" ref="AF26:AF28" si="32">($Q$32-$AR$32)</f>
        <v>2476</v>
      </c>
      <c r="AG26" s="215">
        <f t="shared" ref="AG26:AG28" si="33">AF26*AE26</f>
        <v>0</v>
      </c>
      <c r="AH26" s="226">
        <f t="shared" ref="AH26:AH31" si="34">SUM($Q$34:$Q$36)</f>
        <v>658</v>
      </c>
      <c r="AI26" s="226">
        <f>Table1[[#This Row],[Cluster''s Total Common Services (kWh)]]*Table1[[#This Row],[Percentage of Unit Entitlement (%)]]</f>
        <v>17.108</v>
      </c>
      <c r="AJ26" s="227">
        <f>AG26*'Tariff Rates'!$B$3</f>
        <v>0</v>
      </c>
      <c r="AK26" s="227">
        <f>Table1[[#This Row],[Common Services based on Split per Unit Entitlement % to battery (kWh)]]*'Tariff Rates'!$B$3</f>
        <v>3.76376</v>
      </c>
      <c r="AL26" s="228">
        <f>Table1[[#This Row],[Total P2P import (kWh)]]*IF(Table1[[#This Row],[Total Lot Export (kWh)]]=0,'Tariff Rates'!$L$3,'Tariff Rates'!$B$3)</f>
        <v>42.68</v>
      </c>
      <c r="AM26" s="229">
        <f>Table1[[#This Row],[P2P Import Consumption over Battery Allowance based on Energy Exceeding Allowance % (kWh)]]*'Tariff Rates'!$J$3</f>
        <v>0</v>
      </c>
      <c r="AN26" s="230">
        <f>Table1[[#This Row],[Energy Import from Grid (kWh)]]*'Tariff Rates'!$E$3</f>
        <v>0</v>
      </c>
      <c r="AO26" s="247">
        <f t="shared" ref="AO26:AO28" si="35">SUM(AJ26:AN26)</f>
        <v>46.44376</v>
      </c>
      <c r="AP26" s="248" cm="1">
        <f t="array" ref="AP26">INDEX(Reading_export[1/1/2025],MATCH(1,(Reading_export[Lot]=A26)*(Reading_export[cluster]=$B$1),0))</f>
        <v>12269</v>
      </c>
      <c r="AQ26" s="248" cm="1">
        <f t="array" ref="AQ26">INDEX(Reading_export[01/04/2025],MATCH(1,(Reading_export[Lot]=A26)*(Reading_export[cluster]=$B$1),0))</f>
        <v>14832</v>
      </c>
      <c r="AR26" s="249">
        <f>Table1[[#This Row],[Last day of reporting period: export]]-Table1[[#This Row],[1st day of reporting period: export]]</f>
        <v>2563</v>
      </c>
      <c r="AS26" s="250">
        <f t="shared" ref="AS26:AS28" si="36">AR26/$AR$38</f>
        <v>0.0548928058940695</v>
      </c>
      <c r="AT26" s="251" t="e">
        <f>Table1[[#This Row],[Percentage of Total export for Billing Period (%)]]*$AC$38</f>
        <v>#N/A</v>
      </c>
      <c r="AU26" s="251">
        <f t="shared" ref="AU26:AU28" si="37">IF($Y$38-$E$46&gt;0,$Y$38-$E$46,0)</f>
        <v>835.34</v>
      </c>
      <c r="AV26" s="252">
        <f>IFERROR(Table1[[#This Row],[Total Cluster Energy Balance for P2P Trading (kWh)2]]*Table1[[#This Row],[Unused Daily Allowance %]],0)</f>
        <v>24.9363277517553</v>
      </c>
      <c r="AW26" s="251">
        <f t="shared" ref="AW26:AW28" si="38">AS26*AF26</f>
        <v>135.914587393716</v>
      </c>
      <c r="AX26" s="252">
        <f>Table1[[#This Row],[Cluster''s Total Common Services (kWh)]]*Table1[[#This Row],[Percentage of Total export for Billing Period (%)]]</f>
        <v>36.1194662782977</v>
      </c>
      <c r="AY26" s="252">
        <f>$Q$33*Table1[[#This Row],[Percentage of Total export for Billing Period (%)]]</f>
        <v>144.752329142661</v>
      </c>
      <c r="AZ26"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6" s="252">
        <f t="shared" ref="BA26:BA28" si="39">IFERROR(IF($AZ$38-$F$46&gt;0,$AZ$38-$F$46,0),0)</f>
        <v>0</v>
      </c>
      <c r="BB26" s="252">
        <f>Table1[[#This Row],[Energy Losses When Export to Grid (kWh)]]*Table1[[#This Row],[Percentage of Total export for Billing Period (%)]]</f>
        <v>0</v>
      </c>
      <c r="BC26" s="252" t="e">
        <f>Table1[[#This Row],[Therotical Energy Export to Grid (kWh)]]-Table1[[#This Row],[Energy Losses When Export to Grid based up % total export (kWh)]]</f>
        <v>#N/A</v>
      </c>
      <c r="BD26" s="260">
        <f>AW26*'Tariff Rates'!$C$3</f>
        <v>-29.9012092266176</v>
      </c>
      <c r="BE26" s="260">
        <f>Table1[[#This Row],[Common Service based upon % total export to battery (kWh)]]*'Tariff Rates'!$C$3</f>
        <v>-7.9462825812255</v>
      </c>
      <c r="BF26" s="260">
        <f>Table1[[#This Row],[EV Charger based upon % total export to battery (kWh)]]*'Tariff Rates'!$C$3</f>
        <v>-31.8455124113855</v>
      </c>
      <c r="BG26" s="273" t="e">
        <f>AT26*'Tariff Rates'!$C$3</f>
        <v>#N/A</v>
      </c>
      <c r="BH26" s="273">
        <f>Table1[[#This Row],[Borrowed Allowance Based on Unused Daily Allowance % (kWh)]]*'Tariff Rates'!$K$3</f>
        <v>-0.498726555035107</v>
      </c>
      <c r="BI26" s="273" t="e">
        <f>BC26*'Tariff Rates'!$F$3</f>
        <v>#N/A</v>
      </c>
      <c r="BJ26" s="273" t="e">
        <f t="shared" ref="BJ26:BJ28" si="40">SUM(BD26:BI26)</f>
        <v>#N/A</v>
      </c>
      <c r="BK26" s="274">
        <f>$D$52*Table1[[#This Row],[Percentage of Unit Entitlement (%)]]</f>
        <v>0</v>
      </c>
      <c r="BL26" s="275">
        <f>BK26*'Tariff Rates'!$H$3</f>
        <v>0</v>
      </c>
      <c r="BM26" s="275">
        <f>($Q$33)*Table1[[#This Row],[Percentage of Unit Entitlement (%)]]*'Tariff Rates'!$B$3</f>
        <v>15.08364</v>
      </c>
      <c r="BN26" s="275">
        <f t="shared" ref="BN26:BN28" si="41">SUM(BM26,BL26)</f>
        <v>15.08364</v>
      </c>
      <c r="BO26" s="275">
        <f t="shared" ref="BO26:BO28" si="42">BK26</f>
        <v>0</v>
      </c>
      <c r="BP26" s="295">
        <f t="shared" ref="BP26:BP28" si="43">BO26+BN26</f>
        <v>15.08364</v>
      </c>
      <c r="BQ26" s="296" t="e">
        <f t="shared" ref="BQ26:BQ28" si="44">AO26+BJ26+N26+BP26</f>
        <v>#N/A</v>
      </c>
      <c r="BR26" s="305"/>
      <c r="BS26" s="306"/>
      <c r="BT26" s="307"/>
    </row>
    <row r="27" spans="1:72">
      <c r="A27" s="95">
        <v>23</v>
      </c>
      <c r="B27" s="96" t="str" cm="1">
        <f t="array" ref="B27">INDEX(Table_Household_Alloc[Owner],MATCH(1,(Table_Household_Alloc[Lot]=A27)*(Table_Household_Alloc[cluster]=$B$1),0))</f>
        <v>Clyde Huxtable</v>
      </c>
      <c r="C27" s="97" cm="1">
        <f t="array" ref="C27">INDEX(Reading_import[Meter'#],MATCH(1,(Table_Household_Alloc[Lot]=A27)*(Table_Household_Alloc[cluster]=$B$1),0))</f>
        <v>50002860</v>
      </c>
      <c r="D27" s="98" cm="1">
        <f t="array" ref="D27">INDEX(Table_Household_Alloc[UE % over Cluster],MATCH(1,(Table_Household_Alloc[Lot]=A27)*(Table_Household_Alloc[cluster]=$B$1),0))</f>
        <v>0.026</v>
      </c>
      <c r="E27" s="99" t="str" cm="1">
        <f t="array" ref="E27">INDEX(Table_Household_Alloc[Stage of Dev.],MATCH(1,(Table_Household_Alloc[Lot]=A27)*(Table_Household_Alloc[cluster]=$B$1),0))</f>
        <v>O</v>
      </c>
      <c r="F27" s="100" cm="1">
        <f t="array" ref="F27">INDEX(Amanda_energy[Daily_Supply_incl_GST],MATCH(1,(Amanda_energy[Cluster]=$B$1)*(Amanda_energy[Month]=$F$2),0))/MAX($A:$A)</f>
        <v>6.31481481481481</v>
      </c>
      <c r="G27" s="101" cm="1">
        <f t="array" ref="G27">INDEX(Amanda_energy[Daily_Supply_incl_GST],MATCH(1,(Amanda_energy[Cluster]=$B$1)*(Amanda_energy[Month]=$G$2),0))/MAX($A:$A)</f>
        <v>5.7037037037037</v>
      </c>
      <c r="H27" s="101" cm="1">
        <f t="array" ref="H27">INDEX(Amanda_energy[Daily_Supply_incl_GST],MATCH(1,(Amanda_energy[Cluster]=$B$1)*(Amanda_energy[Month]=$H$2),0))/MAX($A:$A)</f>
        <v>6.31481481481481</v>
      </c>
      <c r="I27" s="101">
        <f>$J$46/MAX($A:$A)</f>
        <v>1.67222222222222</v>
      </c>
      <c r="J27" s="168"/>
      <c r="K27" s="168"/>
      <c r="L27" s="168">
        <f>$L$3*'Tariff Rates'!$D$8*IF(Table1[[#This Row],[Stage of Dev.]]="V",0,1)</f>
        <v>19.8</v>
      </c>
      <c r="M27" s="169">
        <v>3.1</v>
      </c>
      <c r="N27" s="170">
        <f t="shared" si="27"/>
        <v>42.9055555555556</v>
      </c>
      <c r="O27" s="171" cm="1">
        <f t="array" ref="O27">INDEX(Reading_import[1/1/2025],MATCH(1,(Reading_import[Lot]=A27)*(Reading_import[cluster]=$B$1),0))</f>
        <v>3181</v>
      </c>
      <c r="P27" s="172" cm="1">
        <f t="array" ref="P27">INDEX(Reading_import[01/04/2025],MATCH(1,(Reading_import[Lot]=A27)*(Reading_import[cluster]=$B$1),0))</f>
        <v>3312</v>
      </c>
      <c r="Q27" s="189">
        <f>Table1[[#This Row],[Last day of reporting period: import]]-Table1[[#This Row],[1st day of reporting period: import]]</f>
        <v>131</v>
      </c>
      <c r="R27" s="190">
        <f t="shared" si="28"/>
        <v>1.45555555555556</v>
      </c>
      <c r="S27" s="191">
        <f t="shared" si="29"/>
        <v>0.0146009808292465</v>
      </c>
      <c r="T27" s="192">
        <f>IF(Table1[[#This Row],[Stage of Dev.]]="V",0,233*Table1[[#This Row],[Percentage of Unit Entitlement (%)]])</f>
        <v>6.058</v>
      </c>
      <c r="U27" s="193">
        <f t="shared" si="30"/>
        <v>1.45555555555556</v>
      </c>
      <c r="V27" s="193">
        <f>Table1[[#This Row],[Daily Battery allowance based on UE% (kWh)]]-Table1[[#This Row],[Applicable Battery Allowance Daily Consumption (kWh)]]</f>
        <v>4.60244444444444</v>
      </c>
      <c r="W27" s="194">
        <f>Table1[[#This Row],[Unused Daily Allowance (kWh)]]/$V$38</f>
        <v>0.0352063534965395</v>
      </c>
      <c r="X27" s="193">
        <f>IF(Table1[[#This Row],[Applicable Battery Allowance Daily Consumption (kWh)]]&gt;Table1[[#This Row],[Total Daily Average Consumptio for Billing Period (kWh)]],Table1[[#This Row],[Total Consumption Import  (kWh)]],U27*$N$3)</f>
        <v>131</v>
      </c>
      <c r="Y27" s="209">
        <f>IF(Table1[[#This Row],[Applicable Battery Allowance Daily Consumption (kWh)]]&gt;0,ABS(Q27-X27),0)</f>
        <v>0</v>
      </c>
      <c r="Z27" s="210">
        <f>IFERROR(Table1[[#This Row],[Energy Exceeding Battery Allowance (kWh)]]/$Y$38,0)</f>
        <v>0</v>
      </c>
      <c r="AA27" s="211">
        <f t="shared" si="31"/>
        <v>835.34</v>
      </c>
      <c r="AB27" s="212">
        <f>IFERROR(Table1[[#This Row],[Total Cluster Energy Balance for P2P Trading (kWh)]]*Table1[[#This Row],[Energy Exceeding Battery Allowance %]],0)</f>
        <v>0</v>
      </c>
      <c r="AC27" s="213">
        <f>Table1[[#This Row],[P2P Import Consumption within Battery Allowance(kWh)]]+Table1[[#This Row],[P2P Import Consumption over Battery Allowance based on Energy Exceeding Allowance % (kWh)]]</f>
        <v>131</v>
      </c>
      <c r="AD27" s="213">
        <f>Table1[[#This Row],[Total Consumption Import  (kWh)]]-Table1[[#This Row],[Total P2P import (kWh)]]</f>
        <v>0</v>
      </c>
      <c r="AE27" s="214">
        <f>IFERROR(Table1[[#This Row],[Total P2P import (kWh)]]/$AC$38,0)</f>
        <v>0</v>
      </c>
      <c r="AF27" s="215">
        <f t="shared" si="32"/>
        <v>2476</v>
      </c>
      <c r="AG27" s="215">
        <f t="shared" si="33"/>
        <v>0</v>
      </c>
      <c r="AH27" s="226">
        <f t="shared" si="34"/>
        <v>658</v>
      </c>
      <c r="AI27" s="226">
        <f>Table1[[#This Row],[Cluster''s Total Common Services (kWh)]]*Table1[[#This Row],[Percentage of Unit Entitlement (%)]]</f>
        <v>17.108</v>
      </c>
      <c r="AJ27" s="227">
        <f>AG27*'Tariff Rates'!$B$3</f>
        <v>0</v>
      </c>
      <c r="AK27" s="227">
        <f>Table1[[#This Row],[Common Services based on Split per Unit Entitlement % to battery (kWh)]]*'Tariff Rates'!$B$3</f>
        <v>3.76376</v>
      </c>
      <c r="AL27" s="228">
        <f>Table1[[#This Row],[Total P2P import (kWh)]]*IF(Table1[[#This Row],[Total Lot Export (kWh)]]=0,'Tariff Rates'!$L$3,'Tariff Rates'!$B$3)</f>
        <v>28.82</v>
      </c>
      <c r="AM27" s="229">
        <f>Table1[[#This Row],[P2P Import Consumption over Battery Allowance based on Energy Exceeding Allowance % (kWh)]]*'Tariff Rates'!$J$3</f>
        <v>0</v>
      </c>
      <c r="AN27" s="230">
        <f>Table1[[#This Row],[Energy Import from Grid (kWh)]]*'Tariff Rates'!$E$3</f>
        <v>0</v>
      </c>
      <c r="AO27" s="247">
        <f t="shared" si="35"/>
        <v>32.58376</v>
      </c>
      <c r="AP27" s="248" cm="1">
        <f t="array" ref="AP27">INDEX(Reading_export[1/1/2025],MATCH(1,(Reading_export[Lot]=A27)*(Reading_export[cluster]=$B$1),0))</f>
        <v>14010</v>
      </c>
      <c r="AQ27" s="248" cm="1">
        <f t="array" ref="AQ27">INDEX(Reading_export[01/04/2025],MATCH(1,(Reading_export[Lot]=A27)*(Reading_export[cluster]=$B$1),0))</f>
        <v>16609</v>
      </c>
      <c r="AR27" s="249">
        <f>Table1[[#This Row],[Last day of reporting period: export]]-Table1[[#This Row],[1st day of reporting period: export]]</f>
        <v>2599</v>
      </c>
      <c r="AS27" s="250">
        <f t="shared" si="36"/>
        <v>0.0556638324302328</v>
      </c>
      <c r="AT27" s="251" t="e">
        <f>Table1[[#This Row],[Percentage of Total export for Billing Period (%)]]*$AC$38</f>
        <v>#N/A</v>
      </c>
      <c r="AU27" s="251">
        <f t="shared" si="37"/>
        <v>835.34</v>
      </c>
      <c r="AV27" s="252">
        <f>IFERROR(Table1[[#This Row],[Total Cluster Energy Balance for P2P Trading (kWh)2]]*Table1[[#This Row],[Unused Daily Allowance %]],0)</f>
        <v>29.4092753297993</v>
      </c>
      <c r="AW27" s="251">
        <f t="shared" si="38"/>
        <v>137.823649097256</v>
      </c>
      <c r="AX27" s="252">
        <f>Table1[[#This Row],[Cluster''s Total Common Services (kWh)]]*Table1[[#This Row],[Percentage of Total export for Billing Period (%)]]</f>
        <v>36.6268017390932</v>
      </c>
      <c r="AY27" s="252">
        <f>$Q$33*Table1[[#This Row],[Percentage of Total export for Billing Period (%)]]</f>
        <v>146.785526118524</v>
      </c>
      <c r="AZ27"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7" s="252">
        <f t="shared" si="39"/>
        <v>0</v>
      </c>
      <c r="BB27" s="252">
        <f>Table1[[#This Row],[Energy Losses When Export to Grid (kWh)]]*Table1[[#This Row],[Percentage of Total export for Billing Period (%)]]</f>
        <v>0</v>
      </c>
      <c r="BC27" s="252" t="e">
        <f>Table1[[#This Row],[Therotical Energy Export to Grid (kWh)]]-Table1[[#This Row],[Energy Losses When Export to Grid based up % total export (kWh)]]</f>
        <v>#N/A</v>
      </c>
      <c r="BD27" s="260">
        <f>AW27*'Tariff Rates'!$C$3</f>
        <v>-30.3212028013964</v>
      </c>
      <c r="BE27" s="260">
        <f>Table1[[#This Row],[Common Service based upon % total export to battery (kWh)]]*'Tariff Rates'!$C$3</f>
        <v>-8.0578963826005</v>
      </c>
      <c r="BF27" s="260">
        <f>Table1[[#This Row],[EV Charger based upon % total export to battery (kWh)]]*'Tariff Rates'!$C$3</f>
        <v>-32.2928157460753</v>
      </c>
      <c r="BG27" s="273" t="e">
        <f>AT27*'Tariff Rates'!$C$3</f>
        <v>#N/A</v>
      </c>
      <c r="BH27" s="273">
        <f>Table1[[#This Row],[Borrowed Allowance Based on Unused Daily Allowance % (kWh)]]*'Tariff Rates'!$K$3</f>
        <v>-0.588185506595985</v>
      </c>
      <c r="BI27" s="273" t="e">
        <f>BC27*'Tariff Rates'!$F$3</f>
        <v>#N/A</v>
      </c>
      <c r="BJ27" s="273" t="e">
        <f t="shared" si="40"/>
        <v>#N/A</v>
      </c>
      <c r="BK27" s="274">
        <f>$D$52*Table1[[#This Row],[Percentage of Unit Entitlement (%)]]</f>
        <v>0</v>
      </c>
      <c r="BL27" s="275">
        <f>BK27*'Tariff Rates'!$H$3</f>
        <v>0</v>
      </c>
      <c r="BM27" s="275">
        <f>($Q$33)*Table1[[#This Row],[Percentage of Unit Entitlement (%)]]*'Tariff Rates'!$B$3</f>
        <v>15.08364</v>
      </c>
      <c r="BN27" s="275">
        <f t="shared" si="41"/>
        <v>15.08364</v>
      </c>
      <c r="BO27" s="275">
        <f t="shared" si="42"/>
        <v>0</v>
      </c>
      <c r="BP27" s="295">
        <f t="shared" si="43"/>
        <v>15.08364</v>
      </c>
      <c r="BQ27" s="296" t="e">
        <f t="shared" si="44"/>
        <v>#N/A</v>
      </c>
      <c r="BR27" s="305"/>
      <c r="BS27" s="306"/>
      <c r="BT27" s="307"/>
    </row>
    <row r="28" spans="1:72">
      <c r="A28" s="95">
        <v>24</v>
      </c>
      <c r="B28" s="96" t="str" cm="1">
        <f t="array" ref="B28">INDEX(Table_Household_Alloc[Owner],MATCH(1,(Table_Household_Alloc[Lot]=A28)*(Table_Household_Alloc[cluster]=$B$1),0))</f>
        <v>Helen Rose</v>
      </c>
      <c r="C28" s="97" cm="1">
        <f t="array" ref="C28">INDEX(Reading_import[Meter'#],MATCH(1,(Table_Household_Alloc[Lot]=A28)*(Table_Household_Alloc[cluster]=$B$1),0))</f>
        <v>50002649</v>
      </c>
      <c r="D28" s="98" cm="1">
        <f t="array" ref="D28">INDEX(Table_Household_Alloc[UE % over Cluster],MATCH(1,(Table_Household_Alloc[Lot]=A28)*(Table_Household_Alloc[cluster]=$B$1),0))</f>
        <v>0.028</v>
      </c>
      <c r="E28" s="99" t="str" cm="1">
        <f t="array" ref="E28">INDEX(Table_Household_Alloc[Stage of Dev.],MATCH(1,(Table_Household_Alloc[Lot]=A28)*(Table_Household_Alloc[cluster]=$B$1),0))</f>
        <v>UC</v>
      </c>
      <c r="F28" s="100" cm="1">
        <f t="array" ref="F28">INDEX(Amanda_energy[Daily_Supply_incl_GST],MATCH(1,(Amanda_energy[Cluster]=$B$1)*(Amanda_energy[Month]=$F$2),0))/MAX($A:$A)</f>
        <v>6.31481481481481</v>
      </c>
      <c r="G28" s="101" cm="1">
        <f t="array" ref="G28">INDEX(Amanda_energy[Daily_Supply_incl_GST],MATCH(1,(Amanda_energy[Cluster]=$B$1)*(Amanda_energy[Month]=$G$2),0))/MAX($A:$A)</f>
        <v>5.7037037037037</v>
      </c>
      <c r="H28" s="101" cm="1">
        <f t="array" ref="H28">INDEX(Amanda_energy[Daily_Supply_incl_GST],MATCH(1,(Amanda_energy[Cluster]=$B$1)*(Amanda_energy[Month]=$H$2),0))/MAX($A:$A)</f>
        <v>6.31481481481481</v>
      </c>
      <c r="I28" s="101">
        <f>$J$46/MAX($A:$A)</f>
        <v>1.67222222222222</v>
      </c>
      <c r="J28" s="168"/>
      <c r="K28" s="168"/>
      <c r="L28" s="168">
        <f>$L$3*'Tariff Rates'!$D$8*IF(Table1[[#This Row],[Stage of Dev.]]="V",0,1)</f>
        <v>19.8</v>
      </c>
      <c r="M28" s="169">
        <v>4.1</v>
      </c>
      <c r="N28" s="170">
        <f t="shared" si="27"/>
        <v>43.9055555555556</v>
      </c>
      <c r="O28" s="171" cm="1">
        <f t="array" ref="O28">INDEX(Reading_import[1/1/2025],MATCH(1,(Reading_import[Lot]=A28)*(Reading_import[cluster]=$B$1),0))</f>
        <v>27</v>
      </c>
      <c r="P28" s="172" cm="1">
        <f t="array" ref="P28">INDEX(Reading_import[01/04/2025],MATCH(1,(Reading_import[Lot]=A28)*(Reading_import[cluster]=$B$1),0))</f>
        <v>41</v>
      </c>
      <c r="Q28" s="189">
        <f>Table1[[#This Row],[Last day of reporting period: import]]-Table1[[#This Row],[1st day of reporting period: import]]</f>
        <v>14</v>
      </c>
      <c r="R28" s="190">
        <f t="shared" si="28"/>
        <v>0.155555555555556</v>
      </c>
      <c r="S28" s="191">
        <f t="shared" si="29"/>
        <v>0.00156041016495765</v>
      </c>
      <c r="T28" s="192">
        <f>IF(Table1[[#This Row],[Stage of Dev.]]="V",0,233*Table1[[#This Row],[Percentage of Unit Entitlement (%)]])</f>
        <v>6.524</v>
      </c>
      <c r="U28" s="193">
        <f t="shared" si="30"/>
        <v>0.155555555555556</v>
      </c>
      <c r="V28" s="193">
        <f>Table1[[#This Row],[Daily Battery allowance based on UE% (kWh)]]-Table1[[#This Row],[Applicable Battery Allowance Daily Consumption (kWh)]]</f>
        <v>6.36844444444444</v>
      </c>
      <c r="W28" s="194">
        <f>Table1[[#This Row],[Unused Daily Allowance (kWh)]]/$V$38</f>
        <v>0.0487153531217144</v>
      </c>
      <c r="X28" s="193">
        <f>IF(Table1[[#This Row],[Applicable Battery Allowance Daily Consumption (kWh)]]&gt;Table1[[#This Row],[Total Daily Average Consumptio for Billing Period (kWh)]],Table1[[#This Row],[Total Consumption Import  (kWh)]],U28*$N$3)</f>
        <v>14</v>
      </c>
      <c r="Y28" s="209">
        <f>IF(Table1[[#This Row],[Applicable Battery Allowance Daily Consumption (kWh)]]&gt;0,ABS(Q28-X28),0)</f>
        <v>0</v>
      </c>
      <c r="Z28" s="210">
        <f>IFERROR(Table1[[#This Row],[Energy Exceeding Battery Allowance (kWh)]]/$Y$38,0)</f>
        <v>0</v>
      </c>
      <c r="AA28" s="211">
        <f t="shared" si="31"/>
        <v>835.34</v>
      </c>
      <c r="AB28" s="212">
        <f>IFERROR(Table1[[#This Row],[Total Cluster Energy Balance for P2P Trading (kWh)]]*Table1[[#This Row],[Energy Exceeding Battery Allowance %]],0)</f>
        <v>0</v>
      </c>
      <c r="AC28" s="213">
        <f>Table1[[#This Row],[P2P Import Consumption within Battery Allowance(kWh)]]+Table1[[#This Row],[P2P Import Consumption over Battery Allowance based on Energy Exceeding Allowance % (kWh)]]</f>
        <v>14</v>
      </c>
      <c r="AD28" s="213">
        <f>Table1[[#This Row],[Total Consumption Import  (kWh)]]-Table1[[#This Row],[Total P2P import (kWh)]]</f>
        <v>0</v>
      </c>
      <c r="AE28" s="214">
        <f>IFERROR(Table1[[#This Row],[Total P2P import (kWh)]]/$AC$38,0)</f>
        <v>0</v>
      </c>
      <c r="AF28" s="215">
        <f t="shared" si="32"/>
        <v>2476</v>
      </c>
      <c r="AG28" s="215">
        <f t="shared" si="33"/>
        <v>0</v>
      </c>
      <c r="AH28" s="226">
        <f t="shared" si="34"/>
        <v>658</v>
      </c>
      <c r="AI28" s="226">
        <f>Table1[[#This Row],[Cluster''s Total Common Services (kWh)]]*Table1[[#This Row],[Percentage of Unit Entitlement (%)]]</f>
        <v>18.424</v>
      </c>
      <c r="AJ28" s="227">
        <f>AG28*'Tariff Rates'!$B$3</f>
        <v>0</v>
      </c>
      <c r="AK28" s="227">
        <f>Table1[[#This Row],[Common Services based on Split per Unit Entitlement % to battery (kWh)]]*'Tariff Rates'!$B$3</f>
        <v>4.05328</v>
      </c>
      <c r="AL28" s="228">
        <f>Table1[[#This Row],[Total P2P import (kWh)]]*IF(Table1[[#This Row],[Total Lot Export (kWh)]]=0,'Tariff Rates'!$L$3,'Tariff Rates'!$B$3)</f>
        <v>5.04</v>
      </c>
      <c r="AM28" s="229">
        <f>Table1[[#This Row],[P2P Import Consumption over Battery Allowance based on Energy Exceeding Allowance % (kWh)]]*'Tariff Rates'!$J$3</f>
        <v>0</v>
      </c>
      <c r="AN28" s="230">
        <f>Table1[[#This Row],[Energy Import from Grid (kWh)]]*'Tariff Rates'!$E$3</f>
        <v>0</v>
      </c>
      <c r="AO28" s="247">
        <f t="shared" si="35"/>
        <v>9.09328</v>
      </c>
      <c r="AP28" s="248" cm="1">
        <f t="array" ref="AP28">INDEX(Reading_export[1/1/2025],MATCH(1,(Reading_export[Lot]=A28)*(Reading_export[cluster]=$B$1),0))</f>
        <v>0</v>
      </c>
      <c r="AQ28" s="248" cm="1">
        <f t="array" ref="AQ28">INDEX(Reading_export[01/04/2025],MATCH(1,(Reading_export[Lot]=A28)*(Reading_export[cluster]=$B$1),0))</f>
        <v>0</v>
      </c>
      <c r="AR28" s="249">
        <f>Table1[[#This Row],[Last day of reporting period: export]]-Table1[[#This Row],[1st day of reporting period: export]]</f>
        <v>0</v>
      </c>
      <c r="AS28" s="250">
        <f t="shared" si="36"/>
        <v>0</v>
      </c>
      <c r="AT28" s="251" t="e">
        <f>Table1[[#This Row],[Percentage of Total export for Billing Period (%)]]*$AC$38</f>
        <v>#N/A</v>
      </c>
      <c r="AU28" s="251">
        <f t="shared" si="37"/>
        <v>835.34</v>
      </c>
      <c r="AV28" s="252">
        <f>IFERROR(Table1[[#This Row],[Total Cluster Energy Balance for P2P Trading (kWh)2]]*Table1[[#This Row],[Unused Daily Allowance %]],0)</f>
        <v>40.6938830766929</v>
      </c>
      <c r="AW28" s="251">
        <f t="shared" si="38"/>
        <v>0</v>
      </c>
      <c r="AX28" s="252">
        <f>Table1[[#This Row],[Cluster''s Total Common Services (kWh)]]*Table1[[#This Row],[Percentage of Total export for Billing Period (%)]]</f>
        <v>0</v>
      </c>
      <c r="AY28" s="252">
        <f>$Q$33*Table1[[#This Row],[Percentage of Total export for Billing Period (%)]]</f>
        <v>0</v>
      </c>
      <c r="AZ28"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8" s="252">
        <f t="shared" si="39"/>
        <v>0</v>
      </c>
      <c r="BB28" s="252">
        <f>Table1[[#This Row],[Energy Losses When Export to Grid (kWh)]]*Table1[[#This Row],[Percentage of Total export for Billing Period (%)]]</f>
        <v>0</v>
      </c>
      <c r="BC28" s="252" t="e">
        <f>Table1[[#This Row],[Therotical Energy Export to Grid (kWh)]]-Table1[[#This Row],[Energy Losses When Export to Grid based up % total export (kWh)]]</f>
        <v>#N/A</v>
      </c>
      <c r="BD28" s="260">
        <f>AW28*'Tariff Rates'!$C$3</f>
        <v>0</v>
      </c>
      <c r="BE28" s="260">
        <f>Table1[[#This Row],[Common Service based upon % total export to battery (kWh)]]*'Tariff Rates'!$C$3</f>
        <v>0</v>
      </c>
      <c r="BF28" s="260">
        <f>Table1[[#This Row],[EV Charger based upon % total export to battery (kWh)]]*'Tariff Rates'!$C$3</f>
        <v>0</v>
      </c>
      <c r="BG28" s="273" t="e">
        <f>AT28*'Tariff Rates'!$C$3</f>
        <v>#N/A</v>
      </c>
      <c r="BH28" s="273">
        <f>Table1[[#This Row],[Borrowed Allowance Based on Unused Daily Allowance % (kWh)]]*'Tariff Rates'!$K$3</f>
        <v>-0.813877661533859</v>
      </c>
      <c r="BI28" s="273" t="e">
        <f>BC28*'Tariff Rates'!$F$3</f>
        <v>#N/A</v>
      </c>
      <c r="BJ28" s="273" t="e">
        <f t="shared" si="40"/>
        <v>#N/A</v>
      </c>
      <c r="BK28" s="274">
        <f>$D$52*Table1[[#This Row],[Percentage of Unit Entitlement (%)]]</f>
        <v>0</v>
      </c>
      <c r="BL28" s="275">
        <f>BK28*'Tariff Rates'!$H$3</f>
        <v>0</v>
      </c>
      <c r="BM28" s="275">
        <f>($Q$33)*Table1[[#This Row],[Percentage of Unit Entitlement (%)]]*'Tariff Rates'!$B$3</f>
        <v>16.24392</v>
      </c>
      <c r="BN28" s="275">
        <f t="shared" si="41"/>
        <v>16.24392</v>
      </c>
      <c r="BO28" s="275">
        <f t="shared" si="42"/>
        <v>0</v>
      </c>
      <c r="BP28" s="295">
        <f t="shared" si="43"/>
        <v>16.24392</v>
      </c>
      <c r="BQ28" s="296" t="e">
        <f t="shared" si="44"/>
        <v>#N/A</v>
      </c>
      <c r="BR28" s="305"/>
      <c r="BS28" s="306"/>
      <c r="BT28" s="307"/>
    </row>
    <row r="29" spans="1:72">
      <c r="A29" s="95">
        <v>25</v>
      </c>
      <c r="B29" s="96" t="e" cm="1">
        <f t="array" ref="B29">INDEX(Table_Household_Alloc[Owner],MATCH(1,(Table_Household_Alloc[Lot]=A29)*(Table_Household_Alloc[cluster]=$B$1),0))</f>
        <v>#N/A</v>
      </c>
      <c r="C29" s="97" t="e" cm="1">
        <f t="array" ref="C29">INDEX(Reading_import[Meter'#],MATCH(1,(Table_Household_Alloc[Lot]=A29)*(Table_Household_Alloc[cluster]=$B$1),0))</f>
        <v>#N/A</v>
      </c>
      <c r="D29" s="98" t="e" cm="1">
        <f t="array" ref="D29">INDEX(Table_Household_Alloc[UE % over Cluster],MATCH(1,(Table_Household_Alloc[Lot]=A29)*(Table_Household_Alloc[cluster]=$B$1),0))</f>
        <v>#N/A</v>
      </c>
      <c r="E29" s="99" t="e" cm="1">
        <f t="array" ref="E29">INDEX(Table_Household_Alloc[Stage of Dev.],MATCH(1,(Table_Household_Alloc[Lot]=A29)*(Table_Household_Alloc[cluster]=$B$1),0))</f>
        <v>#N/A</v>
      </c>
      <c r="F29" s="100" cm="1">
        <f t="array" ref="F29">INDEX(Amanda_energy[Daily_Supply_incl_GST],MATCH(1,(Amanda_energy[Cluster]=$B$1)*(Amanda_energy[Month]=$F$2),0))/MAX($A:$A)</f>
        <v>6.31481481481481</v>
      </c>
      <c r="G29" s="101" cm="1">
        <f t="array" ref="G29">INDEX(Amanda_energy[Daily_Supply_incl_GST],MATCH(1,(Amanda_energy[Cluster]=$B$1)*(Amanda_energy[Month]=$G$2),0))/MAX($A:$A)</f>
        <v>5.7037037037037</v>
      </c>
      <c r="H29" s="101" cm="1">
        <f t="array" ref="H29">INDEX(Amanda_energy[Daily_Supply_incl_GST],MATCH(1,(Amanda_energy[Cluster]=$B$1)*(Amanda_energy[Month]=$H$2),0))/MAX($A:$A)</f>
        <v>6.31481481481481</v>
      </c>
      <c r="I29" s="101">
        <f>$J$46/MAX($A:$A)</f>
        <v>1.67222222222222</v>
      </c>
      <c r="J29" s="168"/>
      <c r="K29" s="168"/>
      <c r="L29" s="168" t="e">
        <f>$L$3*'Tariff Rates'!$D$8*IF(Table1[[#This Row],[Stage of Dev.]]="V",0,1)</f>
        <v>#N/A</v>
      </c>
      <c r="M29" s="169">
        <v>5.1</v>
      </c>
      <c r="N29" s="170" t="e">
        <f>SUM(F29:M29)</f>
        <v>#N/A</v>
      </c>
      <c r="O29" s="171" t="e" cm="1">
        <f t="array" ref="O29">INDEX(Reading_import[1/1/2025],MATCH(1,(Reading_import[Lot]=A29)*(Reading_import[cluster]=$B$1),0))</f>
        <v>#N/A</v>
      </c>
      <c r="P29" s="172" t="e" cm="1">
        <f t="array" ref="P29">INDEX(Reading_import[01/04/2025],MATCH(1,(Reading_import[Lot]=A29)*(Reading_import[cluster]=$B$1),0))</f>
        <v>#N/A</v>
      </c>
      <c r="Q29" s="189" t="e">
        <f>Table1[[#This Row],[Last day of reporting period: import]]-Table1[[#This Row],[1st day of reporting period: import]]</f>
        <v>#N/A</v>
      </c>
      <c r="R29" s="190" t="e">
        <f>Q29/$N$3</f>
        <v>#N/A</v>
      </c>
      <c r="S29" s="191" t="e">
        <f>Q29/$Q$38</f>
        <v>#N/A</v>
      </c>
      <c r="T29" s="192" t="e">
        <f>IF(Table1[[#This Row],[Stage of Dev.]]="V",0,233*Table1[[#This Row],[Percentage of Unit Entitlement (%)]])</f>
        <v>#N/A</v>
      </c>
      <c r="U29" s="193" t="e">
        <f>IF(T29&gt;R29,R29,T29)</f>
        <v>#N/A</v>
      </c>
      <c r="V29" s="193" t="e">
        <f>Table1[[#This Row],[Daily Battery allowance based on UE% (kWh)]]-Table1[[#This Row],[Applicable Battery Allowance Daily Consumption (kWh)]]</f>
        <v>#N/A</v>
      </c>
      <c r="W29" s="194" t="e">
        <f>Table1[[#This Row],[Unused Daily Allowance (kWh)]]/$V$38</f>
        <v>#N/A</v>
      </c>
      <c r="X29" s="193" t="e">
        <f>IF(Table1[[#This Row],[Applicable Battery Allowance Daily Consumption (kWh)]]&gt;Table1[[#This Row],[Total Daily Average Consumptio for Billing Period (kWh)]],Table1[[#This Row],[Total Consumption Import  (kWh)]],U29*$N$3)</f>
        <v>#N/A</v>
      </c>
      <c r="Y29" s="209" t="e">
        <f>IF(Table1[[#This Row],[Applicable Battery Allowance Daily Consumption (kWh)]]&gt;0,ABS(Q29-X29),0)</f>
        <v>#N/A</v>
      </c>
      <c r="Z29" s="210">
        <f>IFERROR(Table1[[#This Row],[Energy Exceeding Battery Allowance (kWh)]]/$Y$38,0)</f>
        <v>0</v>
      </c>
      <c r="AA29" s="211">
        <f>IF($Y$38-$E$46&gt;0,$Y$38-$E$46,0)</f>
        <v>835.34</v>
      </c>
      <c r="AB29" s="212">
        <f>IFERROR(Table1[[#This Row],[Total Cluster Energy Balance for P2P Trading (kWh)]]*Table1[[#This Row],[Energy Exceeding Battery Allowance %]],0)</f>
        <v>0</v>
      </c>
      <c r="AC29" s="213" t="e">
        <f>Table1[[#This Row],[P2P Import Consumption within Battery Allowance(kWh)]]+Table1[[#This Row],[P2P Import Consumption over Battery Allowance based on Energy Exceeding Allowance % (kWh)]]</f>
        <v>#N/A</v>
      </c>
      <c r="AD29" s="213" t="e">
        <f>Table1[[#This Row],[Total Consumption Import  (kWh)]]-Table1[[#This Row],[Total P2P import (kWh)]]</f>
        <v>#N/A</v>
      </c>
      <c r="AE29" s="214">
        <f>IFERROR(Table1[[#This Row],[Total P2P import (kWh)]]/$AC$38,0)</f>
        <v>0</v>
      </c>
      <c r="AF29" s="215">
        <f>($Q$32-$AR$32)</f>
        <v>2476</v>
      </c>
      <c r="AG29" s="215">
        <f>AF29*AE29</f>
        <v>0</v>
      </c>
      <c r="AH29" s="226">
        <f>SUM($Q$34:$Q$36)</f>
        <v>658</v>
      </c>
      <c r="AI29" s="226" t="e">
        <f>Table1[[#This Row],[Cluster''s Total Common Services (kWh)]]*Table1[[#This Row],[Percentage of Unit Entitlement (%)]]</f>
        <v>#N/A</v>
      </c>
      <c r="AJ29" s="227">
        <f>AG29*'Tariff Rates'!$B$3</f>
        <v>0</v>
      </c>
      <c r="AK29" s="227" t="e">
        <f>Table1[[#This Row],[Common Services based on Split per Unit Entitlement % to battery (kWh)]]*'Tariff Rates'!$B$3</f>
        <v>#N/A</v>
      </c>
      <c r="AL29" s="228" t="e">
        <f>Table1[[#This Row],[Total P2P import (kWh)]]*IF(Table1[[#This Row],[Total Lot Export (kWh)]]=0,'Tariff Rates'!$L$3,'Tariff Rates'!$B$3)</f>
        <v>#N/A</v>
      </c>
      <c r="AM29" s="229">
        <f>Table1[[#This Row],[P2P Import Consumption over Battery Allowance based on Energy Exceeding Allowance % (kWh)]]*'Tariff Rates'!$J$3</f>
        <v>0</v>
      </c>
      <c r="AN29" s="230" t="e">
        <f>Table1[[#This Row],[Energy Import from Grid (kWh)]]*'Tariff Rates'!$E$3</f>
        <v>#N/A</v>
      </c>
      <c r="AO29" s="247" t="e">
        <f>SUM(AJ29:AN29)</f>
        <v>#N/A</v>
      </c>
      <c r="AP29" s="248" t="e" cm="1">
        <f t="array" ref="AP29">INDEX(Reading_export[1/1/2025],MATCH(1,(Reading_export[Lot]=A29)*(Reading_export[cluster]=$B$1),0))</f>
        <v>#N/A</v>
      </c>
      <c r="AQ29" s="248" t="e" cm="1">
        <f t="array" ref="AQ29">INDEX(Reading_export[01/04/2025],MATCH(1,(Reading_export[Lot]=A29)*(Reading_export[cluster]=$B$1),0))</f>
        <v>#N/A</v>
      </c>
      <c r="AR29" s="249" t="e">
        <f>Table1[[#This Row],[Last day of reporting period: export]]-Table1[[#This Row],[1st day of reporting period: export]]</f>
        <v>#N/A</v>
      </c>
      <c r="AS29" s="250" t="e">
        <f>AR29/$AR$38</f>
        <v>#N/A</v>
      </c>
      <c r="AT29" s="251" t="e">
        <f>Table1[[#This Row],[Percentage of Total export for Billing Period (%)]]*$AC$38</f>
        <v>#N/A</v>
      </c>
      <c r="AU29" s="251">
        <f>IF($Y$38-$E$46&gt;0,$Y$38-$E$46,0)</f>
        <v>835.34</v>
      </c>
      <c r="AV29" s="252">
        <f>IFERROR(Table1[[#This Row],[Total Cluster Energy Balance for P2P Trading (kWh)2]]*Table1[[#This Row],[Unused Daily Allowance %]],0)</f>
        <v>0</v>
      </c>
      <c r="AW29" s="251" t="e">
        <f>AS29*AF29</f>
        <v>#N/A</v>
      </c>
      <c r="AX29" s="252" t="e">
        <f>Table1[[#This Row],[Cluster''s Total Common Services (kWh)]]*Table1[[#This Row],[Percentage of Total export for Billing Period (%)]]</f>
        <v>#N/A</v>
      </c>
      <c r="AY29" s="252" t="e">
        <f>$Q$33*Table1[[#This Row],[Percentage of Total export for Billing Period (%)]]</f>
        <v>#N/A</v>
      </c>
      <c r="AZ29"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29" s="252">
        <f>IFERROR(IF($AZ$38-$F$46&gt;0,$AZ$38-$F$46,0),0)</f>
        <v>0</v>
      </c>
      <c r="BB29" s="252" t="e">
        <f>Table1[[#This Row],[Energy Losses When Export to Grid (kWh)]]*Table1[[#This Row],[Percentage of Total export for Billing Period (%)]]</f>
        <v>#N/A</v>
      </c>
      <c r="BC29" s="252" t="e">
        <f>Table1[[#This Row],[Therotical Energy Export to Grid (kWh)]]-Table1[[#This Row],[Energy Losses When Export to Grid based up % total export (kWh)]]</f>
        <v>#N/A</v>
      </c>
      <c r="BD29" s="260" t="e">
        <f>AW29*'Tariff Rates'!$C$3</f>
        <v>#N/A</v>
      </c>
      <c r="BE29" s="260" t="e">
        <f>Table1[[#This Row],[Common Service based upon % total export to battery (kWh)]]*'Tariff Rates'!$C$3</f>
        <v>#N/A</v>
      </c>
      <c r="BF29" s="260" t="e">
        <f>Table1[[#This Row],[EV Charger based upon % total export to battery (kWh)]]*'Tariff Rates'!$C$3</f>
        <v>#N/A</v>
      </c>
      <c r="BG29" s="273" t="e">
        <f>AT29*'Tariff Rates'!$C$3</f>
        <v>#N/A</v>
      </c>
      <c r="BH29" s="273">
        <f>Table1[[#This Row],[Borrowed Allowance Based on Unused Daily Allowance % (kWh)]]*'Tariff Rates'!$K$3</f>
        <v>0</v>
      </c>
      <c r="BI29" s="273" t="e">
        <f>BC29*'Tariff Rates'!$F$3</f>
        <v>#N/A</v>
      </c>
      <c r="BJ29" s="273" t="e">
        <f>SUM(BD29:BI29)</f>
        <v>#N/A</v>
      </c>
      <c r="BK29" s="274" t="e">
        <f>$D$52*Table1[[#This Row],[Percentage of Unit Entitlement (%)]]</f>
        <v>#N/A</v>
      </c>
      <c r="BL29" s="275" t="e">
        <f>BK29*'Tariff Rates'!$H$3</f>
        <v>#N/A</v>
      </c>
      <c r="BM29" s="275" t="e">
        <f>($Q$33)*Table1[[#This Row],[Percentage of Unit Entitlement (%)]]*'Tariff Rates'!$B$3</f>
        <v>#N/A</v>
      </c>
      <c r="BN29" s="275" t="e">
        <f>SUM(BM29,BL29)</f>
        <v>#N/A</v>
      </c>
      <c r="BO29" s="275" t="e">
        <f>BK29</f>
        <v>#N/A</v>
      </c>
      <c r="BP29" s="295" t="e">
        <f>BO29+BN29</f>
        <v>#N/A</v>
      </c>
      <c r="BQ29" s="296" t="e">
        <f>AO29+BJ29+N29+BP29</f>
        <v>#N/A</v>
      </c>
      <c r="BR29" s="308"/>
      <c r="BS29" s="309"/>
      <c r="BT29" s="310"/>
    </row>
    <row r="30" spans="1:72">
      <c r="A30" s="95">
        <v>26</v>
      </c>
      <c r="B30" s="96" t="e" cm="1">
        <f t="array" ref="B30">INDEX(Table_Household_Alloc[Owner],MATCH(1,(Table_Household_Alloc[Lot]=A30)*(Table_Household_Alloc[cluster]=$B$1),0))</f>
        <v>#N/A</v>
      </c>
      <c r="C30" s="97" t="e" cm="1">
        <f t="array" ref="C30">INDEX(Reading_import[Meter'#],MATCH(1,(Table_Household_Alloc[Lot]=A30)*(Table_Household_Alloc[cluster]=$B$1),0))</f>
        <v>#N/A</v>
      </c>
      <c r="D30" s="98" t="e" cm="1">
        <f t="array" ref="D30">INDEX(Table_Household_Alloc[UE % over Cluster],MATCH(1,(Table_Household_Alloc[Lot]=A30)*(Table_Household_Alloc[cluster]=$B$1),0))</f>
        <v>#N/A</v>
      </c>
      <c r="E30" s="99" t="e" cm="1">
        <f t="array" ref="E30">INDEX(Table_Household_Alloc[Stage of Dev.],MATCH(1,(Table_Household_Alloc[Lot]=A30)*(Table_Household_Alloc[cluster]=$B$1),0))</f>
        <v>#N/A</v>
      </c>
      <c r="F30" s="100" cm="1">
        <f t="array" ref="F30">INDEX(Amanda_energy[Daily_Supply_incl_GST],MATCH(1,(Amanda_energy[Cluster]=$B$1)*(Amanda_energy[Month]=$F$2),0))/MAX($A:$A)</f>
        <v>6.31481481481481</v>
      </c>
      <c r="G30" s="101" cm="1">
        <f t="array" ref="G30">INDEX(Amanda_energy[Daily_Supply_incl_GST],MATCH(1,(Amanda_energy[Cluster]=$B$1)*(Amanda_energy[Month]=$G$2),0))/MAX($A:$A)</f>
        <v>5.7037037037037</v>
      </c>
      <c r="H30" s="101" cm="1">
        <f t="array" ref="H30">INDEX(Amanda_energy[Daily_Supply_incl_GST],MATCH(1,(Amanda_energy[Cluster]=$B$1)*(Amanda_energy[Month]=$H$2),0))/MAX($A:$A)</f>
        <v>6.31481481481481</v>
      </c>
      <c r="I30" s="101">
        <f>$J$46/MAX($A:$A)</f>
        <v>1.67222222222222</v>
      </c>
      <c r="J30" s="168"/>
      <c r="K30" s="168"/>
      <c r="L30" s="168" t="e">
        <f>$L$3*'Tariff Rates'!$D$8*IF(Table1[[#This Row],[Stage of Dev.]]="V",0,1)</f>
        <v>#N/A</v>
      </c>
      <c r="M30" s="169">
        <v>6.1</v>
      </c>
      <c r="N30" s="170" t="e">
        <f>SUM(F30:M30)</f>
        <v>#N/A</v>
      </c>
      <c r="O30" s="171" t="e" cm="1">
        <f t="array" ref="O30">INDEX(Reading_import[1/1/2025],MATCH(1,(Reading_import[Lot]=A30)*(Reading_import[cluster]=$B$1),0))</f>
        <v>#N/A</v>
      </c>
      <c r="P30" s="172" t="e" cm="1">
        <f t="array" ref="P30">INDEX(Reading_import[01/04/2025],MATCH(1,(Reading_import[Lot]=A30)*(Reading_import[cluster]=$B$1),0))</f>
        <v>#N/A</v>
      </c>
      <c r="Q30" s="189" t="e">
        <f>Table1[[#This Row],[Last day of reporting period: import]]-Table1[[#This Row],[1st day of reporting period: import]]</f>
        <v>#N/A</v>
      </c>
      <c r="R30" s="190" t="e">
        <f>Q30/$N$3</f>
        <v>#N/A</v>
      </c>
      <c r="S30" s="191" t="e">
        <f>Q30/$Q$38</f>
        <v>#N/A</v>
      </c>
      <c r="T30" s="192" t="e">
        <f>IF(Table1[[#This Row],[Stage of Dev.]]="V",0,233*Table1[[#This Row],[Percentage of Unit Entitlement (%)]])</f>
        <v>#N/A</v>
      </c>
      <c r="U30" s="193" t="e">
        <f>IF(T30&gt;R30,R30,T30)</f>
        <v>#N/A</v>
      </c>
      <c r="V30" s="193" t="e">
        <f>Table1[[#This Row],[Daily Battery allowance based on UE% (kWh)]]-Table1[[#This Row],[Applicable Battery Allowance Daily Consumption (kWh)]]</f>
        <v>#N/A</v>
      </c>
      <c r="W30" s="194" t="e">
        <f>Table1[[#This Row],[Unused Daily Allowance (kWh)]]/$V$38</f>
        <v>#N/A</v>
      </c>
      <c r="X30" s="193" t="e">
        <f>IF(Table1[[#This Row],[Applicable Battery Allowance Daily Consumption (kWh)]]&gt;Table1[[#This Row],[Total Daily Average Consumptio for Billing Period (kWh)]],Table1[[#This Row],[Total Consumption Import  (kWh)]],U30*$N$3)</f>
        <v>#N/A</v>
      </c>
      <c r="Y30" s="209" t="e">
        <f>IF(Table1[[#This Row],[Applicable Battery Allowance Daily Consumption (kWh)]]&gt;0,ABS(Q30-X30),0)</f>
        <v>#N/A</v>
      </c>
      <c r="Z30" s="210">
        <f>IFERROR(Table1[[#This Row],[Energy Exceeding Battery Allowance (kWh)]]/$Y$38,0)</f>
        <v>0</v>
      </c>
      <c r="AA30" s="211">
        <f>IF($Y$38-$E$46&gt;0,$Y$38-$E$46,0)</f>
        <v>835.34</v>
      </c>
      <c r="AB30" s="212">
        <f>IFERROR(Table1[[#This Row],[Total Cluster Energy Balance for P2P Trading (kWh)]]*Table1[[#This Row],[Energy Exceeding Battery Allowance %]],0)</f>
        <v>0</v>
      </c>
      <c r="AC30" s="213" t="e">
        <f>Table1[[#This Row],[P2P Import Consumption within Battery Allowance(kWh)]]+Table1[[#This Row],[P2P Import Consumption over Battery Allowance based on Energy Exceeding Allowance % (kWh)]]</f>
        <v>#N/A</v>
      </c>
      <c r="AD30" s="213" t="e">
        <f>Table1[[#This Row],[Total Consumption Import  (kWh)]]-Table1[[#This Row],[Total P2P import (kWh)]]</f>
        <v>#N/A</v>
      </c>
      <c r="AE30" s="214">
        <f>IFERROR(Table1[[#This Row],[Total P2P import (kWh)]]/$AC$38,0)</f>
        <v>0</v>
      </c>
      <c r="AF30" s="215">
        <f>($Q$32-$AR$32)</f>
        <v>2476</v>
      </c>
      <c r="AG30" s="215">
        <f>AF30*AE30</f>
        <v>0</v>
      </c>
      <c r="AH30" s="226">
        <f>SUM($Q$34:$Q$36)</f>
        <v>658</v>
      </c>
      <c r="AI30" s="226" t="e">
        <f>Table1[[#This Row],[Cluster''s Total Common Services (kWh)]]*Table1[[#This Row],[Percentage of Unit Entitlement (%)]]</f>
        <v>#N/A</v>
      </c>
      <c r="AJ30" s="227">
        <f>AG30*'Tariff Rates'!$B$3</f>
        <v>0</v>
      </c>
      <c r="AK30" s="227" t="e">
        <f>Table1[[#This Row],[Common Services based on Split per Unit Entitlement % to battery (kWh)]]*'Tariff Rates'!$B$3</f>
        <v>#N/A</v>
      </c>
      <c r="AL30" s="228" t="e">
        <f>Table1[[#This Row],[Total P2P import (kWh)]]*IF(Table1[[#This Row],[Total Lot Export (kWh)]]=0,'Tariff Rates'!$L$3,'Tariff Rates'!$B$3)</f>
        <v>#N/A</v>
      </c>
      <c r="AM30" s="229">
        <f>Table1[[#This Row],[P2P Import Consumption over Battery Allowance based on Energy Exceeding Allowance % (kWh)]]*'Tariff Rates'!$J$3</f>
        <v>0</v>
      </c>
      <c r="AN30" s="230" t="e">
        <f>Table1[[#This Row],[Energy Import from Grid (kWh)]]*'Tariff Rates'!$E$3</f>
        <v>#N/A</v>
      </c>
      <c r="AO30" s="247" t="e">
        <f>SUM(AJ30:AN30)</f>
        <v>#N/A</v>
      </c>
      <c r="AP30" s="248" t="e" cm="1">
        <f t="array" ref="AP30">INDEX(Reading_export[1/1/2025],MATCH(1,(Reading_export[Lot]=A30)*(Reading_export[cluster]=$B$1),0))</f>
        <v>#N/A</v>
      </c>
      <c r="AQ30" s="248" t="e" cm="1">
        <f t="array" ref="AQ30">INDEX(Reading_export[01/04/2025],MATCH(1,(Reading_export[Lot]=A30)*(Reading_export[cluster]=$B$1),0))</f>
        <v>#N/A</v>
      </c>
      <c r="AR30" s="249" t="e">
        <f>Table1[[#This Row],[Last day of reporting period: export]]-Table1[[#This Row],[1st day of reporting period: export]]</f>
        <v>#N/A</v>
      </c>
      <c r="AS30" s="250" t="e">
        <f>AR30/$AR$38</f>
        <v>#N/A</v>
      </c>
      <c r="AT30" s="251" t="e">
        <f>Table1[[#This Row],[Percentage of Total export for Billing Period (%)]]*$AC$38</f>
        <v>#N/A</v>
      </c>
      <c r="AU30" s="251">
        <f>IF($Y$38-$E$46&gt;0,$Y$38-$E$46,0)</f>
        <v>835.34</v>
      </c>
      <c r="AV30" s="252">
        <f>IFERROR(Table1[[#This Row],[Total Cluster Energy Balance for P2P Trading (kWh)2]]*Table1[[#This Row],[Unused Daily Allowance %]],0)</f>
        <v>0</v>
      </c>
      <c r="AW30" s="251" t="e">
        <f>AS30*AF30</f>
        <v>#N/A</v>
      </c>
      <c r="AX30" s="252" t="e">
        <f>Table1[[#This Row],[Cluster''s Total Common Services (kWh)]]*Table1[[#This Row],[Percentage of Total export for Billing Period (%)]]</f>
        <v>#N/A</v>
      </c>
      <c r="AY30" s="252" t="e">
        <f>$Q$33*Table1[[#This Row],[Percentage of Total export for Billing Period (%)]]</f>
        <v>#N/A</v>
      </c>
      <c r="AZ30"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30" s="252">
        <f>IFERROR(IF($AZ$38-$F$46&gt;0,$AZ$38-$F$46,0),0)</f>
        <v>0</v>
      </c>
      <c r="BB30" s="252" t="e">
        <f>Table1[[#This Row],[Energy Losses When Export to Grid (kWh)]]*Table1[[#This Row],[Percentage of Total export for Billing Period (%)]]</f>
        <v>#N/A</v>
      </c>
      <c r="BC30" s="252" t="e">
        <f>Table1[[#This Row],[Therotical Energy Export to Grid (kWh)]]-Table1[[#This Row],[Energy Losses When Export to Grid based up % total export (kWh)]]</f>
        <v>#N/A</v>
      </c>
      <c r="BD30" s="260" t="e">
        <f>AW30*'Tariff Rates'!$C$3</f>
        <v>#N/A</v>
      </c>
      <c r="BE30" s="260" t="e">
        <f>Table1[[#This Row],[Common Service based upon % total export to battery (kWh)]]*'Tariff Rates'!$C$3</f>
        <v>#N/A</v>
      </c>
      <c r="BF30" s="260" t="e">
        <f>Table1[[#This Row],[EV Charger based upon % total export to battery (kWh)]]*'Tariff Rates'!$C$3</f>
        <v>#N/A</v>
      </c>
      <c r="BG30" s="273" t="e">
        <f>AT30*'Tariff Rates'!$C$3</f>
        <v>#N/A</v>
      </c>
      <c r="BH30" s="273">
        <f>Table1[[#This Row],[Borrowed Allowance Based on Unused Daily Allowance % (kWh)]]*'Tariff Rates'!$K$3</f>
        <v>0</v>
      </c>
      <c r="BI30" s="273" t="e">
        <f>BC30*'Tariff Rates'!$F$3</f>
        <v>#N/A</v>
      </c>
      <c r="BJ30" s="273" t="e">
        <f>SUM(BD30:BI30)</f>
        <v>#N/A</v>
      </c>
      <c r="BK30" s="274" t="e">
        <f>$D$52*Table1[[#This Row],[Percentage of Unit Entitlement (%)]]</f>
        <v>#N/A</v>
      </c>
      <c r="BL30" s="275" t="e">
        <f>BK30*'Tariff Rates'!$H$3</f>
        <v>#N/A</v>
      </c>
      <c r="BM30" s="275" t="e">
        <f>($Q$33)*Table1[[#This Row],[Percentage of Unit Entitlement (%)]]*'Tariff Rates'!$B$3</f>
        <v>#N/A</v>
      </c>
      <c r="BN30" s="275" t="e">
        <f>SUM(BM30,BL30)</f>
        <v>#N/A</v>
      </c>
      <c r="BO30" s="275" t="e">
        <f>BK30</f>
        <v>#N/A</v>
      </c>
      <c r="BP30" s="295" t="e">
        <f>BO30+BN30</f>
        <v>#N/A</v>
      </c>
      <c r="BQ30" s="296" t="e">
        <f>AO30+BJ30+N30+BP30</f>
        <v>#N/A</v>
      </c>
      <c r="BR30" s="308"/>
      <c r="BS30" s="309"/>
      <c r="BT30" s="310"/>
    </row>
    <row r="31" spans="1:72">
      <c r="A31" s="95">
        <v>27</v>
      </c>
      <c r="B31" s="96" t="e" cm="1">
        <f t="array" ref="B31">INDEX(Table_Household_Alloc[Owner],MATCH(1,(Table_Household_Alloc[Lot]=A31)*(Table_Household_Alloc[cluster]=$B$1),0))</f>
        <v>#N/A</v>
      </c>
      <c r="C31" s="97" t="e" cm="1">
        <f t="array" ref="C31">INDEX(Reading_import[Meter'#],MATCH(1,(Table_Household_Alloc[Lot]=A31)*(Table_Household_Alloc[cluster]=$B$1),0))</f>
        <v>#N/A</v>
      </c>
      <c r="D31" s="98" t="e" cm="1">
        <f t="array" ref="D31">INDEX(Table_Household_Alloc[UE % over Cluster],MATCH(1,(Table_Household_Alloc[Lot]=A31)*(Table_Household_Alloc[cluster]=$B$1),0))</f>
        <v>#N/A</v>
      </c>
      <c r="E31" s="99" t="e" cm="1">
        <f t="array" ref="E31">INDEX(Table_Household_Alloc[Stage of Dev.],MATCH(1,(Table_Household_Alloc[Lot]=A31)*(Table_Household_Alloc[cluster]=$B$1),0))</f>
        <v>#N/A</v>
      </c>
      <c r="F31" s="100" cm="1">
        <f t="array" ref="F31">INDEX(Amanda_energy[Daily_Supply_incl_GST],MATCH(1,(Amanda_energy[Cluster]=$B$1)*(Amanda_energy[Month]=$F$2),0))/MAX($A:$A)</f>
        <v>6.31481481481481</v>
      </c>
      <c r="G31" s="101" cm="1">
        <f t="array" ref="G31">INDEX(Amanda_energy[Daily_Supply_incl_GST],MATCH(1,(Amanda_energy[Cluster]=$B$1)*(Amanda_energy[Month]=$G$2),0))/MAX($A:$A)</f>
        <v>5.7037037037037</v>
      </c>
      <c r="H31" s="101" cm="1">
        <f t="array" ref="H31">INDEX(Amanda_energy[Daily_Supply_incl_GST],MATCH(1,(Amanda_energy[Cluster]=$B$1)*(Amanda_energy[Month]=$H$2),0))/MAX($A:$A)</f>
        <v>6.31481481481481</v>
      </c>
      <c r="I31" s="101">
        <f>$J$46/MAX($A:$A)</f>
        <v>1.67222222222222</v>
      </c>
      <c r="J31" s="168"/>
      <c r="K31" s="168"/>
      <c r="L31" s="168" t="e">
        <f>$L$3*'Tariff Rates'!$D$8*IF(Table1[[#This Row],[Stage of Dev.]]="V",0,1)</f>
        <v>#N/A</v>
      </c>
      <c r="M31" s="169">
        <v>7.1</v>
      </c>
      <c r="N31" s="170" t="e">
        <f>SUM(F31:M31)</f>
        <v>#N/A</v>
      </c>
      <c r="O31" s="171" t="e" cm="1">
        <f t="array" ref="O31">INDEX(Reading_import[1/1/2025],MATCH(1,(Reading_import[Lot]=A31)*(Reading_import[cluster]=$B$1),0))</f>
        <v>#N/A</v>
      </c>
      <c r="P31" s="172" t="e" cm="1">
        <f t="array" ref="P31">INDEX(Reading_import[01/04/2025],MATCH(1,(Reading_import[Lot]=A31)*(Reading_import[cluster]=$B$1),0))</f>
        <v>#N/A</v>
      </c>
      <c r="Q31" s="189" t="e">
        <f>Table1[[#This Row],[Last day of reporting period: import]]-Table1[[#This Row],[1st day of reporting period: import]]</f>
        <v>#N/A</v>
      </c>
      <c r="R31" s="190" t="e">
        <f>Q31/$N$3</f>
        <v>#N/A</v>
      </c>
      <c r="S31" s="191" t="e">
        <f>Q31/$Q$38</f>
        <v>#N/A</v>
      </c>
      <c r="T31" s="192" t="e">
        <f>IF(Table1[[#This Row],[Stage of Dev.]]="V",0,233*Table1[[#This Row],[Percentage of Unit Entitlement (%)]])</f>
        <v>#N/A</v>
      </c>
      <c r="U31" s="193" t="e">
        <f>IF(T31&gt;R31,R31,T31)</f>
        <v>#N/A</v>
      </c>
      <c r="V31" s="193" t="e">
        <f>Table1[[#This Row],[Daily Battery allowance based on UE% (kWh)]]-Table1[[#This Row],[Applicable Battery Allowance Daily Consumption (kWh)]]</f>
        <v>#N/A</v>
      </c>
      <c r="W31" s="194" t="e">
        <f>Table1[[#This Row],[Unused Daily Allowance (kWh)]]/$V$38</f>
        <v>#N/A</v>
      </c>
      <c r="X31" s="193" t="e">
        <f>IF(Table1[[#This Row],[Applicable Battery Allowance Daily Consumption (kWh)]]&gt;Table1[[#This Row],[Total Daily Average Consumptio for Billing Period (kWh)]],Table1[[#This Row],[Total Consumption Import  (kWh)]],U31*$N$3)</f>
        <v>#N/A</v>
      </c>
      <c r="Y31" s="209" t="e">
        <f>IF(Table1[[#This Row],[Applicable Battery Allowance Daily Consumption (kWh)]]&gt;0,ABS(Q31-X31),0)</f>
        <v>#N/A</v>
      </c>
      <c r="Z31" s="210">
        <f>IFERROR(Table1[[#This Row],[Energy Exceeding Battery Allowance (kWh)]]/$Y$38,0)</f>
        <v>0</v>
      </c>
      <c r="AA31" s="211">
        <f>IF($Y$38-$E$46&gt;0,$Y$38-$E$46,0)</f>
        <v>835.34</v>
      </c>
      <c r="AB31" s="212">
        <f>IFERROR(Table1[[#This Row],[Total Cluster Energy Balance for P2P Trading (kWh)]]*Table1[[#This Row],[Energy Exceeding Battery Allowance %]],0)</f>
        <v>0</v>
      </c>
      <c r="AC31" s="213" t="e">
        <f>Table1[[#This Row],[P2P Import Consumption within Battery Allowance(kWh)]]+Table1[[#This Row],[P2P Import Consumption over Battery Allowance based on Energy Exceeding Allowance % (kWh)]]</f>
        <v>#N/A</v>
      </c>
      <c r="AD31" s="213" t="e">
        <f>Table1[[#This Row],[Total Consumption Import  (kWh)]]-Table1[[#This Row],[Total P2P import (kWh)]]</f>
        <v>#N/A</v>
      </c>
      <c r="AE31" s="214">
        <f>IFERROR(Table1[[#This Row],[Total P2P import (kWh)]]/$AC$38,0)</f>
        <v>0</v>
      </c>
      <c r="AF31" s="215">
        <f>($Q$32-$AR$32)</f>
        <v>2476</v>
      </c>
      <c r="AG31" s="215">
        <f>AF31*AE31</f>
        <v>0</v>
      </c>
      <c r="AH31" s="226">
        <f>SUM($Q$34:$Q$36)</f>
        <v>658</v>
      </c>
      <c r="AI31" s="226" t="e">
        <f>Table1[[#This Row],[Cluster''s Total Common Services (kWh)]]*Table1[[#This Row],[Percentage of Unit Entitlement (%)]]</f>
        <v>#N/A</v>
      </c>
      <c r="AJ31" s="227">
        <f>AG31*'Tariff Rates'!$B$3</f>
        <v>0</v>
      </c>
      <c r="AK31" s="227" t="e">
        <f>Table1[[#This Row],[Common Services based on Split per Unit Entitlement % to battery (kWh)]]*'Tariff Rates'!$B$3</f>
        <v>#N/A</v>
      </c>
      <c r="AL31" s="228" t="e">
        <f>Table1[[#This Row],[Total P2P import (kWh)]]*IF(Table1[[#This Row],[Total Lot Export (kWh)]]=0,'Tariff Rates'!$L$3,'Tariff Rates'!$B$3)</f>
        <v>#N/A</v>
      </c>
      <c r="AM31" s="229">
        <f>Table1[[#This Row],[P2P Import Consumption over Battery Allowance based on Energy Exceeding Allowance % (kWh)]]*'Tariff Rates'!$J$3</f>
        <v>0</v>
      </c>
      <c r="AN31" s="230" t="e">
        <f>Table1[[#This Row],[Energy Import from Grid (kWh)]]*'Tariff Rates'!$E$3</f>
        <v>#N/A</v>
      </c>
      <c r="AO31" s="247" t="e">
        <f>SUM(AJ31:AN31)</f>
        <v>#N/A</v>
      </c>
      <c r="AP31" s="248" t="e" cm="1">
        <f t="array" ref="AP31">INDEX(Reading_export[1/1/2025],MATCH(1,(Reading_export[Lot]=A31)*(Reading_export[cluster]=$B$1),0))</f>
        <v>#N/A</v>
      </c>
      <c r="AQ31" s="248" t="e" cm="1">
        <f t="array" ref="AQ31">INDEX(Reading_export[01/04/2025],MATCH(1,(Reading_export[Lot]=A31)*(Reading_export[cluster]=$B$1),0))</f>
        <v>#N/A</v>
      </c>
      <c r="AR31" s="249" t="e">
        <f>Table1[[#This Row],[Last day of reporting period: export]]-Table1[[#This Row],[1st day of reporting period: export]]</f>
        <v>#N/A</v>
      </c>
      <c r="AS31" s="250" t="e">
        <f>AR31/$AR$38</f>
        <v>#N/A</v>
      </c>
      <c r="AT31" s="251" t="e">
        <f>Table1[[#This Row],[Percentage of Total export for Billing Period (%)]]*$AC$38</f>
        <v>#N/A</v>
      </c>
      <c r="AU31" s="251">
        <f>IF($Y$38-$E$46&gt;0,$Y$38-$E$46,0)</f>
        <v>835.34</v>
      </c>
      <c r="AV31" s="252">
        <f>IFERROR(Table1[[#This Row],[Total Cluster Energy Balance for P2P Trading (kWh)2]]*Table1[[#This Row],[Unused Daily Allowance %]],0)</f>
        <v>0</v>
      </c>
      <c r="AW31" s="251" t="e">
        <f>AS31*AF31</f>
        <v>#N/A</v>
      </c>
      <c r="AX31" s="252" t="e">
        <f>Table1[[#This Row],[Cluster''s Total Common Services (kWh)]]*Table1[[#This Row],[Percentage of Total export for Billing Period (%)]]</f>
        <v>#N/A</v>
      </c>
      <c r="AY31" s="252" t="e">
        <f>$Q$33*Table1[[#This Row],[Percentage of Total export for Billing Period (%)]]</f>
        <v>#N/A</v>
      </c>
      <c r="AZ31" s="252" t="e">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#N/A</v>
      </c>
      <c r="BA31" s="252">
        <f>IFERROR(IF($AZ$38-$F$46&gt;0,$AZ$38-$F$46,0),0)</f>
        <v>0</v>
      </c>
      <c r="BB31" s="252" t="e">
        <f>Table1[[#This Row],[Energy Losses When Export to Grid (kWh)]]*Table1[[#This Row],[Percentage of Total export for Billing Period (%)]]</f>
        <v>#N/A</v>
      </c>
      <c r="BC31" s="252" t="e">
        <f>Table1[[#This Row],[Therotical Energy Export to Grid (kWh)]]-Table1[[#This Row],[Energy Losses When Export to Grid based up % total export (kWh)]]</f>
        <v>#N/A</v>
      </c>
      <c r="BD31" s="260" t="e">
        <f>AW31*'Tariff Rates'!$C$3</f>
        <v>#N/A</v>
      </c>
      <c r="BE31" s="260" t="e">
        <f>Table1[[#This Row],[Common Service based upon % total export to battery (kWh)]]*'Tariff Rates'!$C$3</f>
        <v>#N/A</v>
      </c>
      <c r="BF31" s="260" t="e">
        <f>Table1[[#This Row],[EV Charger based upon % total export to battery (kWh)]]*'Tariff Rates'!$C$3</f>
        <v>#N/A</v>
      </c>
      <c r="BG31" s="273" t="e">
        <f>AT31*'Tariff Rates'!$C$3</f>
        <v>#N/A</v>
      </c>
      <c r="BH31" s="273">
        <f>Table1[[#This Row],[Borrowed Allowance Based on Unused Daily Allowance % (kWh)]]*'Tariff Rates'!$K$3</f>
        <v>0</v>
      </c>
      <c r="BI31" s="273" t="e">
        <f>BC31*'Tariff Rates'!$F$3</f>
        <v>#N/A</v>
      </c>
      <c r="BJ31" s="273" t="e">
        <f>SUM(BD31:BI31)</f>
        <v>#N/A</v>
      </c>
      <c r="BK31" s="274" t="e">
        <f>$D$52*Table1[[#This Row],[Percentage of Unit Entitlement (%)]]</f>
        <v>#N/A</v>
      </c>
      <c r="BL31" s="275" t="e">
        <f>BK31*'Tariff Rates'!$H$3</f>
        <v>#N/A</v>
      </c>
      <c r="BM31" s="275" t="e">
        <f>($Q$33)*Table1[[#This Row],[Percentage of Unit Entitlement (%)]]*'Tariff Rates'!$B$3</f>
        <v>#N/A</v>
      </c>
      <c r="BN31" s="275" t="e">
        <f>SUM(BM31,BL31)</f>
        <v>#N/A</v>
      </c>
      <c r="BO31" s="275" t="e">
        <f>BK31</f>
        <v>#N/A</v>
      </c>
      <c r="BP31" s="295" t="e">
        <f>BO31+BN31</f>
        <v>#N/A</v>
      </c>
      <c r="BQ31" s="296" t="e">
        <f>AO31+BJ31+N31+BP31</f>
        <v>#N/A</v>
      </c>
      <c r="BR31" s="308"/>
      <c r="BS31" s="309"/>
      <c r="BT31" s="310"/>
    </row>
    <row r="32" spans="1:72">
      <c r="A32" s="103" t="s">
        <v>334</v>
      </c>
      <c r="B32" s="104" t="s">
        <v>335</v>
      </c>
      <c r="C32" s="97" cm="1">
        <f t="array" ref="C32">INDEX(Reading_import[Meter'#],MATCH(1,(Table_Household_Alloc[Lot]=A32)*(Table_Household_Alloc[cluster]=$B$1),0))</f>
        <v>40002686</v>
      </c>
      <c r="D32" s="98"/>
      <c r="E32" s="105"/>
      <c r="F32" s="106"/>
      <c r="G32" s="107"/>
      <c r="H32" s="107"/>
      <c r="I32" s="169"/>
      <c r="J32" s="173"/>
      <c r="K32" s="173"/>
      <c r="L32" s="173"/>
      <c r="M32" s="169"/>
      <c r="N32" s="170"/>
      <c r="O32" s="171" cm="1">
        <f t="array" ref="O32">INDEX(Reading_import[1/1/2025],MATCH(1,(Reading_import[Lot]=A32)*(Reading_import[cluster]=$B$1),0))</f>
        <v>59297</v>
      </c>
      <c r="P32" s="172" cm="1">
        <f t="array" ref="P32">INDEX(Reading_import[01/04/2025],MATCH(1,(Reading_import[Lot]=A32)*(Reading_import[cluster]=$B$1),0))</f>
        <v>73298</v>
      </c>
      <c r="Q32" s="189">
        <f>Table1[[#This Row],[Last day of reporting period: import]]-Table1[[#This Row],[1st day of reporting period: import]]</f>
        <v>14001</v>
      </c>
      <c r="R32" s="190"/>
      <c r="S32" s="191"/>
      <c r="T32" s="195"/>
      <c r="U32" s="193"/>
      <c r="V32" s="193"/>
      <c r="W32" s="194"/>
      <c r="X32" s="193"/>
      <c r="Y32" s="209"/>
      <c r="Z32" s="210"/>
      <c r="AA32" s="210"/>
      <c r="AB32" s="213"/>
      <c r="AC32" s="213"/>
      <c r="AD32" s="213"/>
      <c r="AE32" s="215"/>
      <c r="AF32" s="215"/>
      <c r="AG32" s="215"/>
      <c r="AH32" s="231"/>
      <c r="AI32" s="231"/>
      <c r="AJ32" s="227"/>
      <c r="AK32" s="227"/>
      <c r="AL32" s="232"/>
      <c r="AM32" s="233"/>
      <c r="AN32" s="230"/>
      <c r="AO32" s="247"/>
      <c r="AP32" s="248" cm="1">
        <f t="array" ref="AP32">INDEX(Reading_export[1/1/2025],MATCH(1,(Reading_export[Lot]=A32)*(Reading_export[cluster]=$B$1),0))</f>
        <v>48306</v>
      </c>
      <c r="AQ32" s="248" cm="1">
        <f t="array" ref="AQ32">INDEX(Reading_export[01/04/2025],MATCH(1,(Reading_export[Lot]=A32)*(Reading_export[cluster]=$B$1),0))</f>
        <v>59831</v>
      </c>
      <c r="AR32" s="249">
        <f>Table1[[#This Row],[Last day of reporting period: export]]-Table1[[#This Row],[1st day of reporting period: export]]</f>
        <v>11525</v>
      </c>
      <c r="AS32" s="250"/>
      <c r="AT32" s="251"/>
      <c r="AU32" s="251"/>
      <c r="AV32" s="252"/>
      <c r="AW32" s="251"/>
      <c r="AX32" s="261"/>
      <c r="AY32" s="261"/>
      <c r="AZ32" s="261"/>
      <c r="BA32" s="261"/>
      <c r="BB32" s="261"/>
      <c r="BC32" s="261"/>
      <c r="BD32" s="262"/>
      <c r="BE32" s="276"/>
      <c r="BF32" s="276"/>
      <c r="BG32" s="276"/>
      <c r="BH32" s="276"/>
      <c r="BI32" s="277"/>
      <c r="BJ32" s="277"/>
      <c r="BK32" s="278"/>
      <c r="BL32" s="279"/>
      <c r="BM32" s="279"/>
      <c r="BN32" s="279"/>
      <c r="BO32" s="279"/>
      <c r="BP32" s="311"/>
      <c r="BQ32" s="312"/>
      <c r="BR32" s="308" t="s">
        <v>940</v>
      </c>
      <c r="BS32" s="309"/>
      <c r="BT32" s="310" t="s">
        <v>334</v>
      </c>
    </row>
    <row r="33" spans="1:72">
      <c r="A33" s="103" t="s">
        <v>336</v>
      </c>
      <c r="B33" s="104" t="s">
        <v>338</v>
      </c>
      <c r="C33" s="97" cm="1">
        <f t="array" ref="C33">INDEX(Reading_import[Meter'#],MATCH(1,(Table_Household_Alloc[Lot]=A33)*(Table_Household_Alloc[cluster]=$B$1),0))</f>
        <v>40002693</v>
      </c>
      <c r="D33" s="97"/>
      <c r="E33" s="105"/>
      <c r="F33" s="106"/>
      <c r="G33" s="107"/>
      <c r="H33" s="107"/>
      <c r="I33" s="169"/>
      <c r="J33" s="173"/>
      <c r="K33" s="173"/>
      <c r="L33" s="173"/>
      <c r="M33" s="169"/>
      <c r="N33" s="170"/>
      <c r="O33" s="171" cm="1">
        <f t="array" ref="O33">INDEX(Reading_import[1/1/2025],MATCH(1,(Reading_import[Lot]=A33)*(Reading_import[cluster]=$B$1),0))</f>
        <v>4535</v>
      </c>
      <c r="P33" s="172" cm="1">
        <f t="array" ref="P33">INDEX(Reading_import[01/04/2025],MATCH(1,(Reading_import[Lot]=A33)*(Reading_import[cluster]=$B$1),0))</f>
        <v>7172</v>
      </c>
      <c r="Q33" s="189">
        <f>Table1[[#This Row],[Last day of reporting period: import]]-Table1[[#This Row],[1st day of reporting period: import]]</f>
        <v>2637</v>
      </c>
      <c r="R33" s="190"/>
      <c r="S33" s="191"/>
      <c r="T33" s="195"/>
      <c r="U33" s="196"/>
      <c r="V33" s="196"/>
      <c r="W33" s="194"/>
      <c r="X33" s="193"/>
      <c r="Y33" s="209"/>
      <c r="Z33" s="210"/>
      <c r="AA33" s="210"/>
      <c r="AB33" s="213"/>
      <c r="AC33" s="213"/>
      <c r="AD33" s="213"/>
      <c r="AE33" s="215"/>
      <c r="AF33" s="215"/>
      <c r="AG33" s="215"/>
      <c r="AH33" s="231"/>
      <c r="AI33" s="231"/>
      <c r="AJ33" s="227"/>
      <c r="AK33" s="227"/>
      <c r="AL33" s="232"/>
      <c r="AM33" s="233"/>
      <c r="AN33" s="230"/>
      <c r="AO33" s="247"/>
      <c r="AP33" s="248" cm="1">
        <f t="array" ref="AP33">INDEX(Reading_export[1/1/2025],MATCH(1,(Reading_export[Lot]=A33)*(Reading_export[cluster]=$B$1),0))</f>
        <v>0</v>
      </c>
      <c r="AQ33" s="248" cm="1">
        <f t="array" ref="AQ33">INDEX(Reading_export[01/04/2025],MATCH(1,(Reading_export[Lot]=A33)*(Reading_export[cluster]=$B$1),0))</f>
        <v>0</v>
      </c>
      <c r="AR33" s="249">
        <f>Table1[[#This Row],[Last day of reporting period: export]]-Table1[[#This Row],[1st day of reporting period: export]]</f>
        <v>0</v>
      </c>
      <c r="AS33" s="250"/>
      <c r="AT33" s="251"/>
      <c r="AU33" s="251"/>
      <c r="AV33" s="251"/>
      <c r="AW33" s="251"/>
      <c r="AX33" s="261"/>
      <c r="AY33" s="261"/>
      <c r="AZ33" s="261"/>
      <c r="BA33" s="261"/>
      <c r="BB33" s="261"/>
      <c r="BC33" s="261"/>
      <c r="BD33" s="262"/>
      <c r="BE33" s="276"/>
      <c r="BF33" s="276"/>
      <c r="BG33" s="276"/>
      <c r="BH33" s="276"/>
      <c r="BI33" s="277"/>
      <c r="BJ33" s="277"/>
      <c r="BK33" s="274"/>
      <c r="BL33" s="275"/>
      <c r="BM33" s="275"/>
      <c r="BN33" s="275"/>
      <c r="BO33" s="275"/>
      <c r="BP33" s="295"/>
      <c r="BQ33" s="312"/>
      <c r="BR33" s="308"/>
      <c r="BS33" s="309"/>
      <c r="BT33" s="310" t="s">
        <v>336</v>
      </c>
    </row>
    <row r="34" spans="1:72">
      <c r="A34" s="103" t="s">
        <v>339</v>
      </c>
      <c r="B34" s="108" t="s">
        <v>340</v>
      </c>
      <c r="C34" s="97" cm="1">
        <f t="array" ref="C34">INDEX(Reading_import[Meter'#],MATCH(1,(Table_Household_Alloc[Lot]=A34)*(Table_Household_Alloc[cluster]=$B$1),0))</f>
        <v>50002858</v>
      </c>
      <c r="D34" s="97"/>
      <c r="E34" s="105"/>
      <c r="F34" s="106"/>
      <c r="G34" s="107"/>
      <c r="H34" s="107"/>
      <c r="I34" s="169"/>
      <c r="J34" s="173"/>
      <c r="K34" s="173"/>
      <c r="L34" s="173"/>
      <c r="M34" s="169"/>
      <c r="N34" s="170"/>
      <c r="O34" s="171" cm="1">
        <f t="array" ref="O34">INDEX(Reading_import[1/1/2025],MATCH(1,(Reading_import[Lot]=A34)*(Reading_import[cluster]=$B$1),0))</f>
        <v>4913</v>
      </c>
      <c r="P34" s="172" cm="1">
        <f t="array" ref="P34">INDEX(Reading_import[01/04/2025],MATCH(1,(Reading_import[Lot]=A34)*(Reading_import[cluster]=$B$1),0))</f>
        <v>5527</v>
      </c>
      <c r="Q34" s="189">
        <f>Table1[[#This Row],[Last day of reporting period: import]]-Table1[[#This Row],[1st day of reporting period: import]]</f>
        <v>614</v>
      </c>
      <c r="R34" s="190"/>
      <c r="S34" s="191"/>
      <c r="T34" s="195"/>
      <c r="U34" s="196"/>
      <c r="V34" s="196"/>
      <c r="W34" s="194"/>
      <c r="X34" s="193"/>
      <c r="Y34" s="209"/>
      <c r="Z34" s="210"/>
      <c r="AA34" s="210"/>
      <c r="AB34" s="213"/>
      <c r="AC34" s="213"/>
      <c r="AD34" s="213"/>
      <c r="AE34" s="215"/>
      <c r="AF34" s="215"/>
      <c r="AG34" s="215"/>
      <c r="AH34" s="231"/>
      <c r="AI34" s="231"/>
      <c r="AJ34" s="227"/>
      <c r="AK34" s="227"/>
      <c r="AL34" s="232"/>
      <c r="AM34" s="233"/>
      <c r="AN34" s="230"/>
      <c r="AO34" s="247"/>
      <c r="AP34" s="248" cm="1">
        <f t="array" ref="AP34">INDEX(Reading_export[1/1/2025],MATCH(1,(Reading_export[Lot]=A34)*(Reading_export[cluster]=$B$1),0))</f>
        <v>0</v>
      </c>
      <c r="AQ34" s="248" cm="1">
        <f t="array" ref="AQ34">INDEX(Reading_export[01/04/2025],MATCH(1,(Reading_export[Lot]=A34)*(Reading_export[cluster]=$B$1),0))</f>
        <v>0</v>
      </c>
      <c r="AR34" s="249">
        <f>Table1[[#This Row],[Last day of reporting period: export]]-Table1[[#This Row],[1st day of reporting period: export]]</f>
        <v>0</v>
      </c>
      <c r="AS34" s="251"/>
      <c r="AT34" s="251"/>
      <c r="AU34" s="251"/>
      <c r="AV34" s="251"/>
      <c r="AW34" s="251"/>
      <c r="AX34" s="261"/>
      <c r="AY34" s="261"/>
      <c r="AZ34" s="261"/>
      <c r="BA34" s="261"/>
      <c r="BB34" s="261"/>
      <c r="BC34" s="261"/>
      <c r="BD34" s="262"/>
      <c r="BE34" s="276"/>
      <c r="BF34" s="276"/>
      <c r="BG34" s="276"/>
      <c r="BH34" s="276"/>
      <c r="BI34" s="277"/>
      <c r="BJ34" s="277"/>
      <c r="BK34" s="278"/>
      <c r="BL34" s="279"/>
      <c r="BM34" s="279"/>
      <c r="BN34" s="279"/>
      <c r="BO34" s="279"/>
      <c r="BP34" s="311"/>
      <c r="BQ34" s="312"/>
      <c r="BR34" s="308"/>
      <c r="BS34" s="309"/>
      <c r="BT34" s="310" t="s">
        <v>339</v>
      </c>
    </row>
    <row r="35" ht="18.15" spans="1:72">
      <c r="A35" s="103" t="s">
        <v>341</v>
      </c>
      <c r="B35" s="104" t="s">
        <v>941</v>
      </c>
      <c r="C35" s="97"/>
      <c r="D35" s="97"/>
      <c r="E35" s="105"/>
      <c r="F35" s="106"/>
      <c r="G35" s="107"/>
      <c r="H35" s="107"/>
      <c r="I35" s="169"/>
      <c r="J35" s="173"/>
      <c r="K35" s="173"/>
      <c r="L35" s="173"/>
      <c r="M35" s="169"/>
      <c r="N35" s="170"/>
      <c r="O35" s="174" cm="1">
        <f t="array" ref="O35">INDEX(Reading_import[1/1/2025],MATCH(1,(Reading_import[Lot]=A35)*(Reading_import[cluster]=$B$1),0))</f>
        <v>157</v>
      </c>
      <c r="P35" s="175" cm="1">
        <f t="array" ref="P35">INDEX(Reading_import[01/04/2025],MATCH(1,(Reading_import[Lot]=A35)*(Reading_import[cluster]=$B$1),0))</f>
        <v>171</v>
      </c>
      <c r="Q35" s="197">
        <f>Table1[[#This Row],[Last day of reporting period: import]]-Table1[[#This Row],[1st day of reporting period: import]]</f>
        <v>14</v>
      </c>
      <c r="R35" s="198"/>
      <c r="S35" s="199"/>
      <c r="T35" s="200"/>
      <c r="U35" s="193"/>
      <c r="V35" s="193"/>
      <c r="W35" s="194"/>
      <c r="X35" s="193"/>
      <c r="Y35" s="209"/>
      <c r="Z35" s="210"/>
      <c r="AA35" s="210"/>
      <c r="AB35" s="213"/>
      <c r="AC35" s="213"/>
      <c r="AD35" s="213"/>
      <c r="AE35" s="216"/>
      <c r="AF35" s="216"/>
      <c r="AG35" s="216"/>
      <c r="AH35" s="231"/>
      <c r="AI35" s="231"/>
      <c r="AJ35" s="227"/>
      <c r="AK35" s="227"/>
      <c r="AL35" s="232"/>
      <c r="AM35" s="233"/>
      <c r="AN35" s="230"/>
      <c r="AO35" s="247"/>
      <c r="AP35" s="253"/>
      <c r="AQ35" s="254"/>
      <c r="AR35" s="253"/>
      <c r="AS35" s="251"/>
      <c r="AT35" s="251"/>
      <c r="AU35" s="251"/>
      <c r="AV35" s="251"/>
      <c r="AW35" s="251"/>
      <c r="AX35" s="261"/>
      <c r="AY35" s="261"/>
      <c r="AZ35" s="261"/>
      <c r="BA35" s="261"/>
      <c r="BB35" s="261"/>
      <c r="BC35" s="261"/>
      <c r="BD35" s="263"/>
      <c r="BE35" s="276"/>
      <c r="BF35" s="276"/>
      <c r="BG35" s="276"/>
      <c r="BH35" s="276"/>
      <c r="BI35" s="277"/>
      <c r="BJ35" s="277"/>
      <c r="BK35" s="280"/>
      <c r="BL35" s="281"/>
      <c r="BM35" s="281"/>
      <c r="BN35" s="281"/>
      <c r="BO35" s="279"/>
      <c r="BP35" s="311"/>
      <c r="BQ35" s="312"/>
      <c r="BR35" s="308"/>
      <c r="BS35" s="309"/>
      <c r="BT35" s="310" t="s">
        <v>341</v>
      </c>
    </row>
    <row r="36" ht="18.15" spans="1:72">
      <c r="A36" s="103" t="s">
        <v>342</v>
      </c>
      <c r="B36" s="105" t="s">
        <v>942</v>
      </c>
      <c r="C36" s="97"/>
      <c r="D36" s="97"/>
      <c r="E36" s="105"/>
      <c r="F36" s="106"/>
      <c r="G36" s="107"/>
      <c r="H36" s="107"/>
      <c r="I36" s="169"/>
      <c r="J36" s="173"/>
      <c r="K36" s="173"/>
      <c r="L36" s="173"/>
      <c r="M36" s="169"/>
      <c r="N36" s="170"/>
      <c r="O36" s="174" cm="1">
        <f t="array" ref="O36">INDEX(Reading_import[1/1/2025],MATCH(1,(Reading_import[Lot]=A36)*(Reading_import[cluster]=$B$1),0))</f>
        <v>232</v>
      </c>
      <c r="P36" s="175" cm="1">
        <f t="array" ref="P36">INDEX(Reading_import[01/04/2025],MATCH(1,(Reading_import[Lot]=A36)*(Reading_import[cluster]=$B$1),0))</f>
        <v>262</v>
      </c>
      <c r="Q36" s="197">
        <f>Table1[[#This Row],[Last day of reporting period: import]]-Table1[[#This Row],[1st day of reporting period: import]]</f>
        <v>30</v>
      </c>
      <c r="R36" s="198"/>
      <c r="S36" s="199"/>
      <c r="T36" s="200"/>
      <c r="U36" s="193"/>
      <c r="V36" s="193"/>
      <c r="W36" s="194"/>
      <c r="X36" s="193"/>
      <c r="Y36" s="209"/>
      <c r="Z36" s="210"/>
      <c r="AA36" s="210"/>
      <c r="AB36" s="213"/>
      <c r="AC36" s="213"/>
      <c r="AD36" s="213"/>
      <c r="AE36" s="217"/>
      <c r="AF36" s="218"/>
      <c r="AG36" s="218"/>
      <c r="AH36" s="231"/>
      <c r="AI36" s="231"/>
      <c r="AJ36" s="227"/>
      <c r="AK36" s="227"/>
      <c r="AL36" s="232"/>
      <c r="AM36" s="233"/>
      <c r="AN36" s="230"/>
      <c r="AO36" s="247"/>
      <c r="AP36" s="253"/>
      <c r="AQ36" s="254"/>
      <c r="AR36" s="253"/>
      <c r="AS36" s="255"/>
      <c r="AT36" s="255"/>
      <c r="AU36" s="255"/>
      <c r="AV36" s="255"/>
      <c r="AW36" s="255"/>
      <c r="AX36" s="264"/>
      <c r="AY36" s="264"/>
      <c r="AZ36" s="264"/>
      <c r="BA36" s="264"/>
      <c r="BB36" s="264"/>
      <c r="BC36" s="264"/>
      <c r="BD36" s="265"/>
      <c r="BE36" s="282"/>
      <c r="BF36" s="282"/>
      <c r="BG36" s="282"/>
      <c r="BH36" s="282"/>
      <c r="BI36" s="277"/>
      <c r="BJ36" s="277"/>
      <c r="BK36" s="283"/>
      <c r="BL36" s="284"/>
      <c r="BM36" s="284"/>
      <c r="BN36" s="284"/>
      <c r="BO36" s="279"/>
      <c r="BP36" s="311"/>
      <c r="BQ36" s="312"/>
      <c r="BR36" s="308"/>
      <c r="BS36" s="309"/>
      <c r="BT36" s="310" t="s">
        <v>342</v>
      </c>
    </row>
    <row r="37" ht="18.15" spans="1:72">
      <c r="A37" s="109" t="s">
        <v>943</v>
      </c>
      <c r="B37" s="105" t="s">
        <v>944</v>
      </c>
      <c r="C37" s="97"/>
      <c r="D37" s="97"/>
      <c r="E37" s="105"/>
      <c r="F37" s="110"/>
      <c r="G37" s="111"/>
      <c r="H37" s="111"/>
      <c r="I37" s="176"/>
      <c r="J37" s="168"/>
      <c r="K37" s="168"/>
      <c r="L37" s="168"/>
      <c r="M37" s="177"/>
      <c r="N37" s="178"/>
      <c r="O37" s="174"/>
      <c r="P37" s="175"/>
      <c r="Q37" s="197"/>
      <c r="R37" s="198"/>
      <c r="S37" s="199"/>
      <c r="T37" s="200"/>
      <c r="U37" s="193"/>
      <c r="V37" s="193"/>
      <c r="W37" s="194"/>
      <c r="X37" s="193"/>
      <c r="Y37" s="219"/>
      <c r="Z37" s="210"/>
      <c r="AA37" s="210"/>
      <c r="AB37" s="220"/>
      <c r="AC37" s="220"/>
      <c r="AD37" s="220"/>
      <c r="AE37" s="221"/>
      <c r="AF37" s="221"/>
      <c r="AG37" s="221"/>
      <c r="AH37" s="231"/>
      <c r="AI37" s="231"/>
      <c r="AJ37" s="227"/>
      <c r="AK37" s="227"/>
      <c r="AL37" s="227"/>
      <c r="AM37" s="234"/>
      <c r="AN37" s="234"/>
      <c r="AO37" s="247"/>
      <c r="AP37" s="253"/>
      <c r="AQ37" s="254"/>
      <c r="AR37" s="253"/>
      <c r="AS37" s="255"/>
      <c r="AT37" s="255"/>
      <c r="AU37" s="255"/>
      <c r="AV37" s="255"/>
      <c r="AW37" s="255"/>
      <c r="AX37" s="264"/>
      <c r="AY37" s="264"/>
      <c r="AZ37" s="264"/>
      <c r="BA37" s="264"/>
      <c r="BB37" s="264"/>
      <c r="BC37" s="264"/>
      <c r="BD37" s="265"/>
      <c r="BE37" s="282"/>
      <c r="BF37" s="282"/>
      <c r="BG37" s="285"/>
      <c r="BH37" s="285"/>
      <c r="BI37" s="285"/>
      <c r="BJ37" s="277"/>
      <c r="BK37" s="283"/>
      <c r="BL37" s="284"/>
      <c r="BM37" s="284"/>
      <c r="BN37" s="284"/>
      <c r="BO37" s="279"/>
      <c r="BP37" s="311"/>
      <c r="BQ37" s="313"/>
      <c r="BR37" s="314"/>
      <c r="BS37" s="315"/>
      <c r="BT37" s="112" t="s">
        <v>943</v>
      </c>
    </row>
    <row r="38" s="73" customFormat="1" spans="1:72">
      <c r="A38" s="112"/>
      <c r="B38" s="86"/>
      <c r="C38" s="86"/>
      <c r="D38" s="113">
        <f>SUM(D5:D25)</f>
        <v>0.92</v>
      </c>
      <c r="E38" s="113">
        <f>SUM(E5:E25)</f>
        <v>0</v>
      </c>
      <c r="F38" s="114">
        <f>SUM(F5:F28)</f>
        <v>151.555555555556</v>
      </c>
      <c r="G38" s="114"/>
      <c r="H38" s="114">
        <f t="shared" ref="H38:N38" si="45">SUM(H5:H28)</f>
        <v>151.555555555556</v>
      </c>
      <c r="I38" s="114">
        <f t="shared" si="45"/>
        <v>40.1333333333334</v>
      </c>
      <c r="J38" s="114">
        <f t="shared" si="45"/>
        <v>0</v>
      </c>
      <c r="K38" s="114">
        <f t="shared" si="45"/>
        <v>0</v>
      </c>
      <c r="L38" s="114">
        <f t="shared" si="45"/>
        <v>455.4</v>
      </c>
      <c r="M38" s="114">
        <f t="shared" si="45"/>
        <v>32.4</v>
      </c>
      <c r="N38" s="114">
        <f t="shared" si="45"/>
        <v>967.933333333334</v>
      </c>
      <c r="O38" s="179"/>
      <c r="P38" s="179"/>
      <c r="Q38" s="201">
        <f>SUM(Q5:Q28)</f>
        <v>8972</v>
      </c>
      <c r="R38" s="113"/>
      <c r="S38" s="202">
        <f>SUM(S5:S28)</f>
        <v>1</v>
      </c>
      <c r="T38" s="203">
        <f>SUM(T5:T28)</f>
        <v>220.185</v>
      </c>
      <c r="U38" s="113"/>
      <c r="V38" s="113">
        <f>SUM(V5:V28)</f>
        <v>130.727666666667</v>
      </c>
      <c r="W38" s="202">
        <f>SUM(W5:W28)</f>
        <v>1</v>
      </c>
      <c r="X38" s="113">
        <f>SUM(X5:X28)</f>
        <v>8051.16</v>
      </c>
      <c r="Y38" s="113">
        <f>SUM(Y5:Y28)</f>
        <v>920.84</v>
      </c>
      <c r="Z38" s="202">
        <f>SUM(Z5:Z28)</f>
        <v>1</v>
      </c>
      <c r="AA38" s="202"/>
      <c r="AB38" s="222">
        <f>SUM(AB5:AB37)</f>
        <v>835.34</v>
      </c>
      <c r="AC38" s="222" t="e">
        <f>SUM(AC5:AC37)</f>
        <v>#N/A</v>
      </c>
      <c r="AD38" s="222" t="e">
        <f>SUM(AD5:AD37)</f>
        <v>#N/A</v>
      </c>
      <c r="AE38" s="202">
        <f>SUM(AE5:AE28)</f>
        <v>0</v>
      </c>
      <c r="AF38" s="113"/>
      <c r="AG38" s="113">
        <f>SUM(AG5:AG28)</f>
        <v>0</v>
      </c>
      <c r="AH38" s="235"/>
      <c r="AI38" s="113">
        <f>SUM(AI5:AI28)</f>
        <v>658</v>
      </c>
      <c r="AJ38" s="235">
        <f t="shared" ref="AJ38:AO38" si="46">SUM(AJ5:AJ37)</f>
        <v>0</v>
      </c>
      <c r="AK38" s="236" t="e">
        <f t="shared" si="46"/>
        <v>#N/A</v>
      </c>
      <c r="AL38" s="235" t="e">
        <f t="shared" si="46"/>
        <v>#N/A</v>
      </c>
      <c r="AM38" s="235">
        <f t="shared" si="46"/>
        <v>16.7068</v>
      </c>
      <c r="AN38" s="235" t="e">
        <f t="shared" si="46"/>
        <v>#N/A</v>
      </c>
      <c r="AO38" s="256" t="e">
        <f t="shared" si="46"/>
        <v>#N/A</v>
      </c>
      <c r="AP38" s="113"/>
      <c r="AQ38" s="113"/>
      <c r="AR38" s="113">
        <f>SUM(AR5:AR28)</f>
        <v>46691</v>
      </c>
      <c r="AS38" s="202">
        <f>SUM(AS5:AS28)</f>
        <v>1</v>
      </c>
      <c r="AT38" s="113" t="e">
        <f>SUM(AT5:AT28)</f>
        <v>#N/A</v>
      </c>
      <c r="AU38" s="113"/>
      <c r="AV38" s="113">
        <f>SUM(AV5:AV28)</f>
        <v>835.34</v>
      </c>
      <c r="AW38" s="113">
        <f>SUM(AW5:AW28)</f>
        <v>2476</v>
      </c>
      <c r="AX38" s="266">
        <f>SUM(AX5:AX28)</f>
        <v>658</v>
      </c>
      <c r="AY38" s="266">
        <f>SUM(AY5:AY28)</f>
        <v>2637</v>
      </c>
      <c r="AZ38" s="266" t="e">
        <f>SUM(AZ5:AZ28)</f>
        <v>#N/A</v>
      </c>
      <c r="BA38" s="266"/>
      <c r="BB38" s="266">
        <f t="shared" ref="BB38:BP38" si="47">SUM(BB5:BB28)</f>
        <v>0</v>
      </c>
      <c r="BC38" s="266" t="e">
        <f t="shared" si="47"/>
        <v>#N/A</v>
      </c>
      <c r="BD38" s="267">
        <f t="shared" si="47"/>
        <v>-544.72</v>
      </c>
      <c r="BE38" s="267">
        <f t="shared" si="47"/>
        <v>-144.76</v>
      </c>
      <c r="BF38" s="267">
        <f t="shared" si="47"/>
        <v>-580.14</v>
      </c>
      <c r="BG38" s="267" t="e">
        <f t="shared" si="47"/>
        <v>#N/A</v>
      </c>
      <c r="BH38" s="267">
        <f t="shared" si="47"/>
        <v>-16.7068</v>
      </c>
      <c r="BI38" s="267" t="e">
        <f t="shared" si="47"/>
        <v>#N/A</v>
      </c>
      <c r="BJ38" s="267" t="e">
        <f t="shared" si="47"/>
        <v>#N/A</v>
      </c>
      <c r="BK38" s="286">
        <f t="shared" si="47"/>
        <v>0</v>
      </c>
      <c r="BL38" s="286">
        <f t="shared" si="47"/>
        <v>0</v>
      </c>
      <c r="BM38" s="286">
        <f t="shared" si="47"/>
        <v>580.14</v>
      </c>
      <c r="BN38" s="286">
        <f t="shared" si="47"/>
        <v>580.14</v>
      </c>
      <c r="BO38" s="286">
        <f t="shared" si="47"/>
        <v>0</v>
      </c>
      <c r="BP38" s="286">
        <f t="shared" si="47"/>
        <v>580.14</v>
      </c>
      <c r="BQ38" s="316"/>
      <c r="BR38" s="317"/>
      <c r="BS38" s="86"/>
      <c r="BT38" s="112"/>
    </row>
    <row r="39" spans="12:42">
      <c r="L39" s="75">
        <f>COUNTIF(L5:L25,"&gt;0")</f>
        <v>20</v>
      </c>
      <c r="M39" s="75">
        <f>COUNTIF(M5:M25,"&gt;0")</f>
        <v>21</v>
      </c>
      <c r="AO39"/>
      <c r="AP39"/>
    </row>
    <row r="40" ht="121.8" spans="21:71">
      <c r="U40" s="204"/>
      <c r="V40" s="204"/>
      <c r="W40" s="204"/>
      <c r="X40" s="204"/>
      <c r="Y40" s="223"/>
      <c r="Z40" s="223"/>
      <c r="AA40" s="609" t="s">
        <v>945</v>
      </c>
      <c r="AB40" s="223"/>
      <c r="AC40" s="223"/>
      <c r="AD40" s="223"/>
      <c r="AE40" s="75"/>
      <c r="AF40" s="75"/>
      <c r="AG40" s="75"/>
      <c r="AH40" s="237"/>
      <c r="AI40" s="237"/>
      <c r="AJ40" s="237"/>
      <c r="AK40" s="238"/>
      <c r="AL40" s="239" t="s">
        <v>946</v>
      </c>
      <c r="AM40" s="240"/>
      <c r="AN40" s="79"/>
      <c r="AO40"/>
      <c r="AP40"/>
      <c r="AQ40" s="257"/>
      <c r="AR40" s="258"/>
      <c r="AS40" s="258"/>
      <c r="AT40" s="258"/>
      <c r="AU40" s="258"/>
      <c r="AV40" s="258"/>
      <c r="AW40" s="258"/>
      <c r="AX40" s="258"/>
      <c r="AY40" s="258"/>
      <c r="AZ40" s="258"/>
      <c r="BA40" s="258"/>
      <c r="BB40" s="258"/>
      <c r="BC40" s="258"/>
      <c r="BG40" s="258"/>
      <c r="BH40" s="258"/>
      <c r="BI40" s="238"/>
      <c r="BL40" s="238"/>
      <c r="BN40" s="238"/>
      <c r="BO40" s="238"/>
      <c r="BP40" s="238"/>
      <c r="BQ40" s="238"/>
      <c r="BR40" s="2"/>
      <c r="BS40" s="2"/>
    </row>
    <row r="41" ht="18.15" spans="2:71">
      <c r="B41"/>
      <c r="C41"/>
      <c r="D41"/>
      <c r="E41"/>
      <c r="F41"/>
      <c r="G41"/>
      <c r="H41"/>
      <c r="I41"/>
      <c r="K41" s="75"/>
      <c r="L41" s="77"/>
      <c r="AA41" s="77"/>
      <c r="AB41" s="79"/>
      <c r="AC41" s="79"/>
      <c r="AD41" s="79"/>
      <c r="AE41"/>
      <c r="AF41"/>
      <c r="AG41"/>
      <c r="AH41"/>
      <c r="AI41"/>
      <c r="AJ41"/>
      <c r="AK41" s="238"/>
      <c r="AL41" s="240"/>
      <c r="AM41" s="240"/>
      <c r="AN41" s="79"/>
      <c r="AO41" s="78"/>
      <c r="AQ41" s="257"/>
      <c r="AR41" s="258"/>
      <c r="BL41" s="238"/>
      <c r="BN41" s="238"/>
      <c r="BO41" s="238"/>
      <c r="BP41" s="238"/>
      <c r="BQ41" s="238"/>
      <c r="BR41" s="318"/>
      <c r="BS41" s="75"/>
    </row>
    <row r="42" ht="39.6" spans="2:71">
      <c r="B42" s="115" t="s">
        <v>947</v>
      </c>
      <c r="C42" s="116" t="s">
        <v>822</v>
      </c>
      <c r="D42" s="116" t="s">
        <v>823</v>
      </c>
      <c r="E42" s="116" t="s">
        <v>824</v>
      </c>
      <c r="F42" s="116" t="s">
        <v>825</v>
      </c>
      <c r="G42" s="117" t="s">
        <v>826</v>
      </c>
      <c r="H42" s="117" t="s">
        <v>827</v>
      </c>
      <c r="I42" s="117" t="s">
        <v>828</v>
      </c>
      <c r="J42" s="117" t="s">
        <v>829</v>
      </c>
      <c r="K42" s="180" t="s">
        <v>830</v>
      </c>
      <c r="L42" s="77"/>
      <c r="AA42" s="77"/>
      <c r="AB42" s="79"/>
      <c r="AC42" s="79"/>
      <c r="AD42" s="79"/>
      <c r="AE42"/>
      <c r="AF42"/>
      <c r="AG42"/>
      <c r="AH42"/>
      <c r="AI42"/>
      <c r="AJ42"/>
      <c r="AK42" s="238"/>
      <c r="AL42" s="240"/>
      <c r="AM42" s="240"/>
      <c r="AN42" s="79"/>
      <c r="AO42" s="78"/>
      <c r="AQ42" s="257"/>
      <c r="AR42" s="258"/>
      <c r="BK42" s="238"/>
      <c r="BM42" s="238"/>
      <c r="BN42" s="238"/>
      <c r="BO42" s="238"/>
      <c r="BP42" s="238"/>
      <c r="BQ42" s="318"/>
      <c r="BR42" s="75"/>
      <c r="BS42" s="75"/>
    </row>
    <row r="43" spans="2:71">
      <c r="B43" s="118" t="str">
        <f>B1</f>
        <v>1A</v>
      </c>
      <c r="C43" s="119">
        <v>2025</v>
      </c>
      <c r="D43" s="610" t="str">
        <f>F2</f>
        <v>01</v>
      </c>
      <c r="E43" s="120" cm="1">
        <f t="array" ref="E43">INDEX(Amanda_energy[Consumption_kWh],MATCH(1,(Amanda_energy[Cluster]=$B$1)*(Amanda_energy[Month]=$D43),0))</f>
        <v>33.93</v>
      </c>
      <c r="F43" s="120" cm="1">
        <f t="array" ref="F43">INDEX(Amanda_energy[Export_kWh],MATCH(1,(Amanda_energy[Cluster]=$B$1)*(Amanda_energy[Month]=$D43),0))</f>
        <v>11281.06</v>
      </c>
      <c r="G43" s="121" cm="1">
        <f t="array" ref="G43">INDEX(Amanda_energy[Amanda_consumption_incl_GST],MATCH(1,(Amanda_energy[Cluster]=$B$1)*(Amanda_energy[Month]=$D43),0))</f>
        <v>10.16</v>
      </c>
      <c r="H43" s="121" cm="1">
        <f t="array" ref="H43">INDEX(Amanda_energy[Amanda_export_buyback_incl_GST],MATCH(1,(Amanda_energy[Cluster]=$B$1)*(Amanda_energy[Month]=$D43),0))</f>
        <v>-434.32</v>
      </c>
      <c r="I43" s="121" cm="1">
        <f t="array" ref="I43">INDEX(Amanda_energy[Daily_Supply_incl_GST],MATCH(1,(Amanda_energy[Cluster]=$B$1)*(Amanda_energy[Month]=$D43),0))</f>
        <v>170.5</v>
      </c>
      <c r="J43" s="121" cm="1">
        <f t="array" ref="J43">INDEX(Amanda_energy[Other_Fees_incl_GST],MATCH(1,(Amanda_energy[Cluster]=$B$1)*(Amanda_energy[Month]=$D43),0))</f>
        <v>15.54</v>
      </c>
      <c r="K43" s="181" cm="1">
        <f t="array" ref="K43">INDEX(Amanda_energy[Total_incl_GST],MATCH(1,(Amanda_energy[Cluster]=$B$1)*(Amanda_energy[Month]=$D43),0))</f>
        <v>-238.12</v>
      </c>
      <c r="L43" s="77"/>
      <c r="AA43" s="77"/>
      <c r="AB43" s="79"/>
      <c r="AC43" s="79"/>
      <c r="AD43" s="79"/>
      <c r="AE43"/>
      <c r="AF43"/>
      <c r="AG43"/>
      <c r="AH43"/>
      <c r="AI43"/>
      <c r="AJ43"/>
      <c r="AK43" s="238"/>
      <c r="AL43"/>
      <c r="AM43"/>
      <c r="AN43" s="79"/>
      <c r="AO43" s="78"/>
      <c r="AQ43" s="257"/>
      <c r="AR43" s="258"/>
      <c r="BK43" s="238"/>
      <c r="BM43" s="238"/>
      <c r="BN43" s="238"/>
      <c r="BO43" s="238"/>
      <c r="BP43" s="238"/>
      <c r="BQ43" s="318"/>
      <c r="BR43" s="75"/>
      <c r="BS43" s="75"/>
    </row>
    <row r="44" spans="2:71">
      <c r="B44" s="118" t="str">
        <f>B43</f>
        <v>1A</v>
      </c>
      <c r="C44" s="119">
        <v>2025</v>
      </c>
      <c r="D44" s="610" t="str">
        <f>G2</f>
        <v>02</v>
      </c>
      <c r="E44" s="120" cm="1">
        <f t="array" ref="E44">INDEX(Amanda_energy[Consumption_kWh],MATCH(1,(Amanda_energy[Cluster]=$B$1)*(Amanda_energy[Month]=$D44),0))</f>
        <v>9.73</v>
      </c>
      <c r="F44" s="120" cm="1">
        <f t="array" ref="F44">INDEX(Amanda_energy[Export_kWh],MATCH(1,(Amanda_energy[Cluster]=$B$1)*(Amanda_energy[Month]=$D44),0))</f>
        <v>10654.83</v>
      </c>
      <c r="G44" s="121" cm="1">
        <f t="array" ref="G44">INDEX(Amanda_energy[Amanda_consumption_incl_GST],MATCH(1,(Amanda_energy[Cluster]=$B$1)*(Amanda_energy[Month]=$D44),0))</f>
        <v>2.92</v>
      </c>
      <c r="H44" s="121" cm="1">
        <f t="array" ref="H44">INDEX(Amanda_energy[Amanda_export_buyback_incl_GST],MATCH(1,(Amanda_energy[Cluster]=$B$1)*(Amanda_energy[Month]=$D44),0))</f>
        <v>-410.21</v>
      </c>
      <c r="I44" s="121" cm="1">
        <f t="array" ref="I44">INDEX(Amanda_energy[Daily_Supply_incl_GST],MATCH(1,(Amanda_energy[Cluster]=$B$1)*(Amanda_energy[Month]=$D44),0))</f>
        <v>154</v>
      </c>
      <c r="J44" s="121" cm="1">
        <f t="array" ref="J44">INDEX(Amanda_energy[Other_Fees_incl_GST],MATCH(1,(Amanda_energy[Cluster]=$B$1)*(Amanda_energy[Month]=$D44),0))</f>
        <v>12.85</v>
      </c>
      <c r="K44" s="181" cm="1">
        <f t="array" ref="K44">INDEX(Amanda_energy[Total_incl_GST],MATCH(1,(Amanda_energy[Cluster]=$B$1)*(Amanda_energy[Month]=$D44),0))</f>
        <v>-240.45</v>
      </c>
      <c r="L44" s="77"/>
      <c r="AA44" s="77"/>
      <c r="AB44" s="79"/>
      <c r="AC44" s="79"/>
      <c r="AD44" s="79"/>
      <c r="AE44"/>
      <c r="AF44"/>
      <c r="AG44"/>
      <c r="AH44"/>
      <c r="AI44"/>
      <c r="AJ44"/>
      <c r="AK44" s="238"/>
      <c r="AL44"/>
      <c r="AM44"/>
      <c r="AN44" s="79"/>
      <c r="AO44" s="78"/>
      <c r="AQ44" s="257"/>
      <c r="AR44" s="258"/>
      <c r="BK44" s="238"/>
      <c r="BM44" s="238"/>
      <c r="BN44" s="238"/>
      <c r="BO44" s="238"/>
      <c r="BP44" s="238"/>
      <c r="BQ44" s="318"/>
      <c r="BR44" s="75"/>
      <c r="BS44" s="75"/>
    </row>
    <row r="45" spans="2:58">
      <c r="B45" s="118" t="str">
        <f>B43</f>
        <v>1A</v>
      </c>
      <c r="C45" s="119">
        <v>2025</v>
      </c>
      <c r="D45" s="610" t="str">
        <f>H2</f>
        <v>03</v>
      </c>
      <c r="E45" s="120" cm="1">
        <f t="array" ref="E45">INDEX(Amanda_energy[Consumption_kWh],MATCH(1,(Amanda_energy[Cluster]=$B$1)*(Amanda_energy[Month]=$D45),0))</f>
        <v>41.84</v>
      </c>
      <c r="F45" s="120" cm="1">
        <f t="array" ref="F45">INDEX(Amanda_energy[Export_kWh],MATCH(1,(Amanda_energy[Cluster]=$B$1)*(Amanda_energy[Month]=$D45),0))</f>
        <v>11239.82</v>
      </c>
      <c r="G45" s="121" cm="1">
        <f t="array" ref="G45">INDEX(Amanda_energy[Amanda_consumption_incl_GST],MATCH(1,(Amanda_energy[Cluster]=$B$1)*(Amanda_energy[Month]=$D45),0))</f>
        <v>12.52</v>
      </c>
      <c r="H45" s="121" cm="1">
        <f t="array" ref="H45">INDEX(Amanda_energy[Amanda_export_buyback_incl_GST],MATCH(1,(Amanda_energy[Cluster]=$B$1)*(Amanda_energy[Month]=$D45),0))</f>
        <v>-432.73</v>
      </c>
      <c r="I45" s="121" cm="1">
        <f t="array" ref="I45">INDEX(Amanda_energy[Daily_Supply_incl_GST],MATCH(1,(Amanda_energy[Cluster]=$B$1)*(Amanda_energy[Month]=$D45),0))</f>
        <v>170.5</v>
      </c>
      <c r="J45" s="121" cm="1">
        <f t="array" ref="J45">INDEX(Amanda_energy[Other_Fees_incl_GST],MATCH(1,(Amanda_energy[Cluster]=$B$1)*(Amanda_energy[Month]=$D45),0))</f>
        <v>16.76</v>
      </c>
      <c r="K45" s="181" cm="1">
        <f t="array" ref="K45">INDEX(Amanda_energy[Total_incl_GST],MATCH(1,(Amanda_energy[Cluster]=$B$1)*(Amanda_energy[Month]=$D45),0))</f>
        <v>-232.95</v>
      </c>
      <c r="L45" s="77"/>
      <c r="AA45" s="77"/>
      <c r="AB45"/>
      <c r="AC45"/>
      <c r="AD45"/>
      <c r="AE45"/>
      <c r="AF45"/>
      <c r="AG45"/>
      <c r="AH45"/>
      <c r="AI45"/>
      <c r="AJ45"/>
      <c r="AL45"/>
      <c r="AM45"/>
      <c r="AN45"/>
      <c r="AO45"/>
      <c r="AP45"/>
      <c r="AQ45"/>
      <c r="AR45"/>
      <c r="AS45"/>
      <c r="AT45"/>
      <c r="AU45"/>
      <c r="AV45"/>
      <c r="AW45"/>
      <c r="AX45"/>
      <c r="AY45"/>
      <c r="AZ45"/>
      <c r="BA45"/>
      <c r="BB45"/>
      <c r="BC45"/>
      <c r="BD45"/>
      <c r="BE45"/>
      <c r="BF45"/>
    </row>
    <row r="46" ht="18.15" spans="2:58">
      <c r="B46" s="122" t="s">
        <v>948</v>
      </c>
      <c r="C46" s="123"/>
      <c r="D46" s="124"/>
      <c r="E46" s="123">
        <f t="shared" ref="E46:K46" si="48">SUM(E43:E45)</f>
        <v>85.5</v>
      </c>
      <c r="F46" s="123">
        <f t="shared" si="48"/>
        <v>33175.71</v>
      </c>
      <c r="G46" s="124">
        <f t="shared" si="48"/>
        <v>25.6</v>
      </c>
      <c r="H46" s="124">
        <f t="shared" si="48"/>
        <v>-1277.26</v>
      </c>
      <c r="I46" s="124">
        <f t="shared" si="48"/>
        <v>495</v>
      </c>
      <c r="J46" s="124">
        <f t="shared" si="48"/>
        <v>45.15</v>
      </c>
      <c r="K46" s="182">
        <f t="shared" si="48"/>
        <v>-711.52</v>
      </c>
      <c r="L46" s="77"/>
      <c r="AA46" s="77"/>
      <c r="AB46"/>
      <c r="AC46"/>
      <c r="AD46"/>
      <c r="AE46"/>
      <c r="AF46"/>
      <c r="AG46"/>
      <c r="AH46"/>
      <c r="AI46"/>
      <c r="AJ46"/>
      <c r="AL46"/>
      <c r="AM46"/>
      <c r="AN46"/>
      <c r="AO46"/>
      <c r="AP46"/>
      <c r="AQ46"/>
      <c r="AR46"/>
      <c r="AS46"/>
      <c r="AT46"/>
      <c r="AU46"/>
      <c r="AV46"/>
      <c r="AW46"/>
      <c r="AX46"/>
      <c r="AY46"/>
      <c r="AZ46"/>
      <c r="BA46"/>
      <c r="BB46"/>
      <c r="BC46"/>
      <c r="BD46"/>
      <c r="BE46"/>
      <c r="BF46"/>
    </row>
    <row r="47" ht="18.15" spans="2:58">
      <c r="B47"/>
      <c r="C47"/>
      <c r="D47"/>
      <c r="E47"/>
      <c r="F47"/>
      <c r="G47" s="125">
        <f>G46/E46</f>
        <v>0.299415204678363</v>
      </c>
      <c r="H47" s="125">
        <f>H46/F46</f>
        <v>-0.0384998542608432</v>
      </c>
      <c r="I47"/>
      <c r="J47"/>
      <c r="K47" s="183"/>
      <c r="L47" s="77"/>
      <c r="AA47" s="77"/>
      <c r="AB47"/>
      <c r="AC47"/>
      <c r="AD47"/>
      <c r="AE47"/>
      <c r="AF47"/>
      <c r="AG47"/>
      <c r="AH47"/>
      <c r="AI47"/>
      <c r="AJ47"/>
      <c r="AL47"/>
      <c r="AM47"/>
      <c r="AN47"/>
      <c r="AO47"/>
      <c r="AP47"/>
      <c r="AQ47"/>
      <c r="AR47"/>
      <c r="AS47"/>
      <c r="AT47"/>
      <c r="AU47"/>
      <c r="AV47"/>
      <c r="AW47"/>
      <c r="AX47"/>
      <c r="AY47"/>
      <c r="AZ47"/>
      <c r="BA47"/>
      <c r="BB47"/>
      <c r="BC47"/>
      <c r="BD47"/>
      <c r="BE47"/>
      <c r="BF47"/>
    </row>
    <row r="48" ht="26.4" spans="2:58">
      <c r="B48" s="126" t="s">
        <v>823</v>
      </c>
      <c r="C48" s="127" t="s">
        <v>949</v>
      </c>
      <c r="D48" s="127" t="s">
        <v>950</v>
      </c>
      <c r="E48" s="128" t="s">
        <v>951</v>
      </c>
      <c r="F48"/>
      <c r="G48" s="129"/>
      <c r="H48" s="130"/>
      <c r="I48" s="130"/>
      <c r="J48" s="130"/>
      <c r="K48" s="183"/>
      <c r="L48" s="77"/>
      <c r="AA48" s="77"/>
      <c r="AB48"/>
      <c r="AC48"/>
      <c r="AD48"/>
      <c r="AE48"/>
      <c r="AF48"/>
      <c r="AG48"/>
      <c r="AH48"/>
      <c r="AI48"/>
      <c r="AJ48"/>
      <c r="AL48"/>
      <c r="AM48"/>
      <c r="AN48"/>
      <c r="AO48"/>
      <c r="AP48"/>
      <c r="AQ48"/>
      <c r="AR48"/>
      <c r="AS48"/>
      <c r="AT48"/>
      <c r="AU48"/>
      <c r="AV48"/>
      <c r="AW48"/>
      <c r="AX48"/>
      <c r="AY48"/>
      <c r="AZ48"/>
      <c r="BA48"/>
      <c r="BB48"/>
      <c r="BC48"/>
      <c r="BD48"/>
      <c r="BE48"/>
      <c r="BF48"/>
    </row>
    <row r="49" spans="2:58">
      <c r="B49" s="131"/>
      <c r="C49" s="132"/>
      <c r="D49" s="133"/>
      <c r="E49" s="134">
        <f>D49*0.95</f>
        <v>0</v>
      </c>
      <c r="F49"/>
      <c r="G49" s="135"/>
      <c r="H49" s="130"/>
      <c r="I49" s="130"/>
      <c r="J49" s="130"/>
      <c r="K49" s="183"/>
      <c r="L49" s="77"/>
      <c r="AA49" s="77"/>
      <c r="AB49"/>
      <c r="AC49"/>
      <c r="AD49"/>
      <c r="AE49"/>
      <c r="AF49"/>
      <c r="AG49"/>
      <c r="AH49"/>
      <c r="AI49"/>
      <c r="AJ49"/>
      <c r="AL49"/>
      <c r="AM49"/>
      <c r="AN49"/>
      <c r="AO49"/>
      <c r="AP49"/>
      <c r="AQ49"/>
      <c r="AR49"/>
      <c r="AS49"/>
      <c r="AT49"/>
      <c r="AU49"/>
      <c r="AV49"/>
      <c r="AW49"/>
      <c r="AX49"/>
      <c r="AY49"/>
      <c r="AZ49"/>
      <c r="BA49"/>
      <c r="BB49"/>
      <c r="BC49"/>
      <c r="BD49"/>
      <c r="BE49"/>
      <c r="BF49"/>
    </row>
    <row r="50" spans="2:58">
      <c r="B50" s="136"/>
      <c r="C50" s="137"/>
      <c r="D50" s="138"/>
      <c r="E50" s="134">
        <f>D50*0.95</f>
        <v>0</v>
      </c>
      <c r="F50"/>
      <c r="G50" s="135"/>
      <c r="H50" s="130"/>
      <c r="I50" s="130"/>
      <c r="J50" s="130"/>
      <c r="K50" s="183"/>
      <c r="L50" s="77"/>
      <c r="AA50" s="77"/>
      <c r="AB50"/>
      <c r="AC50"/>
      <c r="AD50"/>
      <c r="AE50"/>
      <c r="AF50"/>
      <c r="AG50"/>
      <c r="AH50"/>
      <c r="AI50"/>
      <c r="AJ50"/>
      <c r="AL50"/>
      <c r="AM50"/>
      <c r="AN50"/>
      <c r="AO50"/>
      <c r="AP50"/>
      <c r="AQ50"/>
      <c r="AR50"/>
      <c r="AS50"/>
      <c r="AT50"/>
      <c r="AU50"/>
      <c r="AV50"/>
      <c r="AW50"/>
      <c r="AX50"/>
      <c r="AY50"/>
      <c r="AZ50"/>
      <c r="BA50"/>
      <c r="BB50"/>
      <c r="BC50"/>
      <c r="BD50"/>
      <c r="BE50"/>
      <c r="BF50"/>
    </row>
    <row r="51" ht="18.15" spans="2:58">
      <c r="B51" s="139"/>
      <c r="C51" s="140"/>
      <c r="D51" s="141"/>
      <c r="E51" s="134">
        <f>D51*0.95</f>
        <v>0</v>
      </c>
      <c r="F51"/>
      <c r="G51" s="135"/>
      <c r="H51" s="130"/>
      <c r="I51" s="130"/>
      <c r="J51" s="130"/>
      <c r="K51" s="183"/>
      <c r="L51" s="77"/>
      <c r="AA51" s="77"/>
      <c r="AB51"/>
      <c r="AC51"/>
      <c r="AD51"/>
      <c r="AE51"/>
      <c r="AF51"/>
      <c r="AG51"/>
      <c r="AH51"/>
      <c r="AI51"/>
      <c r="AJ51"/>
      <c r="AL51"/>
      <c r="AM51"/>
      <c r="AN51"/>
      <c r="AO51"/>
      <c r="AP51"/>
      <c r="AQ51"/>
      <c r="AR51"/>
      <c r="AS51"/>
      <c r="AT51"/>
      <c r="AU51"/>
      <c r="AV51"/>
      <c r="AW51"/>
      <c r="AX51"/>
      <c r="AY51"/>
      <c r="AZ51"/>
      <c r="BA51"/>
      <c r="BB51"/>
      <c r="BC51"/>
      <c r="BD51"/>
      <c r="BE51"/>
      <c r="BF51"/>
    </row>
    <row r="52" ht="18.15" spans="2:58">
      <c r="B52" s="142" t="s">
        <v>948</v>
      </c>
      <c r="C52" s="143">
        <f>SUM(C49:C51)</f>
        <v>0</v>
      </c>
      <c r="D52" s="144">
        <f>SUM(D49:D51)</f>
        <v>0</v>
      </c>
      <c r="E52" s="145">
        <f>SUM(E49:E51)</f>
        <v>0</v>
      </c>
      <c r="F52"/>
      <c r="G52" s="130"/>
      <c r="H52" s="130"/>
      <c r="I52" s="130"/>
      <c r="J52" s="130"/>
      <c r="K52" s="183"/>
      <c r="L52" s="77"/>
      <c r="AA52" s="77"/>
      <c r="AB52"/>
      <c r="AC52"/>
      <c r="AD52"/>
      <c r="AE52"/>
      <c r="AF52"/>
      <c r="AG52"/>
      <c r="AH52"/>
      <c r="AI52"/>
      <c r="AJ52"/>
      <c r="AL52"/>
      <c r="AM52"/>
      <c r="AN52"/>
      <c r="AO52"/>
      <c r="AP52"/>
      <c r="AQ52"/>
      <c r="AR52"/>
      <c r="AS52"/>
      <c r="AT52"/>
      <c r="AU52"/>
      <c r="AV52"/>
      <c r="AW52"/>
      <c r="AX52"/>
      <c r="AY52"/>
      <c r="AZ52"/>
      <c r="BA52"/>
      <c r="BB52"/>
      <c r="BC52"/>
      <c r="BD52"/>
      <c r="BE52"/>
      <c r="BF52"/>
    </row>
    <row r="53" spans="2:58">
      <c r="B53"/>
      <c r="C53" s="146">
        <f>C52/Q33</f>
        <v>0</v>
      </c>
      <c r="D53"/>
      <c r="E53"/>
      <c r="F53"/>
      <c r="G53"/>
      <c r="H53"/>
      <c r="I53"/>
      <c r="J53"/>
      <c r="K53" s="183"/>
      <c r="L53" s="77"/>
      <c r="AA53" s="77"/>
      <c r="AB53"/>
      <c r="AC53"/>
      <c r="AD53"/>
      <c r="AE53"/>
      <c r="AF53"/>
      <c r="AG53"/>
      <c r="AH53"/>
      <c r="AI53"/>
      <c r="AJ53"/>
      <c r="AL53"/>
      <c r="AM53"/>
      <c r="AN53"/>
      <c r="AO53"/>
      <c r="AP53"/>
      <c r="AQ53"/>
      <c r="AR53"/>
      <c r="AS53"/>
      <c r="AT53"/>
      <c r="AU53"/>
      <c r="AV53"/>
      <c r="AW53"/>
      <c r="AX53"/>
      <c r="AY53"/>
      <c r="AZ53"/>
      <c r="BA53"/>
      <c r="BB53"/>
      <c r="BC53"/>
      <c r="BD53"/>
      <c r="BE53"/>
      <c r="BF53"/>
    </row>
    <row r="54" ht="18.15" spans="2:58">
      <c r="B54"/>
      <c r="C54"/>
      <c r="D54"/>
      <c r="E54"/>
      <c r="F54"/>
      <c r="G54"/>
      <c r="H54"/>
      <c r="I54"/>
      <c r="J54"/>
      <c r="K54" s="183"/>
      <c r="L54" s="77"/>
      <c r="AA54" s="77"/>
      <c r="AB54"/>
      <c r="AC54"/>
      <c r="AD54"/>
      <c r="AE54"/>
      <c r="AF54"/>
      <c r="AG54"/>
      <c r="AH54"/>
      <c r="AI54"/>
      <c r="AJ54"/>
      <c r="AL54"/>
      <c r="AM54"/>
      <c r="AN54"/>
      <c r="AO54"/>
      <c r="AP54"/>
      <c r="AQ54"/>
      <c r="AR54"/>
      <c r="AS54"/>
      <c r="AT54"/>
      <c r="AU54"/>
      <c r="AV54"/>
      <c r="AW54"/>
      <c r="AX54"/>
      <c r="AY54"/>
      <c r="AZ54"/>
      <c r="BA54"/>
      <c r="BB54"/>
      <c r="BC54"/>
      <c r="BD54"/>
      <c r="BE54"/>
      <c r="BF54"/>
    </row>
    <row r="55" ht="18.15" spans="2:68">
      <c r="B55" s="147" t="s">
        <v>952</v>
      </c>
      <c r="C55" s="148" t="s">
        <v>953</v>
      </c>
      <c r="D55"/>
      <c r="E55"/>
      <c r="F55"/>
      <c r="G55"/>
      <c r="H55"/>
      <c r="I55"/>
      <c r="J55"/>
      <c r="K55" s="184"/>
      <c r="L55" s="77"/>
      <c r="AA55" s="77"/>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spans="2:68">
      <c r="B56" s="149" t="s">
        <v>954</v>
      </c>
      <c r="C56" s="150">
        <f>N38</f>
        <v>967.933333333334</v>
      </c>
      <c r="D56"/>
      <c r="E56"/>
      <c r="F56"/>
      <c r="G56"/>
      <c r="H56"/>
      <c r="I56"/>
      <c r="J56"/>
      <c r="K56" s="185"/>
      <c r="L56" s="77"/>
      <c r="AA56" s="77"/>
      <c r="AB56"/>
      <c r="AC56"/>
      <c r="AD56"/>
      <c r="AE56"/>
      <c r="AF56"/>
      <c r="AG56"/>
      <c r="AH56"/>
      <c r="AI56"/>
      <c r="AJ56"/>
      <c r="AL56"/>
      <c r="AM56"/>
      <c r="AN56"/>
      <c r="AO56"/>
      <c r="AP56"/>
      <c r="AQ56"/>
      <c r="AR56"/>
      <c r="AS56"/>
      <c r="AT56"/>
      <c r="AU56"/>
      <c r="AV56"/>
      <c r="AW56"/>
      <c r="AX56"/>
      <c r="AY56"/>
      <c r="AZ56"/>
      <c r="BA56"/>
      <c r="BB56"/>
      <c r="BC56"/>
      <c r="BD56"/>
      <c r="BE56"/>
      <c r="BF56"/>
      <c r="BL56"/>
      <c r="BM56"/>
      <c r="BN56"/>
      <c r="BO56"/>
      <c r="BP56"/>
    </row>
    <row r="57" spans="2:68">
      <c r="B57" s="151" t="s">
        <v>955</v>
      </c>
      <c r="C57" s="150">
        <f>SUM(H46)*-1</f>
        <v>1277.26</v>
      </c>
      <c r="D57"/>
      <c r="E57"/>
      <c r="F57"/>
      <c r="G57"/>
      <c r="H57"/>
      <c r="I57"/>
      <c r="J57"/>
      <c r="K57" s="75"/>
      <c r="L57" s="77"/>
      <c r="AA57" s="77"/>
      <c r="AB57"/>
      <c r="AC57"/>
      <c r="AD57"/>
      <c r="AE57"/>
      <c r="AF57"/>
      <c r="AG57"/>
      <c r="AH57"/>
      <c r="AI57"/>
      <c r="AJ57"/>
      <c r="AL57"/>
      <c r="AM57"/>
      <c r="AN57"/>
      <c r="AO57"/>
      <c r="AP57"/>
      <c r="AQ57"/>
      <c r="AR57"/>
      <c r="AS57"/>
      <c r="AT57"/>
      <c r="AU57"/>
      <c r="AV57"/>
      <c r="AW57"/>
      <c r="AX57"/>
      <c r="AY57"/>
      <c r="AZ57"/>
      <c r="BA57"/>
      <c r="BB57"/>
      <c r="BC57"/>
      <c r="BD57"/>
      <c r="BE57"/>
      <c r="BF57"/>
      <c r="BL57"/>
      <c r="BM57"/>
      <c r="BN57"/>
      <c r="BO57"/>
      <c r="BP57"/>
    </row>
    <row r="58" spans="2:68">
      <c r="B58" s="151" t="s">
        <v>956</v>
      </c>
      <c r="C58" s="150" t="e">
        <f>AO38</f>
        <v>#N/A</v>
      </c>
      <c r="D58"/>
      <c r="E58"/>
      <c r="F58"/>
      <c r="G58"/>
      <c r="H58"/>
      <c r="I58"/>
      <c r="J58"/>
      <c r="K58" s="75"/>
      <c r="L58" s="77"/>
      <c r="AA58" s="77"/>
      <c r="AB58"/>
      <c r="AC58"/>
      <c r="AD58"/>
      <c r="AE58"/>
      <c r="AF58"/>
      <c r="AG58"/>
      <c r="AH58"/>
      <c r="AI58"/>
      <c r="AJ58"/>
      <c r="AL58"/>
      <c r="AM58"/>
      <c r="AN58"/>
      <c r="AO58"/>
      <c r="AP58"/>
      <c r="AQ58"/>
      <c r="AR58"/>
      <c r="AS58"/>
      <c r="AT58"/>
      <c r="AU58"/>
      <c r="AV58"/>
      <c r="AW58"/>
      <c r="AX58"/>
      <c r="AY58"/>
      <c r="AZ58"/>
      <c r="BA58"/>
      <c r="BB58"/>
      <c r="BC58"/>
      <c r="BD58"/>
      <c r="BE58"/>
      <c r="BF58"/>
      <c r="BL58"/>
      <c r="BM58"/>
      <c r="BN58"/>
      <c r="BO58"/>
      <c r="BP58"/>
    </row>
    <row r="59" spans="2:68">
      <c r="B59" s="151" t="s">
        <v>957</v>
      </c>
      <c r="C59" s="150">
        <f>BN38</f>
        <v>580.14</v>
      </c>
      <c r="D59"/>
      <c r="E59"/>
      <c r="F59"/>
      <c r="G59"/>
      <c r="H59"/>
      <c r="I59"/>
      <c r="J59"/>
      <c r="K59" s="75"/>
      <c r="L59" s="77"/>
      <c r="AA59" s="77"/>
      <c r="AB59"/>
      <c r="AC59"/>
      <c r="AD59"/>
      <c r="AE59"/>
      <c r="AF59"/>
      <c r="AG59"/>
      <c r="AH59"/>
      <c r="AI59"/>
      <c r="AJ59"/>
      <c r="AL59"/>
      <c r="AM59"/>
      <c r="AN59"/>
      <c r="AO59"/>
      <c r="AP59"/>
      <c r="AQ59"/>
      <c r="AR59"/>
      <c r="AS59"/>
      <c r="AT59"/>
      <c r="AU59"/>
      <c r="AV59"/>
      <c r="AW59"/>
      <c r="AX59"/>
      <c r="AY59"/>
      <c r="AZ59"/>
      <c r="BA59"/>
      <c r="BB59"/>
      <c r="BC59"/>
      <c r="BD59"/>
      <c r="BE59"/>
      <c r="BF59"/>
      <c r="BL59"/>
      <c r="BM59"/>
      <c r="BN59"/>
      <c r="BO59"/>
      <c r="BP59"/>
    </row>
    <row r="60" ht="18.15" spans="2:68">
      <c r="B60" s="151" t="s">
        <v>958</v>
      </c>
      <c r="C60" s="150">
        <f>E52*-1</f>
        <v>0</v>
      </c>
      <c r="D60"/>
      <c r="E60"/>
      <c r="F60"/>
      <c r="G60"/>
      <c r="H60"/>
      <c r="I60"/>
      <c r="J60"/>
      <c r="K60" s="75"/>
      <c r="L60" s="77"/>
      <c r="AA60" s="77"/>
      <c r="AB60"/>
      <c r="AC60"/>
      <c r="AD60"/>
      <c r="AE60"/>
      <c r="AF60"/>
      <c r="AG60"/>
      <c r="AH60"/>
      <c r="AI60"/>
      <c r="AJ60"/>
      <c r="AL60"/>
      <c r="AM60"/>
      <c r="AN60"/>
      <c r="AO60"/>
      <c r="AP60"/>
      <c r="AQ60"/>
      <c r="AR60"/>
      <c r="AS60"/>
      <c r="AT60"/>
      <c r="AU60"/>
      <c r="AV60"/>
      <c r="AW60"/>
      <c r="AX60"/>
      <c r="AY60"/>
      <c r="AZ60"/>
      <c r="BA60"/>
      <c r="BB60"/>
      <c r="BC60"/>
      <c r="BD60"/>
      <c r="BE60"/>
      <c r="BF60"/>
      <c r="BL60"/>
      <c r="BM60"/>
      <c r="BN60"/>
      <c r="BO60"/>
      <c r="BP60"/>
    </row>
    <row r="61" ht="18.15" spans="2:68">
      <c r="B61" s="152" t="s">
        <v>959</v>
      </c>
      <c r="C61" s="153" t="e">
        <f>SUM(C56:C60)</f>
        <v>#N/A</v>
      </c>
      <c r="D61"/>
      <c r="E61"/>
      <c r="F61"/>
      <c r="G61"/>
      <c r="H61"/>
      <c r="I61"/>
      <c r="J61"/>
      <c r="K61" s="75"/>
      <c r="L61" s="77"/>
      <c r="AA61" s="77"/>
      <c r="AB61"/>
      <c r="AC61"/>
      <c r="AD61"/>
      <c r="AE61"/>
      <c r="AF61"/>
      <c r="AG61"/>
      <c r="AH61"/>
      <c r="AI61"/>
      <c r="AJ61"/>
      <c r="AL61"/>
      <c r="AM61"/>
      <c r="AN61"/>
      <c r="AO61"/>
      <c r="AP61"/>
      <c r="AQ61"/>
      <c r="AR61"/>
      <c r="AS61"/>
      <c r="AT61"/>
      <c r="AU61"/>
      <c r="AV61"/>
      <c r="AW61"/>
      <c r="AX61"/>
      <c r="AY61"/>
      <c r="AZ61"/>
      <c r="BA61"/>
      <c r="BB61"/>
      <c r="BC61"/>
      <c r="BD61"/>
      <c r="BE61"/>
      <c r="BF61"/>
      <c r="BL61"/>
      <c r="BM61"/>
      <c r="BN61"/>
      <c r="BO61"/>
      <c r="BP61"/>
    </row>
    <row r="62" spans="2:68">
      <c r="B62" s="149" t="s">
        <v>960</v>
      </c>
      <c r="C62" s="154" t="e">
        <f>BJ38</f>
        <v>#N/A</v>
      </c>
      <c r="D62"/>
      <c r="E62"/>
      <c r="F62"/>
      <c r="G62"/>
      <c r="H62"/>
      <c r="I62"/>
      <c r="J62"/>
      <c r="K62" s="75"/>
      <c r="L62" s="77"/>
      <c r="AA62" s="77"/>
      <c r="AB62"/>
      <c r="AC62"/>
      <c r="AD62"/>
      <c r="AE62"/>
      <c r="AF62"/>
      <c r="AG62"/>
      <c r="AH62"/>
      <c r="AI62"/>
      <c r="AJ62"/>
      <c r="AL62"/>
      <c r="AM62"/>
      <c r="AN62"/>
      <c r="AO62"/>
      <c r="AP62"/>
      <c r="AQ62"/>
      <c r="AR62"/>
      <c r="AS62"/>
      <c r="AT62"/>
      <c r="AU62"/>
      <c r="AV62"/>
      <c r="AW62"/>
      <c r="AX62"/>
      <c r="AY62"/>
      <c r="AZ62"/>
      <c r="BA62"/>
      <c r="BB62"/>
      <c r="BC62"/>
      <c r="BD62"/>
      <c r="BE62"/>
      <c r="BF62"/>
      <c r="BL62"/>
      <c r="BM62"/>
      <c r="BN62"/>
      <c r="BO62"/>
      <c r="BP62"/>
    </row>
    <row r="63" spans="2:68">
      <c r="B63" s="155" t="s">
        <v>961</v>
      </c>
      <c r="C63" s="156">
        <f>BO38</f>
        <v>0</v>
      </c>
      <c r="D63"/>
      <c r="E63"/>
      <c r="F63"/>
      <c r="G63"/>
      <c r="H63"/>
      <c r="I63"/>
      <c r="J63"/>
      <c r="K63" s="75"/>
      <c r="L63" s="77"/>
      <c r="AA63" s="77"/>
      <c r="AB63"/>
      <c r="AC63"/>
      <c r="AD63"/>
      <c r="AE63"/>
      <c r="AF63"/>
      <c r="AG63"/>
      <c r="AH63"/>
      <c r="AI63"/>
      <c r="AJ63"/>
      <c r="AL63"/>
      <c r="AM63"/>
      <c r="AN63"/>
      <c r="AO63"/>
      <c r="AP63"/>
      <c r="AQ63"/>
      <c r="AR63"/>
      <c r="AS63"/>
      <c r="AT63"/>
      <c r="AU63"/>
      <c r="AV63"/>
      <c r="AW63"/>
      <c r="AX63"/>
      <c r="AY63"/>
      <c r="AZ63"/>
      <c r="BA63"/>
      <c r="BB63"/>
      <c r="BC63"/>
      <c r="BD63"/>
      <c r="BE63"/>
      <c r="BF63"/>
      <c r="BL63"/>
      <c r="BM63"/>
      <c r="BN63"/>
      <c r="BO63"/>
      <c r="BP63"/>
    </row>
    <row r="64" ht="18" customHeight="1" spans="2:68">
      <c r="B64" s="155" t="s">
        <v>962</v>
      </c>
      <c r="C64" s="156">
        <f>(G46+J46+I46)*-1</f>
        <v>-565.75</v>
      </c>
      <c r="D64" s="157"/>
      <c r="E64"/>
      <c r="F64"/>
      <c r="G64"/>
      <c r="H64"/>
      <c r="I64"/>
      <c r="J64"/>
      <c r="K64" s="75"/>
      <c r="L64" s="77"/>
      <c r="AA64" s="77"/>
      <c r="AB64"/>
      <c r="AC64"/>
      <c r="AD64"/>
      <c r="AE64"/>
      <c r="AF64"/>
      <c r="AG64"/>
      <c r="AH64"/>
      <c r="AI64"/>
      <c r="AJ64"/>
      <c r="AL64"/>
      <c r="AM64"/>
      <c r="AN64"/>
      <c r="AO64"/>
      <c r="AP64"/>
      <c r="AQ64"/>
      <c r="AR64"/>
      <c r="AS64"/>
      <c r="AT64"/>
      <c r="AU64"/>
      <c r="AV64"/>
      <c r="AW64"/>
      <c r="AX64"/>
      <c r="AY64"/>
      <c r="AZ64"/>
      <c r="BA64"/>
      <c r="BB64"/>
      <c r="BC64"/>
      <c r="BD64"/>
      <c r="BE64"/>
      <c r="BF64"/>
      <c r="BK64" s="287"/>
      <c r="BL64"/>
      <c r="BM64"/>
      <c r="BN64"/>
      <c r="BO64"/>
      <c r="BP64"/>
    </row>
    <row r="65" ht="18" customHeight="1" spans="2:68">
      <c r="B65" s="319" t="s">
        <v>963</v>
      </c>
      <c r="C65" s="320">
        <f>SUM(J38:M38)*-1</f>
        <v>-487.8</v>
      </c>
      <c r="D65"/>
      <c r="E65"/>
      <c r="F65"/>
      <c r="G65"/>
      <c r="H65"/>
      <c r="I65"/>
      <c r="J65"/>
      <c r="K65" s="183"/>
      <c r="L65" s="77"/>
      <c r="AA65" s="77"/>
      <c r="AB65"/>
      <c r="AC65"/>
      <c r="AD65"/>
      <c r="AE65"/>
      <c r="AF65"/>
      <c r="AG65"/>
      <c r="AH65"/>
      <c r="AI65"/>
      <c r="AJ65"/>
      <c r="AL65"/>
      <c r="AM65"/>
      <c r="AN65"/>
      <c r="AO65"/>
      <c r="AP65"/>
      <c r="AQ65"/>
      <c r="AR65"/>
      <c r="AS65"/>
      <c r="AT65"/>
      <c r="AU65"/>
      <c r="AV65"/>
      <c r="AW65"/>
      <c r="AX65"/>
      <c r="AY65"/>
      <c r="AZ65"/>
      <c r="BA65"/>
      <c r="BB65"/>
      <c r="BC65"/>
      <c r="BD65"/>
      <c r="BE65"/>
      <c r="BF65"/>
      <c r="BK65" s="287"/>
      <c r="BL65"/>
      <c r="BM65"/>
      <c r="BN65"/>
      <c r="BO65"/>
      <c r="BP65"/>
    </row>
    <row r="66" ht="18" customHeight="1" spans="2:68">
      <c r="B66" s="152" t="s">
        <v>964</v>
      </c>
      <c r="C66" s="153" t="e">
        <f>SUM(C62:C65)</f>
        <v>#N/A</v>
      </c>
      <c r="D66"/>
      <c r="E66"/>
      <c r="F66"/>
      <c r="G66"/>
      <c r="H66"/>
      <c r="I66"/>
      <c r="J66"/>
      <c r="K66" s="183"/>
      <c r="L66" s="77"/>
      <c r="AA66" s="77"/>
      <c r="AB66"/>
      <c r="AC66"/>
      <c r="AD66"/>
      <c r="AE66"/>
      <c r="AF66"/>
      <c r="AG66"/>
      <c r="AH66"/>
      <c r="AI66"/>
      <c r="AJ66"/>
      <c r="AK66" s="327"/>
      <c r="AL66"/>
      <c r="AM66"/>
      <c r="AN66"/>
      <c r="AO66"/>
      <c r="AP66"/>
      <c r="AQ66"/>
      <c r="AR66"/>
      <c r="AS66"/>
      <c r="AT66"/>
      <c r="AU66"/>
      <c r="AV66"/>
      <c r="AW66"/>
      <c r="AX66"/>
      <c r="AY66"/>
      <c r="AZ66"/>
      <c r="BA66"/>
      <c r="BB66"/>
      <c r="BC66"/>
      <c r="BD66"/>
      <c r="BE66"/>
      <c r="BF66"/>
      <c r="BK66" s="287"/>
      <c r="BL66"/>
      <c r="BM66"/>
      <c r="BN66"/>
      <c r="BO66"/>
      <c r="BP66"/>
    </row>
    <row r="67" ht="18" customHeight="1" spans="2:68">
      <c r="B67" s="152" t="s">
        <v>965</v>
      </c>
      <c r="C67" s="153" t="e">
        <f>AL38+BG38</f>
        <v>#N/A</v>
      </c>
      <c r="D67"/>
      <c r="E67"/>
      <c r="F67"/>
      <c r="G67"/>
      <c r="H67"/>
      <c r="I67"/>
      <c r="J67"/>
      <c r="K67" s="183"/>
      <c r="L67" s="77"/>
      <c r="AA67" s="77"/>
      <c r="AB67"/>
      <c r="AC67"/>
      <c r="AD67"/>
      <c r="AE67"/>
      <c r="AF67"/>
      <c r="AG67"/>
      <c r="AH67"/>
      <c r="AI67"/>
      <c r="AJ67"/>
      <c r="AK67" s="327"/>
      <c r="AL67"/>
      <c r="AM67"/>
      <c r="AN67"/>
      <c r="AO67"/>
      <c r="AP67"/>
      <c r="AQ67"/>
      <c r="AR67"/>
      <c r="AS67"/>
      <c r="AT67"/>
      <c r="AU67"/>
      <c r="AV67"/>
      <c r="AW67"/>
      <c r="AX67"/>
      <c r="AY67"/>
      <c r="AZ67"/>
      <c r="BA67"/>
      <c r="BB67"/>
      <c r="BC67"/>
      <c r="BD67"/>
      <c r="BE67"/>
      <c r="BF67"/>
      <c r="BK67" s="287"/>
      <c r="BL67"/>
      <c r="BM67"/>
      <c r="BN67"/>
      <c r="BO67"/>
      <c r="BP67"/>
    </row>
    <row r="68" ht="18" customHeight="1" spans="2:68">
      <c r="B68" s="149" t="s">
        <v>966</v>
      </c>
      <c r="C68" s="154" t="e">
        <f>C61+C66-C67</f>
        <v>#N/A</v>
      </c>
      <c r="D68"/>
      <c r="E68"/>
      <c r="F68"/>
      <c r="G68"/>
      <c r="H68"/>
      <c r="I68"/>
      <c r="J68"/>
      <c r="K68" s="184"/>
      <c r="L68" s="77"/>
      <c r="AA68" s="77"/>
      <c r="AB68"/>
      <c r="AC68"/>
      <c r="AD68"/>
      <c r="AE68"/>
      <c r="AF68"/>
      <c r="AG68"/>
      <c r="AH68"/>
      <c r="AI68"/>
      <c r="AJ68"/>
      <c r="AK68" s="328"/>
      <c r="AL68"/>
      <c r="AM68"/>
      <c r="AN68"/>
      <c r="AO68"/>
      <c r="AP68"/>
      <c r="AQ68"/>
      <c r="AR68"/>
      <c r="AS68"/>
      <c r="AT68"/>
      <c r="AU68"/>
      <c r="AV68"/>
      <c r="AW68"/>
      <c r="AX68"/>
      <c r="AY68"/>
      <c r="AZ68"/>
      <c r="BA68"/>
      <c r="BB68"/>
      <c r="BC68"/>
      <c r="BD68"/>
      <c r="BE68"/>
      <c r="BF68"/>
      <c r="BK68" s="287"/>
      <c r="BL68"/>
      <c r="BM68"/>
      <c r="BN68"/>
      <c r="BO68"/>
      <c r="BP68"/>
    </row>
    <row r="69" ht="18" customHeight="1" spans="2:68">
      <c r="B69" s="319" t="s">
        <v>967</v>
      </c>
      <c r="C69" s="321" t="e">
        <f>C68/C61</f>
        <v>#N/A</v>
      </c>
      <c r="D69"/>
      <c r="E69"/>
      <c r="F69"/>
      <c r="G69"/>
      <c r="H69"/>
      <c r="I69"/>
      <c r="J69"/>
      <c r="K69" s="185"/>
      <c r="L69" s="77"/>
      <c r="AA69" s="77"/>
      <c r="AB69"/>
      <c r="AC69"/>
      <c r="AD69"/>
      <c r="AE69"/>
      <c r="AF69"/>
      <c r="AG69"/>
      <c r="AH69"/>
      <c r="AI69"/>
      <c r="AJ69"/>
      <c r="AK69" s="329"/>
      <c r="AL69"/>
      <c r="AM69"/>
      <c r="AN69"/>
      <c r="AO69"/>
      <c r="AP69"/>
      <c r="AQ69"/>
      <c r="AR69"/>
      <c r="AS69"/>
      <c r="AT69"/>
      <c r="AU69"/>
      <c r="AV69"/>
      <c r="AW69"/>
      <c r="AX69"/>
      <c r="AY69"/>
      <c r="AZ69"/>
      <c r="BA69"/>
      <c r="BB69"/>
      <c r="BC69"/>
      <c r="BD69"/>
      <c r="BE69"/>
      <c r="BF69"/>
      <c r="BK69" s="287"/>
      <c r="BL69"/>
      <c r="BM69"/>
      <c r="BN69"/>
      <c r="BO69"/>
      <c r="BP69"/>
    </row>
    <row r="70" ht="18" customHeight="1" spans="2:68">
      <c r="B70"/>
      <c r="D70" s="287"/>
      <c r="F70" s="322"/>
      <c r="G70" s="322"/>
      <c r="H70"/>
      <c r="I70"/>
      <c r="J70"/>
      <c r="K70"/>
      <c r="L70" s="77"/>
      <c r="O70" s="322"/>
      <c r="AA70" s="77"/>
      <c r="AB70"/>
      <c r="AC70"/>
      <c r="AD70"/>
      <c r="AE70"/>
      <c r="AF70"/>
      <c r="AG70"/>
      <c r="AH70"/>
      <c r="AI70"/>
      <c r="AJ70"/>
      <c r="AK70" s="329"/>
      <c r="AL70"/>
      <c r="AM70"/>
      <c r="AN70"/>
      <c r="AO70"/>
      <c r="AP70"/>
      <c r="AQ70"/>
      <c r="AR70"/>
      <c r="AS70"/>
      <c r="AT70"/>
      <c r="AU70"/>
      <c r="AV70"/>
      <c r="AW70"/>
      <c r="AX70"/>
      <c r="AY70"/>
      <c r="AZ70"/>
      <c r="BA70"/>
      <c r="BB70"/>
      <c r="BC70"/>
      <c r="BD70"/>
      <c r="BE70"/>
      <c r="BF70"/>
      <c r="BK70" s="287"/>
      <c r="BL70"/>
      <c r="BM70"/>
      <c r="BN70"/>
      <c r="BO70"/>
      <c r="BP70"/>
    </row>
    <row r="71" ht="37.95" customHeight="1" spans="2:68">
      <c r="B71"/>
      <c r="C71"/>
      <c r="D71"/>
      <c r="E71"/>
      <c r="F71"/>
      <c r="G71"/>
      <c r="H71"/>
      <c r="I71"/>
      <c r="K71" s="287"/>
      <c r="O71" s="322"/>
      <c r="AA71" s="322"/>
      <c r="AB71"/>
      <c r="AC71"/>
      <c r="AD71"/>
      <c r="AE71"/>
      <c r="AF71"/>
      <c r="AG71"/>
      <c r="AH71"/>
      <c r="AI71"/>
      <c r="AJ71"/>
      <c r="AK71" s="329"/>
      <c r="AL71"/>
      <c r="AM71"/>
      <c r="AN71"/>
      <c r="AO71"/>
      <c r="AP71"/>
      <c r="AQ71"/>
      <c r="AR71"/>
      <c r="AS71"/>
      <c r="AT71"/>
      <c r="AU71"/>
      <c r="AV71"/>
      <c r="AW71"/>
      <c r="AX71"/>
      <c r="AY71"/>
      <c r="AZ71"/>
      <c r="BA71"/>
      <c r="BB71"/>
      <c r="BC71"/>
      <c r="BD71"/>
      <c r="BE71"/>
      <c r="BF71"/>
      <c r="BK71" s="287"/>
      <c r="BL71"/>
      <c r="BM71"/>
      <c r="BN71"/>
      <c r="BO71"/>
      <c r="BP71"/>
    </row>
    <row r="72" spans="2:68">
      <c r="B72"/>
      <c r="C72"/>
      <c r="D72"/>
      <c r="E72"/>
      <c r="F72"/>
      <c r="G72"/>
      <c r="H72"/>
      <c r="I72"/>
      <c r="K72" s="323"/>
      <c r="M72" s="323"/>
      <c r="N72" s="322"/>
      <c r="O72" s="322"/>
      <c r="P72"/>
      <c r="Q72"/>
      <c r="R72"/>
      <c r="S72"/>
      <c r="T72"/>
      <c r="U72"/>
      <c r="V72"/>
      <c r="W72"/>
      <c r="Y72" s="287"/>
      <c r="Z72" s="75"/>
      <c r="AA72" s="322"/>
      <c r="AB72"/>
      <c r="AC72"/>
      <c r="AD72"/>
      <c r="AE72"/>
      <c r="AF72"/>
      <c r="AG72"/>
      <c r="AH72"/>
      <c r="AI72"/>
      <c r="AJ72"/>
      <c r="AK72" s="329"/>
      <c r="AL72"/>
      <c r="AM72"/>
      <c r="AN72"/>
      <c r="AO72"/>
      <c r="AP72"/>
      <c r="AQ72"/>
      <c r="AR72"/>
      <c r="AS72"/>
      <c r="AT72"/>
      <c r="AU72"/>
      <c r="AV72"/>
      <c r="AW72"/>
      <c r="AX72"/>
      <c r="AY72"/>
      <c r="AZ72"/>
      <c r="BA72"/>
      <c r="BB72"/>
      <c r="BC72"/>
      <c r="BD72"/>
      <c r="BE72"/>
      <c r="BF72"/>
      <c r="BL72"/>
      <c r="BM72"/>
      <c r="BN72"/>
      <c r="BO72"/>
      <c r="BP72"/>
    </row>
    <row r="73" spans="2:68">
      <c r="B73"/>
      <c r="C73"/>
      <c r="D73"/>
      <c r="E73"/>
      <c r="F73"/>
      <c r="G73"/>
      <c r="H73"/>
      <c r="I73"/>
      <c r="K73" s="323"/>
      <c r="M73" s="323"/>
      <c r="N73" s="322"/>
      <c r="O73" s="322"/>
      <c r="P73"/>
      <c r="Q73"/>
      <c r="R73"/>
      <c r="S73"/>
      <c r="T73"/>
      <c r="U73"/>
      <c r="V73"/>
      <c r="W73"/>
      <c r="X73"/>
      <c r="Y73"/>
      <c r="Z73"/>
      <c r="AA73"/>
      <c r="AB73"/>
      <c r="AC73"/>
      <c r="AD73"/>
      <c r="AE73"/>
      <c r="AF73"/>
      <c r="AG73"/>
      <c r="AH73"/>
      <c r="AI73"/>
      <c r="AJ73"/>
      <c r="AK73" s="329"/>
      <c r="AL73"/>
      <c r="AM73"/>
      <c r="AN73"/>
      <c r="AO73"/>
      <c r="AP73"/>
      <c r="AQ73"/>
      <c r="AR73"/>
      <c r="AS73"/>
      <c r="AT73"/>
      <c r="AU73"/>
      <c r="AV73"/>
      <c r="AW73"/>
      <c r="AX73"/>
      <c r="AY73"/>
      <c r="AZ73"/>
      <c r="BA73"/>
      <c r="BB73"/>
      <c r="BC73"/>
      <c r="BD73"/>
      <c r="BE73"/>
      <c r="BF73"/>
      <c r="BL73"/>
      <c r="BM73"/>
      <c r="BN73"/>
      <c r="BO73"/>
      <c r="BP73"/>
    </row>
    <row r="74" spans="2:68">
      <c r="B74"/>
      <c r="C74"/>
      <c r="D74"/>
      <c r="E74"/>
      <c r="F74"/>
      <c r="G74"/>
      <c r="H74"/>
      <c r="I74"/>
      <c r="K74" s="323"/>
      <c r="M74" s="323"/>
      <c r="N74" s="322"/>
      <c r="O74" s="322"/>
      <c r="P74"/>
      <c r="Q74"/>
      <c r="R74"/>
      <c r="S74"/>
      <c r="T74"/>
      <c r="U74"/>
      <c r="V74"/>
      <c r="W74"/>
      <c r="X74"/>
      <c r="Y74"/>
      <c r="Z74"/>
      <c r="AA74"/>
      <c r="AB74"/>
      <c r="AC74"/>
      <c r="AD74"/>
      <c r="AE74"/>
      <c r="AF74"/>
      <c r="AG74"/>
      <c r="AH74"/>
      <c r="AI74"/>
      <c r="AJ74"/>
      <c r="AK74" s="329"/>
      <c r="AL74"/>
      <c r="AM74"/>
      <c r="AN74"/>
      <c r="AO74"/>
      <c r="AP74"/>
      <c r="AQ74"/>
      <c r="AR74"/>
      <c r="AS74"/>
      <c r="AT74"/>
      <c r="AU74"/>
      <c r="AV74"/>
      <c r="AW74"/>
      <c r="AX74"/>
      <c r="AY74"/>
      <c r="AZ74"/>
      <c r="BA74"/>
      <c r="BB74"/>
      <c r="BC74"/>
      <c r="BD74"/>
      <c r="BE74"/>
      <c r="BF74"/>
      <c r="BL74"/>
      <c r="BM74"/>
      <c r="BN74"/>
      <c r="BO74"/>
      <c r="BP74"/>
    </row>
    <row r="75" spans="2:68">
      <c r="B75"/>
      <c r="C75"/>
      <c r="D75"/>
      <c r="E75"/>
      <c r="F75"/>
      <c r="G75"/>
      <c r="H75"/>
      <c r="I75"/>
      <c r="K75" s="75"/>
      <c r="M75" s="75"/>
      <c r="P75"/>
      <c r="Q75"/>
      <c r="R75"/>
      <c r="S75"/>
      <c r="T75"/>
      <c r="U75"/>
      <c r="V75"/>
      <c r="W75"/>
      <c r="X75"/>
      <c r="Y75"/>
      <c r="Z75"/>
      <c r="AA75"/>
      <c r="AB75"/>
      <c r="AC75"/>
      <c r="AD75"/>
      <c r="AE75"/>
      <c r="AF75"/>
      <c r="AG75"/>
      <c r="AH75"/>
      <c r="AI75"/>
      <c r="AJ75"/>
      <c r="AL75"/>
      <c r="AM75"/>
      <c r="AN75"/>
      <c r="AO75"/>
      <c r="AP75"/>
      <c r="AQ75"/>
      <c r="AR75"/>
      <c r="AS75"/>
      <c r="AT75"/>
      <c r="AU75"/>
      <c r="AV75"/>
      <c r="AW75"/>
      <c r="AX75"/>
      <c r="AY75"/>
      <c r="AZ75"/>
      <c r="BA75"/>
      <c r="BB75"/>
      <c r="BC75"/>
      <c r="BD75"/>
      <c r="BE75"/>
      <c r="BF75"/>
      <c r="BL75"/>
      <c r="BM75"/>
      <c r="BN75"/>
      <c r="BO75"/>
      <c r="BP75"/>
    </row>
    <row r="76" spans="2:68">
      <c r="B76"/>
      <c r="C76"/>
      <c r="D76"/>
      <c r="E76"/>
      <c r="F76"/>
      <c r="G76"/>
      <c r="H76"/>
      <c r="I76"/>
      <c r="K76" s="75"/>
      <c r="M76" s="75"/>
      <c r="P76"/>
      <c r="Q76"/>
      <c r="R76"/>
      <c r="S76"/>
      <c r="T76"/>
      <c r="U76"/>
      <c r="V76"/>
      <c r="W76"/>
      <c r="X76"/>
      <c r="Y76"/>
      <c r="Z76"/>
      <c r="AA76"/>
      <c r="AB76"/>
      <c r="AC76"/>
      <c r="AD76"/>
      <c r="AE76"/>
      <c r="AF76"/>
      <c r="AG76"/>
      <c r="AH76"/>
      <c r="AI76"/>
      <c r="AJ76"/>
      <c r="AL76"/>
      <c r="AM76"/>
      <c r="AN76"/>
      <c r="AO76"/>
      <c r="AP76"/>
      <c r="AQ76"/>
      <c r="AR76"/>
      <c r="AS76"/>
      <c r="AT76"/>
      <c r="AU76"/>
      <c r="AV76"/>
      <c r="AW76"/>
      <c r="AX76"/>
      <c r="AY76"/>
      <c r="AZ76"/>
      <c r="BA76"/>
      <c r="BB76"/>
      <c r="BC76"/>
      <c r="BD76"/>
      <c r="BE76"/>
      <c r="BF76"/>
      <c r="BG76" s="325"/>
      <c r="BH76" s="325"/>
      <c r="BI76" s="325"/>
      <c r="BJ76" s="325"/>
      <c r="BL76"/>
      <c r="BM76"/>
      <c r="BN76"/>
      <c r="BO76"/>
      <c r="BP76"/>
    </row>
    <row r="77" spans="2:68">
      <c r="B77"/>
      <c r="C77"/>
      <c r="D77"/>
      <c r="E77"/>
      <c r="F77"/>
      <c r="G77"/>
      <c r="H77"/>
      <c r="I77"/>
      <c r="K77" s="75"/>
      <c r="M77" s="75"/>
      <c r="U77" s="325"/>
      <c r="V77" s="325"/>
      <c r="W77" s="325"/>
      <c r="X77" s="325"/>
      <c r="Y77" s="77"/>
      <c r="Z77" s="77"/>
      <c r="AA77" s="77"/>
      <c r="AB77" s="77"/>
      <c r="AC77" s="77"/>
      <c r="AD77" s="77"/>
      <c r="AH77" s="77"/>
      <c r="AI77" s="77"/>
      <c r="AJ77" s="77"/>
      <c r="AL77" s="77"/>
      <c r="AM77" s="77"/>
      <c r="AN77" s="77"/>
      <c r="AO77" s="77"/>
      <c r="AP77" s="325"/>
      <c r="AQ77" s="325"/>
      <c r="AR77" s="325"/>
      <c r="AS77" s="325"/>
      <c r="AT77" s="325"/>
      <c r="AU77" s="325"/>
      <c r="AV77" s="325"/>
      <c r="AW77" s="325"/>
      <c r="AX77" s="325"/>
      <c r="AY77" s="325"/>
      <c r="AZ77" s="325"/>
      <c r="BA77" s="325"/>
      <c r="BB77" s="325"/>
      <c r="BC77" s="325"/>
      <c r="BD77" s="325"/>
      <c r="BE77" s="325"/>
      <c r="BF77" s="325"/>
      <c r="BG77" s="325"/>
      <c r="BH77" s="325"/>
      <c r="BI77" s="325"/>
      <c r="BJ77" s="325"/>
      <c r="BL77"/>
      <c r="BM77"/>
      <c r="BN77"/>
      <c r="BO77"/>
      <c r="BP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ht="13.8" spans="1:7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ht="13.8" spans="1:72">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T83"/>
    </row>
    <row r="84" ht="13.8" spans="1:72">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T84"/>
    </row>
    <row r="85" ht="13.8" spans="1:72">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T85"/>
    </row>
    <row r="86" ht="13.8" spans="1:72">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T86"/>
    </row>
    <row r="87" ht="13.8" spans="1:72">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T87"/>
    </row>
    <row r="88" ht="13.8" spans="1:72">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T88"/>
    </row>
    <row r="89" ht="13.8" spans="1:72">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T89"/>
    </row>
    <row r="90" ht="13.8" spans="1:72">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T90"/>
    </row>
    <row r="91" spans="2:41">
      <c r="B91"/>
      <c r="C91"/>
      <c r="D91"/>
      <c r="E91"/>
      <c r="F91"/>
      <c r="G91"/>
      <c r="H91"/>
      <c r="I91"/>
      <c r="K91" s="75"/>
      <c r="M91" s="75"/>
      <c r="Y91" s="77"/>
      <c r="Z91" s="77"/>
      <c r="AA91" s="77"/>
      <c r="AB91" s="77"/>
      <c r="AC91" s="77"/>
      <c r="AD91" s="77"/>
      <c r="AH91" s="77"/>
      <c r="AI91" s="77"/>
      <c r="AJ91" s="77"/>
      <c r="AL91" s="77"/>
      <c r="AM91" s="77"/>
      <c r="AN91" s="77"/>
      <c r="AO91" s="77"/>
    </row>
    <row r="92" spans="2:41">
      <c r="B92"/>
      <c r="C92"/>
      <c r="D92"/>
      <c r="E92"/>
      <c r="F92"/>
      <c r="G92"/>
      <c r="H92"/>
      <c r="I92"/>
      <c r="K92" s="75"/>
      <c r="M92" s="75"/>
      <c r="Y92" s="77"/>
      <c r="Z92" s="77"/>
      <c r="AA92" s="77"/>
      <c r="AB92" s="77"/>
      <c r="AC92" s="77"/>
      <c r="AD92" s="77"/>
      <c r="AH92" s="77"/>
      <c r="AI92" s="77"/>
      <c r="AJ92" s="77"/>
      <c r="AL92" s="77"/>
      <c r="AM92" s="77"/>
      <c r="AN92" s="77"/>
      <c r="AO92" s="77"/>
    </row>
    <row r="93" spans="2:41">
      <c r="B93"/>
      <c r="C93"/>
      <c r="D93"/>
      <c r="E93"/>
      <c r="F93"/>
      <c r="G93"/>
      <c r="H93"/>
      <c r="I93"/>
      <c r="K93" s="75"/>
      <c r="M93" s="75"/>
      <c r="Y93" s="77"/>
      <c r="Z93" s="77"/>
      <c r="AA93" s="77"/>
      <c r="AB93" s="77"/>
      <c r="AC93" s="77"/>
      <c r="AD93" s="77"/>
      <c r="AH93" s="77"/>
      <c r="AI93" s="77"/>
      <c r="AJ93" s="77"/>
      <c r="AL93" s="77"/>
      <c r="AM93" s="77"/>
      <c r="AN93" s="77"/>
      <c r="AO93" s="77"/>
    </row>
    <row r="94" spans="1:72">
      <c r="A94" s="112"/>
      <c r="B94"/>
      <c r="C94"/>
      <c r="D94"/>
      <c r="E94"/>
      <c r="F94"/>
      <c r="G94"/>
      <c r="H94"/>
      <c r="I94"/>
      <c r="N94" s="323"/>
      <c r="O94" s="323"/>
      <c r="P94" s="324"/>
      <c r="Q94" s="324"/>
      <c r="R94" s="326"/>
      <c r="S94" s="326"/>
      <c r="AK94" s="323"/>
      <c r="BT94" s="112"/>
    </row>
    <row r="95" spans="2:37">
      <c r="B95"/>
      <c r="C95"/>
      <c r="D95"/>
      <c r="E95"/>
      <c r="F95"/>
      <c r="G95"/>
      <c r="H95"/>
      <c r="I95"/>
      <c r="N95" s="323"/>
      <c r="O95" s="323"/>
      <c r="P95" s="323"/>
      <c r="Q95" s="323"/>
      <c r="R95" s="326"/>
      <c r="S95" s="326"/>
      <c r="AK95" s="323"/>
    </row>
    <row r="96" spans="6:37">
      <c r="F96"/>
      <c r="G96"/>
      <c r="N96" s="323"/>
      <c r="O96" s="323"/>
      <c r="P96" s="324"/>
      <c r="Q96" s="324"/>
      <c r="R96" s="326"/>
      <c r="S96" s="326"/>
      <c r="AK96" s="323"/>
    </row>
    <row r="97" spans="14:37">
      <c r="N97" s="323"/>
      <c r="O97" s="323"/>
      <c r="P97" s="323"/>
      <c r="Q97" s="323"/>
      <c r="R97" s="326"/>
      <c r="S97" s="326"/>
      <c r="AK97" s="323"/>
    </row>
  </sheetData>
  <mergeCells count="3">
    <mergeCell ref="R3:AD3"/>
    <mergeCell ref="AE3:AI3"/>
    <mergeCell ref="AJ3:AO3"/>
  </mergeCells>
  <conditionalFormatting sqref="AL5:AL31">
    <cfRule type="expression" dxfId="125" priority="3" stopIfTrue="1">
      <formula>$AR5=0</formula>
    </cfRule>
  </conditionalFormatting>
  <conditionalFormatting sqref="AR5:AR31">
    <cfRule type="expression" dxfId="125" priority="1" stopIfTrue="1">
      <formula>$AR5=0</formula>
    </cfRule>
  </conditionalFormatting>
  <conditionalFormatting sqref="Q4:AO28 A1:B2 O1:BS2 BT1:XFD20 F2:H2 J2 F3:R3 AE3 AJ3 AP3:BS3 AR4:BS4 AP5:AU28 AV5:BS5 BN6:BS20 BB6:BM21 BN21:XFD21 A3:E31 BB22:XFD28 AV6:BA28 J4:N31 A32:B37 F32:N37 Q32:AF37 A38:AF38 T40:AF40 AL40:AN40 AQ40:BC40 AG32:XFD38 C32:E35 Q29:XFD31 BG40:BS41 AG40:AK44 A40:A95 BT40:XFD1048576 J41:K41 AL41:BC41 L41:L43 AA41:AF44 G42:K43 AL42:BS44 G44:L44 G45:K45 BG45:BS54 AK45:AK76 K47:K69 F97:G1048576 H96:M1048576 A96:E1048576 AX79:BS1048576 N77:AW1048576 AX77:BK78 J72:M95 N72:O76 X72:AA72 AA71 J71:L71 O70:O71 BG55:BK76 BQ55:BS78 C70:G70">
    <cfRule type="cellIs" dxfId="36" priority="16" operator="lessThan">
      <formula>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workbookViewId="0">
      <selection activeCell="C44" sqref="C44"/>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v>
      </c>
    </row>
    <row r="9" ht="18" customHeight="1" spans="1:5">
      <c r="A9" s="14"/>
      <c r="B9" s="8" t="s">
        <v>974</v>
      </c>
      <c r="C9" s="15"/>
      <c r="D9" s="15"/>
      <c r="E9" s="16">
        <f>VLOOKUP(E8,'Energy billing Mastersheet'!5:38,MATCH('Energy billing Mastersheet'!C4,'Energy billing Mastersheet'!4:4,0),FALSE)</f>
        <v>50002845</v>
      </c>
    </row>
    <row r="10" spans="1:5">
      <c r="A10" s="17" t="s">
        <v>975</v>
      </c>
      <c r="B10" s="8" t="s">
        <v>976</v>
      </c>
      <c r="C10" s="15"/>
      <c r="D10" s="15"/>
      <c r="E10" s="18" cm="1">
        <f t="array" ref="E10">INDEX(Table_Household_Alloc[Unit Entitlement],MATCH(1,(Table_Household_Alloc[Lot]=E8)*(Table_Household_Alloc[cluster]=E7),0))</f>
        <v>36</v>
      </c>
    </row>
    <row r="11" ht="15" customHeight="1" spans="1:5">
      <c r="A11" t="str" cm="1">
        <f t="array" ref="A11">INDEX(Table_Household_Alloc[Owner],MATCH(1,(Table_Household_Alloc[Lot]=E8)*(Table_Household_Alloc[cluster]=E7),0))</f>
        <v>Mead Family trust</v>
      </c>
      <c r="B11" s="19" t="s">
        <v>977</v>
      </c>
      <c r="C11" s="3"/>
      <c r="D11" s="3"/>
      <c r="E11" s="20" cm="1">
        <f t="array" ref="E11">INDEX(Table_Household_Alloc[UE % over Cluster],MATCH(1,(Table_Household_Alloc[Lot]=E8)*(Table_Household_Alloc[cluster]=E7),0))</f>
        <v>0.036</v>
      </c>
    </row>
    <row r="12" ht="15" customHeight="1" spans="1:5">
      <c r="A12" t="str" cm="1">
        <f t="array" ref="A12">INDEX(Table_Household_Alloc[Street Address],MATCH(1,(Table_Household_Alloc[Lot]=E8)*(Table_Household_Alloc[cluster]=E7),0))</f>
        <v>1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IFERROR(Invoice3[[#This Row],[Amount due ($ Inc. GST)]]/Invoice3[[#This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IFERROR(Invoice3[[#This Row],[Amount due ($ Inc. GST)]]/Invoice3[[#This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IFERROR(Invoice3[[#This Row],[Amount due ($ Inc. GST)]]/Invoice3[[#This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IFERROR(Invoice3[[#This Row],[Amount due ($ Inc. GST)]]/Invoice3[[#This Row],[Usage]],0)</f>
        <v>1.67222222222222</v>
      </c>
      <c r="C20" s="34">
        <v>1</v>
      </c>
      <c r="D20" s="34" t="s">
        <v>987</v>
      </c>
      <c r="E20" s="35" cm="1">
        <f t="array" ref="E20">_xlfn.XLOOKUP($E$8,Table1[[#All],[Lot]],Table1[[#All],[Amanda Energy Other fees ($)]],0,0,1)</f>
        <v>1.67222222222222</v>
      </c>
    </row>
    <row r="21" ht="30" customHeight="1" spans="1:5">
      <c r="A21" s="36" t="s">
        <v>859</v>
      </c>
      <c r="B21" s="33">
        <f>IFERROR(Invoice3[[#This Row],[Amount due ($ Inc. GST)]]/Invoice3[[#This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IFERROR(Invoice3[[#This Row],[Amount due ($ Inc. GST)]]/Invoice3[[#This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IFERROR(Invoice3[[#This Row],[Amount due ($ Inc. GST)]]/Invoice3[[#This Row],[Usage]],0)</f>
        <v>0</v>
      </c>
      <c r="C23" s="34">
        <f>C21</f>
        <v>90</v>
      </c>
      <c r="D23" s="34" t="s">
        <v>989</v>
      </c>
      <c r="E23" s="35" cm="1">
        <f t="array" ref="E23">_xlfn.XLOOKUP($E$8,Table1[[#All],[Lot]],Table1[[#All],[Chargefox Daily Supply Charge ($)]],0,0,1)</f>
        <v>0</v>
      </c>
    </row>
    <row r="24" ht="30" customHeight="1" spans="1:5">
      <c r="A24" s="38" t="s">
        <v>991</v>
      </c>
      <c r="B24" s="33">
        <f>IFERROR(Invoice3[[#This Row],[Amount due ($ Inc. GST)]]/Invoice3[[#This Row],[Usage]],0)</f>
        <v>0</v>
      </c>
      <c r="C24" s="34">
        <f>C21</f>
        <v>90</v>
      </c>
      <c r="D24" s="34" t="s">
        <v>989</v>
      </c>
      <c r="E24" s="35" cm="1">
        <f t="array" ref="E24">_xlfn.XLOOKUP($E$8,Table1[[#All],[Lot]],Table1[[#All],[SwitchdIn Cost Daily Supply Charge ($)]],0,0,1)</f>
        <v>0</v>
      </c>
    </row>
    <row r="25" ht="30" customHeight="1" spans="1:5">
      <c r="A25" s="39" t="s">
        <v>992</v>
      </c>
      <c r="B25" s="40">
        <f>IFERROR(Invoice3[[#This Row],[Amount due ($ Inc. GST)]]/Invoice3[[#This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IFERROR(Invoice3[[#This Row],[Amount due ($ Inc. GST)]]/Invoice3[[#This Row],[Usage]],0)</f>
        <v>0.22</v>
      </c>
      <c r="C27" s="34" cm="1">
        <f t="array" ref="C27">_xlfn.XLOOKUP($E$8,Table1[[#All],[Lot]],Table1[[#All],[Common Services based on Split per Unit Entitlement % to battery (kWh)]],0,0,1)</f>
        <v>23.688</v>
      </c>
      <c r="D27" s="34" t="s">
        <v>995</v>
      </c>
      <c r="E27" s="35" cm="1">
        <f t="array" ref="E27">_xlfn.XLOOKUP($E$8,Table1[[#All],[Lot]],Table1[[#All],[Common Services Cost Split per Unit Entitlement at P2P rate ($)]],0,0,1)</f>
        <v>5.21136</v>
      </c>
    </row>
    <row r="28" ht="30" customHeight="1" spans="1:7">
      <c r="A28" s="38" t="s">
        <v>996</v>
      </c>
      <c r="B28" s="33">
        <f>IFERROR(Invoice3[[#This Row],[Amount due ($ Inc. GST)]]/Invoice3[[#This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IFERROR(Invoice3[[#This Row],[Amount due ($ Inc. GST)]]/Invoice3[[#This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IFERROR(Invoice3[[#This Row],[Amount due ($ Inc. GST)]]/Invoice3[[#This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IFERROR(Invoice3[[#This Row],[Amount due ($ Inc. GST)]]/Invoice3[[#This Row],[Usage]],0)</f>
        <v>0</v>
      </c>
      <c r="C31" s="34" cm="1">
        <f t="array" ref="C31">_xlfn.XLOOKUP("EV",Table1[[#All],[Lot]],Table1[[#All],[Total Consumption Import  (kWh)]],0,0,1)*E11</f>
        <v>94.932</v>
      </c>
      <c r="D31" s="34" t="s">
        <v>995</v>
      </c>
      <c r="E31" s="35" cm="1">
        <f t="array" ref="E31">_xlfn.XLOOKUP($E$8,Table1[[#All],[Lot]],Table1[[#All],[EV Charger Income from Sales Equitable Distribution on UE ($)]],0,0,1)</f>
        <v>0</v>
      </c>
    </row>
    <row r="32" ht="30" customHeight="1" spans="1:5">
      <c r="A32" s="38" t="s">
        <v>1000</v>
      </c>
      <c r="B32" s="33">
        <f>IFERROR(Invoice3[[#This Row],[Amount due ($ Inc. GST)]]/Invoice3[[#This Row],[Usage]],0)</f>
        <v>0.22</v>
      </c>
      <c r="C32" s="34" cm="1">
        <f t="array" ref="C32">_xlfn.XLOOKUP("EV",Table1[[#All],[Lot]],Table1[[#All],[Total Consumption Import  (kWh)]],0,0,1)*E11</f>
        <v>94.932</v>
      </c>
      <c r="D32" s="34" t="s">
        <v>995</v>
      </c>
      <c r="E32" s="35" cm="1">
        <f t="array" ref="E32">_xlfn.XLOOKUP($E$8,Table1[[#All],[Lot]],Table1[[#All],[EV Charger Cost of Electricity Supply at P2P Rates ($)]],0,0,1)</f>
        <v>20.88504</v>
      </c>
    </row>
    <row r="33" ht="30" customHeight="1" spans="1:5">
      <c r="A33" s="38" t="s">
        <v>1001</v>
      </c>
      <c r="B33" s="33">
        <f>IFERROR(Invoice3[[#This Row],[Amount due ($ Inc. GST)]]/Invoice3[[#This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IFERROR(Invoice3[[#This Row],[Amount due ($ Inc. GST)]]/Invoice3[[#This Row],[Usage]],0)</f>
        <v>0</v>
      </c>
      <c r="C34" s="34" cm="1">
        <f t="array" ref="C34">_xlfn.XLOOKUP("EV",Table1[[#All],[Lot]],Table1[[#All],[Total Consumption Import  (kWh)]],0,0,1)*E11</f>
        <v>94.932</v>
      </c>
      <c r="D34" s="34" t="s">
        <v>995</v>
      </c>
      <c r="E34" s="35" cm="1">
        <f t="array" ref="E34">_xlfn.XLOOKUP($E$8,Table1[[#All],[Lot]],Table1[[#All],[Chargefox Commission on EV Charge Consumption Sales Cost Split by Unit Entitlement ($)]],0,0,1)</f>
        <v>0</v>
      </c>
    </row>
    <row r="35" ht="30" customHeight="1" spans="1:5">
      <c r="A35" s="39" t="s">
        <v>1003</v>
      </c>
      <c r="B35" s="48">
        <f>Invoice3[[#This Row],[Amount due ($ Inc. GST)]]/Invoice3[[#This Row],[Usage]]</f>
        <v>0.28996</v>
      </c>
      <c r="C35" s="49">
        <f>C24</f>
        <v>90</v>
      </c>
      <c r="D35" s="49" t="s">
        <v>989</v>
      </c>
      <c r="E35" s="50">
        <f>SUM(E27:E34)</f>
        <v>26.0964</v>
      </c>
    </row>
    <row r="36" ht="30" customHeight="1" spans="1:5">
      <c r="A36" s="43" t="s">
        <v>1004</v>
      </c>
      <c r="B36" s="51"/>
      <c r="C36" s="52"/>
      <c r="D36" s="52"/>
      <c r="E36" s="53"/>
    </row>
    <row r="37" ht="30" customHeight="1" spans="1:5">
      <c r="A37" s="38" t="s">
        <v>1005</v>
      </c>
      <c r="B37" s="33">
        <f>IFERROR(Invoice3[[#This Row],[Amount due ($ Inc. GST)]]/Invoice3[[#This Row],[Usage]],0)</f>
        <v>0.36</v>
      </c>
      <c r="C37" s="34" cm="1">
        <f t="array" ref="C37">_xlfn.XLOOKUP($E$8,Table1[[#All],[Lot]],Table1[[#All],[Total P2P import (kWh)]],0,0,1)</f>
        <v>26</v>
      </c>
      <c r="D37" s="34" t="s">
        <v>995</v>
      </c>
      <c r="E37" s="35" cm="1">
        <f t="array" ref="E37">_xlfn.XLOOKUP($E$8,Table1[[#All],[Lot]],Table1[[#All],[P2P Import Cost ($)]],0,0,1)</f>
        <v>9.36</v>
      </c>
    </row>
    <row r="38" ht="30" customHeight="1" spans="1:5">
      <c r="A38" s="38" t="s">
        <v>1006</v>
      </c>
      <c r="B38" s="33">
        <f>IFERROR(Invoice3[[#This Row],[Amount due ($ Inc. GST)]]/Invoice3[[#This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IFERROR(Invoice3[[#This Row],[Amount due ($ Inc. GST)]]/Invoice3[[#This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Invoice3[[#This Row],[Amount due ($ Inc. GST)]]/Invoice3[[#This Row],[Usage]]</f>
        <v>0.104</v>
      </c>
      <c r="C40" s="49">
        <f>C35</f>
        <v>90</v>
      </c>
      <c r="D40" s="49" t="s">
        <v>989</v>
      </c>
      <c r="E40" s="50">
        <f>SUM(E37:E39)</f>
        <v>9.36</v>
      </c>
    </row>
    <row r="41" ht="30" customHeight="1" spans="1:5">
      <c r="A41" s="43" t="s">
        <v>1009</v>
      </c>
      <c r="B41" s="33"/>
      <c r="C41" s="34"/>
      <c r="D41" s="34"/>
      <c r="E41" s="46"/>
    </row>
    <row r="42" ht="30" customHeight="1" spans="1:5">
      <c r="A42" s="54" t="s">
        <v>1010</v>
      </c>
      <c r="B42" s="33">
        <f>IFERROR(Invoice3[[#This Row],[Amount due ($ Inc. GST)]]/Invoice3[[#This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IFERROR(Invoice3[[#This Row],[Amount due ($ Inc. GST)]]/Invoice3[[#This Row],[Usage]],0)</f>
        <v>-0.02</v>
      </c>
      <c r="C43" s="34" cm="1">
        <f t="array" ref="C43">_xlfn.XLOOKUP($E$8,Table1[[#All],[Lot]],Table1[[#All],[Borrowed Allowance Based on Unused Daily Allowance % (kWh)]],0,0,1)</f>
        <v>51.7527134696473</v>
      </c>
      <c r="D43" s="34" t="s">
        <v>995</v>
      </c>
      <c r="E43" s="35" cm="1">
        <f t="array" ref="E43">_xlfn.XLOOKUP($E$8,Table1[[#All],[Lot]],Table1[[#All],[Passive Compensation ($)]],0,0,1)</f>
        <v>-1.03505426939295</v>
      </c>
    </row>
    <row r="44" ht="30" customHeight="1" spans="1:5">
      <c r="A44" s="32" t="s">
        <v>1012</v>
      </c>
      <c r="B44" s="33">
        <f>IFERROR(Invoice3[[#This Row],[Amount due ($ Inc. GST)]]/Invoice3[[#This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IFERROR(Invoice3[[#This Row],[Amount due ($ Inc. GST)]]/Invoice3[[#This Row],[Usage]],0)</f>
        <v>0</v>
      </c>
      <c r="C45" s="49">
        <f>C40</f>
        <v>90</v>
      </c>
      <c r="D45" s="49" t="s">
        <v>989</v>
      </c>
      <c r="E45" s="50" t="e">
        <f>SUBTOTAL(109,E42:E44)</f>
        <v>#N/A</v>
      </c>
    </row>
    <row r="46" ht="30" customHeight="1" spans="1:5">
      <c r="A46" s="55" t="s">
        <v>1014</v>
      </c>
      <c r="B46" s="56">
        <f>IFERROR(Invoice3[[#This Row],[Amount due ($ Inc. GST)]]/Invoice3[[#This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Mead 1A1/0325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54"/>
  <sheetViews>
    <sheetView showGridLines="0" zoomScale="90" zoomScaleNormal="90" zoomScalePageLayoutView="75" zoomScaleSheetLayoutView="50" topLeftCell="A39" workbookViewId="0">
      <selection activeCell="D45" sqref="D45"/>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1A2/0325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2</v>
      </c>
    </row>
    <row r="9" ht="18" customHeight="1" spans="1:5">
      <c r="A9" s="14"/>
      <c r="B9" s="8" t="s">
        <v>974</v>
      </c>
      <c r="C9" s="15"/>
      <c r="D9" s="15"/>
      <c r="E9" s="16">
        <f>VLOOKUP(E8,'Energy billing Mastersheet'!5:38,MATCH('Energy billing Mastersheet'!C4,'Energy billing Mastersheet'!4:4,0),FALSE)</f>
        <v>50002862</v>
      </c>
    </row>
    <row r="10" spans="1:5">
      <c r="A10" s="17" t="s">
        <v>975</v>
      </c>
      <c r="B10" s="8" t="s">
        <v>976</v>
      </c>
      <c r="C10" s="15"/>
      <c r="D10" s="15"/>
      <c r="E10" s="18" cm="1">
        <f t="array" ref="E10">INDEX(Table_Household_Alloc[Unit Entitlement],MATCH(1,(Table_Household_Alloc[Lot]=E8)*(Table_Household_Alloc[cluster]=E7),0))</f>
        <v>36</v>
      </c>
    </row>
    <row r="11" ht="15" customHeight="1" spans="1:5">
      <c r="A11" t="str" cm="1">
        <f t="array" ref="A11">INDEX(Table_Household_Alloc[Owner],MATCH(1,(Table_Household_Alloc[Lot]=E8)*(Table_Household_Alloc[cluster]=E7),0))</f>
        <v>Margareta Roeck</v>
      </c>
      <c r="B11" s="19" t="s">
        <v>977</v>
      </c>
      <c r="C11" s="3"/>
      <c r="D11" s="3"/>
      <c r="E11" s="20" cm="1">
        <f t="array" ref="E11">INDEX(Table_Household_Alloc[UE % over Cluster],MATCH(1,(Table_Household_Alloc[Lot]=E8)*(Table_Household_Alloc[cluster]=E7),0))</f>
        <v>0.036</v>
      </c>
    </row>
    <row r="12" ht="15" customHeight="1" spans="1:5">
      <c r="A12" t="str" cm="1">
        <f t="array" ref="A12">INDEX(Table_Household_Alloc[Street Address],MATCH(1,(Table_Household_Alloc[Lot]=E8)*(Table_Household_Alloc[cluster]=E7),0))</f>
        <v>3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IFERROR(Invoice34[[#This Row],[Amount due ($ Inc. GST)]]/Invoice34[[#This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IFERROR(Invoice34[[#This Row],[Amount due ($ Inc. GST)]]/Invoice34[[#This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IFERROR(Invoice34[[#This Row],[Amount due ($ Inc. GST)]]/Invoice34[[#This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IFERROR(Invoice34[[#This Row],[Amount due ($ Inc. GST)]]/Invoice34[[#This Row],[Usage]],0)</f>
        <v>1.67222222222222</v>
      </c>
      <c r="C20" s="34">
        <v>1</v>
      </c>
      <c r="D20" s="34" t="s">
        <v>987</v>
      </c>
      <c r="E20" s="35" cm="1">
        <f t="array" ref="E20">_xlfn.XLOOKUP($E$8,Table1[[#All],[Lot]],Table1[[#All],[Amanda Energy Other fees ($)]],0,0,1)</f>
        <v>1.67222222222222</v>
      </c>
    </row>
    <row r="21" ht="30" customHeight="1" spans="1:5">
      <c r="A21" s="36" t="s">
        <v>859</v>
      </c>
      <c r="B21" s="33">
        <f>IFERROR(Invoice34[[#This Row],[Amount due ($ Inc. GST)]]/Invoice34[[#This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IFERROR(Invoice34[[#This Row],[Amount due ($ Inc. GST)]]/Invoice34[[#This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IFERROR(Invoice34[[#This Row],[Amount due ($ Inc. GST)]]/Invoice34[[#This Row],[Usage]],0)</f>
        <v>0</v>
      </c>
      <c r="C23" s="34">
        <f>C21</f>
        <v>90</v>
      </c>
      <c r="D23" s="34" t="s">
        <v>989</v>
      </c>
      <c r="E23" s="35" cm="1">
        <f t="array" ref="E23">_xlfn.XLOOKUP($E$8,Table1[[#All],[Lot]],Table1[[#All],[Chargefox Daily Supply Charge ($)]],0,0,1)</f>
        <v>0</v>
      </c>
    </row>
    <row r="24" ht="30" customHeight="1" spans="1:5">
      <c r="A24" s="38" t="s">
        <v>991</v>
      </c>
      <c r="B24" s="33">
        <f>IFERROR(Invoice34[[#This Row],[Amount due ($ Inc. GST)]]/Invoice34[[#This Row],[Usage]],0)</f>
        <v>0</v>
      </c>
      <c r="C24" s="34">
        <f>C21</f>
        <v>90</v>
      </c>
      <c r="D24" s="34" t="s">
        <v>989</v>
      </c>
      <c r="E24" s="35" cm="1">
        <f t="array" ref="E24">_xlfn.XLOOKUP($E$8,Table1[[#All],[Lot]],Table1[[#All],[SwitchdIn Cost Daily Supply Charge ($)]],0,0,1)</f>
        <v>0</v>
      </c>
    </row>
    <row r="25" ht="30" customHeight="1" spans="1:5">
      <c r="A25" s="39" t="s">
        <v>992</v>
      </c>
      <c r="B25" s="40">
        <f>IFERROR(Invoice34[[#This Row],[Amount due ($ Inc. GST)]]/Invoice34[[#This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IFERROR(Invoice34[[#This Row],[Amount due ($ Inc. GST)]]/Invoice34[[#This Row],[Usage]],0)</f>
        <v>0.22</v>
      </c>
      <c r="C27" s="34" cm="1">
        <f t="array" ref="C27">_xlfn.XLOOKUP($E$8,Table1[[#All],[Lot]],Table1[[#All],[Common Services based on Split per Unit Entitlement % to battery (kWh)]],0,0,1)</f>
        <v>23.688</v>
      </c>
      <c r="D27" s="34" t="s">
        <v>995</v>
      </c>
      <c r="E27" s="35" cm="1">
        <f t="array" ref="E27">_xlfn.XLOOKUP($E$8,Table1[[#All],[Lot]],Table1[[#All],[Common Services Cost Split per Unit Entitlement at P2P rate ($)]],0,0,1)</f>
        <v>5.21136</v>
      </c>
    </row>
    <row r="28" ht="30" customHeight="1" spans="1:7">
      <c r="A28" s="38" t="s">
        <v>996</v>
      </c>
      <c r="B28" s="33">
        <f>IFERROR(Invoice34[[#This Row],[Amount due ($ Inc. GST)]]/Invoice34[[#This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IFERROR(Invoice34[[#This Row],[Amount due ($ Inc. GST)]]/Invoice34[[#This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IFERROR(Invoice34[[#This Row],[Amount due ($ Inc. GST)]]/Invoice34[[#This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IFERROR(Invoice34[[#This Row],[Amount due ($ Inc. GST)]]/Invoice34[[#This Row],[Usage]],0)</f>
        <v>0</v>
      </c>
      <c r="C31" s="34" cm="1">
        <f t="array" ref="C31">_xlfn.XLOOKUP("EV",Table1[[#All],[Lot]],Table1[[#All],[Total Consumption Import  (kWh)]],0,0,1)*E11</f>
        <v>94.932</v>
      </c>
      <c r="D31" s="34" t="s">
        <v>995</v>
      </c>
      <c r="E31" s="35" cm="1">
        <f t="array" ref="E31">_xlfn.XLOOKUP($E$8,Table1[[#All],[Lot]],Table1[[#All],[EV Charger Income from Sales Equitable Distribution on UE ($)]],0,0,1)</f>
        <v>0</v>
      </c>
    </row>
    <row r="32" ht="30" customHeight="1" spans="1:5">
      <c r="A32" s="38" t="s">
        <v>1000</v>
      </c>
      <c r="B32" s="33">
        <f>IFERROR(Invoice34[[#This Row],[Amount due ($ Inc. GST)]]/Invoice34[[#This Row],[Usage]],0)</f>
        <v>0.22</v>
      </c>
      <c r="C32" s="34" cm="1">
        <f t="array" ref="C32">_xlfn.XLOOKUP("EV",Table1[[#All],[Lot]],Table1[[#All],[Total Consumption Import  (kWh)]],0,0,1)*E11</f>
        <v>94.932</v>
      </c>
      <c r="D32" s="34" t="s">
        <v>995</v>
      </c>
      <c r="E32" s="35" cm="1">
        <f t="array" ref="E32">_xlfn.XLOOKUP($E$8,Table1[[#All],[Lot]],Table1[[#All],[EV Charger Cost of Electricity Supply at P2P Rates ($)]],0,0,1)</f>
        <v>20.88504</v>
      </c>
    </row>
    <row r="33" ht="30" customHeight="1" spans="1:5">
      <c r="A33" s="38" t="s">
        <v>1001</v>
      </c>
      <c r="B33" s="33">
        <f>IFERROR(Invoice34[[#This Row],[Amount due ($ Inc. GST)]]/Invoice34[[#This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IFERROR(Invoice34[[#This Row],[Amount due ($ Inc. GST)]]/Invoice34[[#This Row],[Usage]],0)</f>
        <v>0</v>
      </c>
      <c r="C34" s="34" cm="1">
        <f t="array" ref="C34">_xlfn.XLOOKUP("EV",Table1[[#All],[Lot]],Table1[[#All],[Total Consumption Import  (kWh)]],0,0,1)*E11</f>
        <v>94.932</v>
      </c>
      <c r="D34" s="34" t="s">
        <v>995</v>
      </c>
      <c r="E34" s="35" cm="1">
        <f t="array" ref="E34">_xlfn.XLOOKUP($E$8,Table1[[#All],[Lot]],Table1[[#All],[Chargefox Commission on EV Charge Consumption Sales Cost Split by Unit Entitlement ($)]],0,0,1)</f>
        <v>0</v>
      </c>
    </row>
    <row r="35" ht="30" customHeight="1" spans="1:5">
      <c r="A35" s="39" t="s">
        <v>1003</v>
      </c>
      <c r="B35" s="48">
        <f>Invoice34[[#This Row],[Amount due ($ Inc. GST)]]/Invoice34[[#This Row],[Usage]]</f>
        <v>0.28996</v>
      </c>
      <c r="C35" s="49">
        <f>C24</f>
        <v>90</v>
      </c>
      <c r="D35" s="49" t="s">
        <v>989</v>
      </c>
      <c r="E35" s="50">
        <f>SUM(E27:E34)</f>
        <v>26.0964</v>
      </c>
    </row>
    <row r="36" ht="30" customHeight="1" spans="1:5">
      <c r="A36" s="43" t="s">
        <v>1004</v>
      </c>
      <c r="B36" s="51"/>
      <c r="C36" s="52"/>
      <c r="D36" s="52"/>
      <c r="E36" s="53"/>
    </row>
    <row r="37" ht="30" customHeight="1" spans="1:5">
      <c r="A37" s="38" t="s">
        <v>1005</v>
      </c>
      <c r="B37" s="33">
        <f>IFERROR(Invoice34[[#This Row],[Amount due ($ Inc. GST)]]/Invoice34[[#This Row],[Usage]],0)</f>
        <v>0.36</v>
      </c>
      <c r="C37" s="34" cm="1">
        <f t="array" ref="C37">_xlfn.XLOOKUP($E$8,Table1[[#All],[Lot]],Table1[[#All],[Total P2P import (kWh)]],0,0,1)</f>
        <v>90</v>
      </c>
      <c r="D37" s="34" t="s">
        <v>995</v>
      </c>
      <c r="E37" s="35" cm="1">
        <f t="array" ref="E37">_xlfn.XLOOKUP($E$8,Table1[[#All],[Lot]],Table1[[#All],[P2P Import Cost ($)]],0,0,1)</f>
        <v>32.4</v>
      </c>
    </row>
    <row r="38" ht="30" customHeight="1" spans="1:5">
      <c r="A38" s="38" t="s">
        <v>1006</v>
      </c>
      <c r="B38" s="33">
        <f>IFERROR(Invoice34[[#This Row],[Amount due ($ Inc. GST)]]/Invoice34[[#This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IFERROR(Invoice34[[#This Row],[Amount due ($ Inc. GST)]]/Invoice34[[#This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Invoice34[[#This Row],[Amount due ($ Inc. GST)]]/Invoice34[[#This Row],[Usage]]</f>
        <v>0.36</v>
      </c>
      <c r="C40" s="49">
        <f>C35</f>
        <v>90</v>
      </c>
      <c r="D40" s="49" t="s">
        <v>989</v>
      </c>
      <c r="E40" s="50">
        <f>SUM(E37:E39)</f>
        <v>32.4</v>
      </c>
    </row>
    <row r="41" ht="30" customHeight="1" spans="1:5">
      <c r="A41" s="43" t="s">
        <v>1009</v>
      </c>
      <c r="B41" s="33"/>
      <c r="C41" s="34"/>
      <c r="D41" s="34"/>
      <c r="E41" s="46"/>
    </row>
    <row r="42" ht="30" customHeight="1" spans="1:5">
      <c r="A42" s="54" t="s">
        <v>1010</v>
      </c>
      <c r="B42" s="33">
        <f>IFERROR(Invoice34[[#This Row],[Amount due ($ Inc. GST)]]/Invoice34[[#This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IFERROR(Invoice34[[#This Row],[Amount due ($ Inc. GST)]]/Invoice34[[#This Row],[Usage]],0)</f>
        <v>-0.02</v>
      </c>
      <c r="C43" s="34" cm="1">
        <f t="array" ref="C43">_xlfn.XLOOKUP($E$8,Table1[[#All],[Lot]],Table1[[#All],[Borrowed Allowance Based on Unused Daily Allowance % (kWh)]],0,0,1)</f>
        <v>47.2087667236979</v>
      </c>
      <c r="D43" s="34" t="s">
        <v>995</v>
      </c>
      <c r="E43" s="35" cm="1">
        <f t="array" ref="E43">_xlfn.XLOOKUP($E$8,Table1[[#All],[Lot]],Table1[[#All],[Passive Compensation ($)]],0,0,1)</f>
        <v>-0.944175334473958</v>
      </c>
    </row>
    <row r="44" ht="30" customHeight="1" spans="1:5">
      <c r="A44" s="32" t="s">
        <v>1012</v>
      </c>
      <c r="B44" s="33">
        <f>IFERROR(Invoice34[[#This Row],[Amount due ($ Inc. GST)]]/Invoice34[[#This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IFERROR(Invoice34[[#This Row],[Amount due ($ Inc. GST)]]/Invoice34[[#This Row],[Usage]],0)</f>
        <v>0</v>
      </c>
      <c r="C45" s="49">
        <f>C40</f>
        <v>90</v>
      </c>
      <c r="D45" s="49" t="s">
        <v>989</v>
      </c>
      <c r="E45" s="50" t="e">
        <f>SUBTOTAL(109,E42:E44)</f>
        <v>#N/A</v>
      </c>
    </row>
    <row r="46" ht="30" customHeight="1" spans="1:5">
      <c r="A46" s="55" t="s">
        <v>1014</v>
      </c>
      <c r="B46" s="56">
        <f>IFERROR(Invoice34[[#This Row],[Amount due ($ Inc. GST)]]/Invoice34[[#This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Roeck 1A2/0325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1A3/0325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3</v>
      </c>
    </row>
    <row r="9" ht="18" customHeight="1" spans="1:5">
      <c r="A9" s="14"/>
      <c r="B9" s="8" t="s">
        <v>974</v>
      </c>
      <c r="C9" s="15"/>
      <c r="D9" s="15"/>
      <c r="E9" s="16">
        <f>VLOOKUP(E8,'Energy billing Mastersheet'!5:38,MATCH('Energy billing Mastersheet'!C4,'Energy billing Mastersheet'!4:4,0),FALSE)</f>
        <v>50002872</v>
      </c>
    </row>
    <row r="10" spans="1:5">
      <c r="A10" s="17" t="s">
        <v>975</v>
      </c>
      <c r="B10" s="8" t="s">
        <v>976</v>
      </c>
      <c r="C10" s="15"/>
      <c r="D10" s="15"/>
      <c r="E10" s="18" cm="1">
        <f t="array" ref="E10">INDEX(Table_Household_Alloc[Unit Entitlement],MATCH(1,(Table_Household_Alloc[Lot]=E8)*(Table_Household_Alloc[cluster]=E7),0))</f>
        <v>37</v>
      </c>
    </row>
    <row r="11" ht="15" customHeight="1" spans="1:5">
      <c r="A11" t="str" cm="1">
        <f t="array" ref="A11">INDEX(Table_Household_Alloc[Owner],MATCH(1,(Table_Household_Alloc[Lot]=E8)*(Table_Household_Alloc[cluster]=E7),0))</f>
        <v>Alexander Hughes</v>
      </c>
      <c r="B11" s="19" t="s">
        <v>977</v>
      </c>
      <c r="C11" s="3"/>
      <c r="D11" s="3"/>
      <c r="E11" s="20" cm="1">
        <f t="array" ref="E11">INDEX(Table_Household_Alloc[UE % over Cluster],MATCH(1,(Table_Household_Alloc[Lot]=E8)*(Table_Household_Alloc[cluster]=E7),0))</f>
        <v>0.037</v>
      </c>
    </row>
    <row r="12" ht="15" customHeight="1" spans="1:5">
      <c r="A12" t="str" cm="1">
        <f t="array" ref="A12">INDEX(Table_Household_Alloc[Street Address],MATCH(1,(Table_Household_Alloc[Lot]=E8)*(Table_Household_Alloc[cluster]=E7),0))</f>
        <v>5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IFERROR(Invoice36[[#This Row],[Amount due ($ Inc. GST)]]/Invoice36[[#This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IFERROR(Invoice36[[#This Row],[Amount due ($ Inc. GST)]]/Invoice36[[#This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IFERROR(Invoice36[[#This Row],[Amount due ($ Inc. GST)]]/Invoice36[[#This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IFERROR(Invoice36[[#This Row],[Amount due ($ Inc. GST)]]/Invoice36[[#This Row],[Usage]],0)</f>
        <v>1.67222222222222</v>
      </c>
      <c r="C20" s="34">
        <v>1</v>
      </c>
      <c r="D20" s="34" t="s">
        <v>987</v>
      </c>
      <c r="E20" s="35" cm="1">
        <f t="array" ref="E20">_xlfn.XLOOKUP($E$8,Table1[[#All],[Lot]],Table1[[#All],[Amanda Energy Other fees ($)]],0,0,1)</f>
        <v>1.67222222222222</v>
      </c>
    </row>
    <row r="21" ht="30" customHeight="1" spans="1:5">
      <c r="A21" s="36" t="s">
        <v>859</v>
      </c>
      <c r="B21" s="33">
        <f>IFERROR(Invoice36[[#This Row],[Amount due ($ Inc. GST)]]/Invoice36[[#This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IFERROR(Invoice36[[#This Row],[Amount due ($ Inc. GST)]]/Invoice36[[#This Row],[Usage]],0)</f>
        <v>1.1</v>
      </c>
      <c r="C22" s="34">
        <v>1</v>
      </c>
      <c r="D22" s="34" t="s">
        <v>987</v>
      </c>
      <c r="E22" s="35" cm="1">
        <f t="array" ref="E22">_xlfn.XLOOKUP($E$8,Table1[[#All],[Lot]],Table1[[#All],[Element47 Embedded Network Invoicing Fees]],0,0,1)</f>
        <v>1.1</v>
      </c>
      <c r="G22" s="37"/>
    </row>
    <row r="23" ht="30" customHeight="1" spans="1:5">
      <c r="A23" s="38" t="s">
        <v>990</v>
      </c>
      <c r="B23" s="33">
        <f>IFERROR(Invoice36[[#This Row],[Amount due ($ Inc. GST)]]/Invoice36[[#This Row],[Usage]],0)</f>
        <v>0</v>
      </c>
      <c r="C23" s="34">
        <f>C21</f>
        <v>90</v>
      </c>
      <c r="D23" s="34" t="s">
        <v>989</v>
      </c>
      <c r="E23" s="35" cm="1">
        <f t="array" ref="E23">_xlfn.XLOOKUP($E$8,Table1[[#All],[Lot]],Table1[[#All],[Chargefox Daily Supply Charge ($)]],0,0,1)</f>
        <v>0</v>
      </c>
    </row>
    <row r="24" ht="30" customHeight="1" spans="1:5">
      <c r="A24" s="38" t="s">
        <v>991</v>
      </c>
      <c r="B24" s="33">
        <f>IFERROR(Invoice36[[#This Row],[Amount due ($ Inc. GST)]]/Invoice36[[#This Row],[Usage]],0)</f>
        <v>0</v>
      </c>
      <c r="C24" s="34">
        <f>C21</f>
        <v>90</v>
      </c>
      <c r="D24" s="34" t="s">
        <v>989</v>
      </c>
      <c r="E24" s="35" cm="1">
        <f t="array" ref="E24">_xlfn.XLOOKUP($E$8,Table1[[#All],[Lot]],Table1[[#All],[SwitchdIn Cost Daily Supply Charge ($)]],0,0,1)</f>
        <v>0</v>
      </c>
    </row>
    <row r="25" ht="30" customHeight="1" spans="1:5">
      <c r="A25" s="39" t="s">
        <v>992</v>
      </c>
      <c r="B25" s="40">
        <f>IFERROR(Invoice36[[#This Row],[Amount due ($ Inc. GST)]]/Invoice36[[#This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IFERROR(Invoice36[[#This Row],[Amount due ($ Inc. GST)]]/Invoice36[[#This Row],[Usage]],0)</f>
        <v>0.22</v>
      </c>
      <c r="C27" s="34" cm="1">
        <f t="array" ref="C27">_xlfn.XLOOKUP($E$8,Table1[[#All],[Lot]],Table1[[#All],[Common Services based on Split per Unit Entitlement % to battery (kWh)]],0,0,1)</f>
        <v>24.346</v>
      </c>
      <c r="D27" s="34" t="s">
        <v>995</v>
      </c>
      <c r="E27" s="35" cm="1">
        <f t="array" ref="E27">_xlfn.XLOOKUP($E$8,Table1[[#All],[Lot]],Table1[[#All],[Common Services Cost Split per Unit Entitlement at P2P rate ($)]],0,0,1)</f>
        <v>5.35612</v>
      </c>
    </row>
    <row r="28" ht="30" customHeight="1" spans="1:7">
      <c r="A28" s="38" t="s">
        <v>996</v>
      </c>
      <c r="B28" s="33">
        <f>IFERROR(Invoice36[[#This Row],[Amount due ($ Inc. GST)]]/Invoice36[[#This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IFERROR(Invoice36[[#This Row],[Amount due ($ Inc. GST)]]/Invoice36[[#This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IFERROR(Invoice36[[#This Row],[Amount due ($ Inc. GST)]]/Invoice36[[#This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IFERROR(Invoice36[[#This Row],[Amount due ($ Inc. GST)]]/Invoice36[[#This Row],[Usage]],0)</f>
        <v>0</v>
      </c>
      <c r="C31" s="34" cm="1">
        <f t="array" ref="C31">_xlfn.XLOOKUP("EV",Table1[[#All],[Lot]],Table1[[#All],[Total Consumption Import  (kWh)]],0,0,1)*E11</f>
        <v>97.569</v>
      </c>
      <c r="D31" s="34" t="s">
        <v>995</v>
      </c>
      <c r="E31" s="35" cm="1">
        <f t="array" ref="E31">_xlfn.XLOOKUP($E$8,Table1[[#All],[Lot]],Table1[[#All],[EV Charger Income from Sales Equitable Distribution on UE ($)]],0,0,1)</f>
        <v>0</v>
      </c>
    </row>
    <row r="32" ht="30" customHeight="1" spans="1:5">
      <c r="A32" s="38" t="s">
        <v>1000</v>
      </c>
      <c r="B32" s="33">
        <f>IFERROR(Invoice36[[#This Row],[Amount due ($ Inc. GST)]]/Invoice36[[#This Row],[Usage]],0)</f>
        <v>0.22</v>
      </c>
      <c r="C32" s="34" cm="1">
        <f t="array" ref="C32">_xlfn.XLOOKUP("EV",Table1[[#All],[Lot]],Table1[[#All],[Total Consumption Import  (kWh)]],0,0,1)*E11</f>
        <v>97.569</v>
      </c>
      <c r="D32" s="34" t="s">
        <v>995</v>
      </c>
      <c r="E32" s="35" cm="1">
        <f t="array" ref="E32">_xlfn.XLOOKUP($E$8,Table1[[#All],[Lot]],Table1[[#All],[EV Charger Cost of Electricity Supply at P2P Rates ($)]],0,0,1)</f>
        <v>21.46518</v>
      </c>
    </row>
    <row r="33" ht="30" customHeight="1" spans="1:5">
      <c r="A33" s="38" t="s">
        <v>1001</v>
      </c>
      <c r="B33" s="33">
        <f>IFERROR(Invoice36[[#This Row],[Amount due ($ Inc. GST)]]/Invoice36[[#This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IFERROR(Invoice36[[#This Row],[Amount due ($ Inc. GST)]]/Invoice36[[#This Row],[Usage]],0)</f>
        <v>0</v>
      </c>
      <c r="C34" s="34" cm="1">
        <f t="array" ref="C34">_xlfn.XLOOKUP("EV",Table1[[#All],[Lot]],Table1[[#All],[Total Consumption Import  (kWh)]],0,0,1)*E11</f>
        <v>97.569</v>
      </c>
      <c r="D34" s="34" t="s">
        <v>995</v>
      </c>
      <c r="E34" s="35" cm="1">
        <f t="array" ref="E34">_xlfn.XLOOKUP($E$8,Table1[[#All],[Lot]],Table1[[#All],[Chargefox Commission on EV Charge Consumption Sales Cost Split by Unit Entitlement ($)]],0,0,1)</f>
        <v>0</v>
      </c>
    </row>
    <row r="35" ht="30" customHeight="1" spans="1:5">
      <c r="A35" s="39" t="s">
        <v>1003</v>
      </c>
      <c r="B35" s="48">
        <f>Invoice36[[#This Row],[Amount due ($ Inc. GST)]]/Invoice36[[#This Row],[Usage]]</f>
        <v>0.298014444444444</v>
      </c>
      <c r="C35" s="49">
        <f>C24</f>
        <v>90</v>
      </c>
      <c r="D35" s="49" t="s">
        <v>989</v>
      </c>
      <c r="E35" s="50">
        <f>SUM(E27:E34)</f>
        <v>26.8213</v>
      </c>
    </row>
    <row r="36" ht="30" customHeight="1" spans="1:5">
      <c r="A36" s="43" t="s">
        <v>1004</v>
      </c>
      <c r="B36" s="51"/>
      <c r="C36" s="52"/>
      <c r="D36" s="52"/>
      <c r="E36" s="53"/>
    </row>
    <row r="37" ht="30" customHeight="1" spans="1:5">
      <c r="A37" s="38" t="s">
        <v>1005</v>
      </c>
      <c r="B37" s="33">
        <f>IFERROR(Invoice36[[#This Row],[Amount due ($ Inc. GST)]]/Invoice36[[#This Row],[Usage]],0)</f>
        <v>0.36</v>
      </c>
      <c r="C37" s="34" cm="1">
        <f t="array" ref="C37">_xlfn.XLOOKUP($E$8,Table1[[#All],[Lot]],Table1[[#All],[Total P2P import (kWh)]],0,0,1)</f>
        <v>861.261885886799</v>
      </c>
      <c r="D37" s="34" t="s">
        <v>995</v>
      </c>
      <c r="E37" s="35" cm="1">
        <f t="array" ref="E37">_xlfn.XLOOKUP($E$8,Table1[[#All],[Lot]],Table1[[#All],[P2P Import Cost ($)]],0,0,1)</f>
        <v>310.054278919248</v>
      </c>
    </row>
    <row r="38" ht="30" customHeight="1" spans="1:5">
      <c r="A38" s="38" t="s">
        <v>1006</v>
      </c>
      <c r="B38" s="33">
        <f>IFERROR(Invoice36[[#This Row],[Amount due ($ Inc. GST)]]/Invoice36[[#This Row],[Usage]],0)</f>
        <v>0.02</v>
      </c>
      <c r="C38" s="34" cm="1">
        <f t="array" ref="C38">_xlfn.XLOOKUP($E$8,Table1[[#All],[Lot]],Table1[[#All],[P2P Import Consumption over Battery Allowance based on Energy Exceeding Allowance % (kWh)]],0,0,1)</f>
        <v>85.371885886799</v>
      </c>
      <c r="D38" s="34" t="s">
        <v>995</v>
      </c>
      <c r="E38" s="35" cm="1">
        <f t="array" ref="E38">_xlfn.XLOOKUP($E$8,Table1[[#All],[Lot]],Table1[[#All],[Exceeding Battery Allowance P2P Fee ($)]],0,0,1)</f>
        <v>1.70743771773598</v>
      </c>
    </row>
    <row r="39" ht="30" customHeight="1" spans="1:5">
      <c r="A39" s="38" t="s">
        <v>1007</v>
      </c>
      <c r="B39" s="33">
        <f>IFERROR(Invoice36[[#This Row],[Amount due ($ Inc. GST)]]/Invoice36[[#This Row],[Usage]],0)</f>
        <v>0.3</v>
      </c>
      <c r="C39" s="34" cm="1">
        <f t="array" ref="C39">_xlfn.XLOOKUP($E$8,Table1[[#All],[Lot]],Table1[[#All],[Energy Import from Grid (kWh)]],0,0,1)</f>
        <v>8.73811411320094</v>
      </c>
      <c r="D39" s="34" t="s">
        <v>995</v>
      </c>
      <c r="E39" s="35" cm="1">
        <f t="array" ref="E39">_xlfn.XLOOKUP($E$8,Table1[[#All],[Lot]],Table1[[#All],[Import From Grid Cost ($)]],0,0,1)</f>
        <v>2.62143423396028</v>
      </c>
    </row>
    <row r="40" ht="30" customHeight="1" spans="1:5">
      <c r="A40" s="39" t="s">
        <v>1008</v>
      </c>
      <c r="B40" s="48">
        <f>Invoice36[[#This Row],[Amount due ($ Inc. GST)]]/Invoice36[[#This Row],[Usage]]</f>
        <v>3.49314612078827</v>
      </c>
      <c r="C40" s="49">
        <f>C35</f>
        <v>90</v>
      </c>
      <c r="D40" s="49" t="s">
        <v>989</v>
      </c>
      <c r="E40" s="50">
        <f>SUM(E37:E39)</f>
        <v>314.383150870944</v>
      </c>
    </row>
    <row r="41" ht="30" customHeight="1" spans="1:5">
      <c r="A41" s="43" t="s">
        <v>1009</v>
      </c>
      <c r="B41" s="33"/>
      <c r="C41" s="34"/>
      <c r="D41" s="34"/>
      <c r="E41" s="46"/>
    </row>
    <row r="42" ht="30" customHeight="1" spans="1:5">
      <c r="A42" s="54" t="s">
        <v>1010</v>
      </c>
      <c r="B42" s="33">
        <f>IFERROR(Invoice36[[#This Row],[Amount due ($ Inc. GST)]]/Invoice36[[#This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IFERROR(Invoice36[[#This Row],[Amount due ($ Inc. GST)]]/Invoice36[[#This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IFERROR(Invoice36[[#This Row],[Amount due ($ Inc. GST)]]/Invoice36[[#This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IFERROR(Invoice36[[#This Row],[Amount due ($ Inc. GST)]]/Invoice36[[#This Row],[Usage]],0)</f>
        <v>0</v>
      </c>
      <c r="C45" s="49">
        <f>C40</f>
        <v>90</v>
      </c>
      <c r="D45" s="49" t="s">
        <v>989</v>
      </c>
      <c r="E45" s="50" t="e">
        <f>SUBTOTAL(109,E42:E44)</f>
        <v>#N/A</v>
      </c>
    </row>
    <row r="46" ht="30" customHeight="1" spans="1:5">
      <c r="A46" s="55" t="s">
        <v>1014</v>
      </c>
      <c r="B46" s="56">
        <f>IFERROR(Invoice36[[#This Row],[Amount due ($ Inc. GST)]]/Invoice36[[#This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Hughes 1A3/0325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1A4/0325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4</v>
      </c>
    </row>
    <row r="9" ht="18" customHeight="1" spans="1:5">
      <c r="A9" s="14"/>
      <c r="B9" s="8" t="s">
        <v>974</v>
      </c>
      <c r="C9" s="15"/>
      <c r="D9" s="15"/>
      <c r="E9" s="16">
        <f>VLOOKUP(E8,'Energy billing Mastersheet'!5:38,MATCH('Energy billing Mastersheet'!C4,'Energy billing Mastersheet'!4:4,0),FALSE)</f>
        <v>50002869</v>
      </c>
    </row>
    <row r="10" spans="1:5">
      <c r="A10" s="17" t="s">
        <v>975</v>
      </c>
      <c r="B10" s="8" t="s">
        <v>976</v>
      </c>
      <c r="C10" s="15"/>
      <c r="D10" s="15"/>
      <c r="E10" s="18" cm="1">
        <f t="array" ref="E10">INDEX(Table_Household_Alloc[Unit Entitlement],MATCH(1,(Table_Household_Alloc[Lot]=E8)*(Table_Household_Alloc[cluster]=E7),0))</f>
        <v>38</v>
      </c>
    </row>
    <row r="11" ht="15" customHeight="1" spans="1:5">
      <c r="A11" t="str" cm="1">
        <f t="array" ref="A11">INDEX(Table_Household_Alloc[Owner],MATCH(1,(Table_Household_Alloc[Lot]=E8)*(Table_Household_Alloc[cluster]=E7),0))</f>
        <v>Paul Jurjevich &amp; Trish Rushton</v>
      </c>
      <c r="B11" s="19" t="s">
        <v>977</v>
      </c>
      <c r="C11" s="3"/>
      <c r="D11" s="3"/>
      <c r="E11" s="20" cm="1">
        <f t="array" ref="E11">INDEX(Table_Household_Alloc[UE % over Cluster],MATCH(1,(Table_Household_Alloc[Lot]=E8)*(Table_Household_Alloc[cluster]=E7),0))</f>
        <v>0.038</v>
      </c>
    </row>
    <row r="12" ht="15" customHeight="1" spans="1:5">
      <c r="A12" t="str" cm="1">
        <f t="array" ref="A12">INDEX(Table_Household_Alloc[Street Address],MATCH(1,(Table_Household_Alloc[Lot]=E8)*(Table_Household_Alloc[cluster]=E7),0))</f>
        <v>7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IFERROR(Invoice37[[#This Row],[Amount due ($ Inc. GST)]]/Invoice37[[#This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IFERROR(Invoice37[[#This Row],[Amount due ($ Inc. GST)]]/Invoice37[[#This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IFERROR(Invoice37[[#This Row],[Amount due ($ Inc. GST)]]/Invoice37[[#This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IFERROR(Invoice37[[#This Row],[Amount due ($ Inc. GST)]]/Invoice37[[#This Row],[Usage]],0)</f>
        <v>1.67222222222222</v>
      </c>
      <c r="C20" s="34">
        <v>1</v>
      </c>
      <c r="D20" s="34" t="s">
        <v>987</v>
      </c>
      <c r="E20" s="35" cm="1">
        <f t="array" ref="E20">_xlfn.XLOOKUP($E$8,Table1[[#All],[Lot]],Table1[[#All],[Amanda Energy Other fees ($)]],0,0,1)</f>
        <v>1.67222222222222</v>
      </c>
    </row>
    <row r="21" ht="30" customHeight="1" spans="1:5">
      <c r="A21" s="36" t="s">
        <v>859</v>
      </c>
      <c r="B21" s="33">
        <f>IFERROR(Invoice37[[#This Row],[Amount due ($ Inc. GST)]]/Invoice37[[#This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IFERROR(Invoice37[[#This Row],[Amount due ($ Inc. GST)]]/Invoice37[[#This Row],[Usage]],0)</f>
        <v>1.1</v>
      </c>
      <c r="C22" s="34">
        <v>1</v>
      </c>
      <c r="D22" s="34" t="s">
        <v>987</v>
      </c>
      <c r="E22" s="35" cm="1">
        <f t="array" ref="E22">_xlfn.XLOOKUP($E$8,Table1[[#All],[Lot]],Table1[[#All],[Element47 Embedded Network Invoicing Fees]],0,0,1)</f>
        <v>1.1</v>
      </c>
      <c r="G22" s="37"/>
    </row>
    <row r="23" ht="30" customHeight="1" spans="1:5">
      <c r="A23" s="38" t="s">
        <v>990</v>
      </c>
      <c r="B23" s="33">
        <f>IFERROR(Invoice37[[#This Row],[Amount due ($ Inc. GST)]]/Invoice37[[#This Row],[Usage]],0)</f>
        <v>0</v>
      </c>
      <c r="C23" s="34">
        <f>C21</f>
        <v>90</v>
      </c>
      <c r="D23" s="34" t="s">
        <v>989</v>
      </c>
      <c r="E23" s="35" cm="1">
        <f t="array" ref="E23">_xlfn.XLOOKUP($E$8,Table1[[#All],[Lot]],Table1[[#All],[Chargefox Daily Supply Charge ($)]],0,0,1)</f>
        <v>0</v>
      </c>
    </row>
    <row r="24" ht="30" customHeight="1" spans="1:5">
      <c r="A24" s="38" t="s">
        <v>991</v>
      </c>
      <c r="B24" s="33">
        <f>IFERROR(Invoice37[[#This Row],[Amount due ($ Inc. GST)]]/Invoice37[[#This Row],[Usage]],0)</f>
        <v>0</v>
      </c>
      <c r="C24" s="34">
        <f>C21</f>
        <v>90</v>
      </c>
      <c r="D24" s="34" t="s">
        <v>989</v>
      </c>
      <c r="E24" s="35" cm="1">
        <f t="array" ref="E24">_xlfn.XLOOKUP($E$8,Table1[[#All],[Lot]],Table1[[#All],[SwitchdIn Cost Daily Supply Charge ($)]],0,0,1)</f>
        <v>0</v>
      </c>
    </row>
    <row r="25" ht="30" customHeight="1" spans="1:5">
      <c r="A25" s="39" t="s">
        <v>992</v>
      </c>
      <c r="B25" s="40">
        <f>IFERROR(Invoice37[[#This Row],[Amount due ($ Inc. GST)]]/Invoice37[[#This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IFERROR(Invoice37[[#This Row],[Amount due ($ Inc. GST)]]/Invoice37[[#This Row],[Usage]],0)</f>
        <v>0.22</v>
      </c>
      <c r="C27" s="34" cm="1">
        <f t="array" ref="C27">_xlfn.XLOOKUP($E$8,Table1[[#All],[Lot]],Table1[[#All],[Common Services based on Split per Unit Entitlement % to battery (kWh)]],0,0,1)</f>
        <v>25.004</v>
      </c>
      <c r="D27" s="34" t="s">
        <v>995</v>
      </c>
      <c r="E27" s="35" cm="1">
        <f t="array" ref="E27">_xlfn.XLOOKUP($E$8,Table1[[#All],[Lot]],Table1[[#All],[Common Services Cost Split per Unit Entitlement at P2P rate ($)]],0,0,1)</f>
        <v>5.50088</v>
      </c>
    </row>
    <row r="28" ht="30" customHeight="1" spans="1:7">
      <c r="A28" s="38" t="s">
        <v>996</v>
      </c>
      <c r="B28" s="33">
        <f>IFERROR(Invoice37[[#This Row],[Amount due ($ Inc. GST)]]/Invoice37[[#This Row],[Usage]],0)</f>
        <v>-0.22</v>
      </c>
      <c r="C28" s="34" cm="1">
        <f t="array" ref="C28">_xlfn.XLOOKUP($E$8,Table1[[#All],[Lot]],Table1[[#All],[Common Service based upon % total export to battery (kWh)]],0,0,1)</f>
        <v>34.4565333790238</v>
      </c>
      <c r="D28" s="34" t="s">
        <v>995</v>
      </c>
      <c r="E28" s="35" cm="1">
        <f t="array" ref="E28">_xlfn.XLOOKUP($E$8,Table1[[#All],[Lot]],Table1[[#All],[Common Service Earning based upon % total export to Load ($)]],0,0,1)</f>
        <v>-7.58043734338523</v>
      </c>
      <c r="G28" s="47"/>
    </row>
    <row r="29" ht="30" customHeight="1" spans="1:7">
      <c r="A29" s="38" t="s">
        <v>997</v>
      </c>
      <c r="B29" s="33">
        <f>IFERROR(Invoice37[[#This Row],[Amount due ($ Inc. GST)]]/Invoice37[[#This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IFERROR(Invoice37[[#This Row],[Amount due ($ Inc. GST)]]/Invoice37[[#This Row],[Usage]],0)</f>
        <v>-0.22</v>
      </c>
      <c r="C30" s="34" cm="1">
        <f t="array" ref="C30">_xlfn.XLOOKUP($E$8,Table1[[#All],[Lot]],Table1[[#All],[Axillary Battery Losses based upon Adjusted % total export (kWh)]],0,0,1)</f>
        <v>129.657107365445</v>
      </c>
      <c r="D30" s="34" t="s">
        <v>995</v>
      </c>
      <c r="E30" s="35" cm="1">
        <f t="array" ref="E30">_xlfn.XLOOKUP($E$8,Table1[[#All],[Lot]],Table1[[#All],[Axillary Battery Losses based upon % total export  ($)]],0,0,1)</f>
        <v>-28.5245636203979</v>
      </c>
    </row>
    <row r="31" ht="30" customHeight="1" spans="1:5">
      <c r="A31" s="38" t="s">
        <v>999</v>
      </c>
      <c r="B31" s="33">
        <f>IFERROR(Invoice37[[#This Row],[Amount due ($ Inc. GST)]]/Invoice37[[#This Row],[Usage]],0)</f>
        <v>0</v>
      </c>
      <c r="C31" s="34" cm="1">
        <f t="array" ref="C31">_xlfn.XLOOKUP("EV",Table1[[#All],[Lot]],Table1[[#All],[Total Consumption Import  (kWh)]],0,0,1)*E11</f>
        <v>100.206</v>
      </c>
      <c r="D31" s="34" t="s">
        <v>995</v>
      </c>
      <c r="E31" s="35" cm="1">
        <f t="array" ref="E31">_xlfn.XLOOKUP($E$8,Table1[[#All],[Lot]],Table1[[#All],[EV Charger Income from Sales Equitable Distribution on UE ($)]],0,0,1)</f>
        <v>0</v>
      </c>
    </row>
    <row r="32" ht="30" customHeight="1" spans="1:5">
      <c r="A32" s="38" t="s">
        <v>1000</v>
      </c>
      <c r="B32" s="33">
        <f>IFERROR(Invoice37[[#This Row],[Amount due ($ Inc. GST)]]/Invoice37[[#This Row],[Usage]],0)</f>
        <v>0.22</v>
      </c>
      <c r="C32" s="34" cm="1">
        <f t="array" ref="C32">_xlfn.XLOOKUP("EV",Table1[[#All],[Lot]],Table1[[#All],[Total Consumption Import  (kWh)]],0,0,1)*E11</f>
        <v>100.206</v>
      </c>
      <c r="D32" s="34" t="s">
        <v>995</v>
      </c>
      <c r="E32" s="35" cm="1">
        <f t="array" ref="E32">_xlfn.XLOOKUP($E$8,Table1[[#All],[Lot]],Table1[[#All],[EV Charger Cost of Electricity Supply at P2P Rates ($)]],0,0,1)</f>
        <v>22.04532</v>
      </c>
    </row>
    <row r="33" ht="30" customHeight="1" spans="1:5">
      <c r="A33" s="38" t="s">
        <v>1001</v>
      </c>
      <c r="B33" s="33">
        <f>IFERROR(Invoice37[[#This Row],[Amount due ($ Inc. GST)]]/Invoice37[[#This Row],[Usage]],0)</f>
        <v>-0.22</v>
      </c>
      <c r="C33" s="34" cm="1">
        <f t="array" ref="C33">_xlfn.XLOOKUP($E$8,Table1[[#All],[Lot]],Table1[[#All],[EV Charger based upon % total export to battery (kWh)]],0,0,1)</f>
        <v>138.087961277334</v>
      </c>
      <c r="D33" s="34" t="s">
        <v>995</v>
      </c>
      <c r="E33" s="35" cm="1">
        <f t="array" ref="E33">_xlfn.XLOOKUP($E$8,Table1[[#All],[Lot]],Table1[[#All],[EV Charger based upon % total export ($)]],0,0,1)</f>
        <v>-30.3793514810135</v>
      </c>
    </row>
    <row r="34" ht="30" customHeight="1" spans="1:5">
      <c r="A34" s="38" t="s">
        <v>1002</v>
      </c>
      <c r="B34" s="33">
        <f>IFERROR(Invoice37[[#This Row],[Amount due ($ Inc. GST)]]/Invoice37[[#This Row],[Usage]],0)</f>
        <v>0</v>
      </c>
      <c r="C34" s="34" cm="1">
        <f t="array" ref="C34">_xlfn.XLOOKUP("EV",Table1[[#All],[Lot]],Table1[[#All],[Total Consumption Import  (kWh)]],0,0,1)*E11</f>
        <v>100.206</v>
      </c>
      <c r="D34" s="34" t="s">
        <v>995</v>
      </c>
      <c r="E34" s="35" cm="1">
        <f t="array" ref="E34">_xlfn.XLOOKUP($E$8,Table1[[#All],[Lot]],Table1[[#All],[Chargefox Commission on EV Charge Consumption Sales Cost Split by Unit Entitlement ($)]],0,0,1)</f>
        <v>0</v>
      </c>
    </row>
    <row r="35" ht="30" customHeight="1" spans="1:5">
      <c r="A35" s="39" t="s">
        <v>1003</v>
      </c>
      <c r="B35" s="48">
        <f>Invoice37[[#This Row],[Amount due ($ Inc. GST)]]/Invoice37[[#This Row],[Usage]]</f>
        <v>-0.432646138275518</v>
      </c>
      <c r="C35" s="49">
        <f>C24</f>
        <v>90</v>
      </c>
      <c r="D35" s="49" t="s">
        <v>989</v>
      </c>
      <c r="E35" s="50">
        <f>SUM(E27:E34)</f>
        <v>-38.9381524447966</v>
      </c>
    </row>
    <row r="36" ht="30" customHeight="1" spans="1:5">
      <c r="A36" s="43" t="s">
        <v>1004</v>
      </c>
      <c r="B36" s="51"/>
      <c r="C36" s="52"/>
      <c r="D36" s="52"/>
      <c r="E36" s="53"/>
    </row>
    <row r="37" ht="30" customHeight="1" spans="1:5">
      <c r="A37" s="38" t="s">
        <v>1005</v>
      </c>
      <c r="B37" s="33">
        <f>IFERROR(Invoice37[[#This Row],[Amount due ($ Inc. GST)]]/Invoice37[[#This Row],[Usage]],0)</f>
        <v>0.22</v>
      </c>
      <c r="C37" s="34" cm="1">
        <f t="array" ref="C37">_xlfn.XLOOKUP($E$8,Table1[[#All],[Lot]],Table1[[#All],[Total P2P import (kWh)]],0,0,1)</f>
        <v>495</v>
      </c>
      <c r="D37" s="34" t="s">
        <v>995</v>
      </c>
      <c r="E37" s="35" cm="1">
        <f t="array" ref="E37">_xlfn.XLOOKUP($E$8,Table1[[#All],[Lot]],Table1[[#All],[P2P Import Cost ($)]],0,0,1)</f>
        <v>108.9</v>
      </c>
    </row>
    <row r="38" ht="30" customHeight="1" spans="1:5">
      <c r="A38" s="38" t="s">
        <v>1006</v>
      </c>
      <c r="B38" s="33">
        <f>IFERROR(Invoice37[[#This Row],[Amount due ($ Inc. GST)]]/Invoice37[[#This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IFERROR(Invoice37[[#This Row],[Amount due ($ Inc. GST)]]/Invoice37[[#This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Invoice37[[#This Row],[Amount due ($ Inc. GST)]]/Invoice37[[#This Row],[Usage]]</f>
        <v>1.21</v>
      </c>
      <c r="C40" s="49">
        <f>C35</f>
        <v>90</v>
      </c>
      <c r="D40" s="49" t="s">
        <v>989</v>
      </c>
      <c r="E40" s="50">
        <f>SUM(E37:E39)</f>
        <v>108.9</v>
      </c>
    </row>
    <row r="41" ht="30" customHeight="1" spans="1:5">
      <c r="A41" s="43" t="s">
        <v>1009</v>
      </c>
      <c r="B41" s="33"/>
      <c r="C41" s="34"/>
      <c r="D41" s="34"/>
      <c r="E41" s="46"/>
    </row>
    <row r="42" ht="30" customHeight="1" spans="1:5">
      <c r="A42" s="54" t="s">
        <v>1010</v>
      </c>
      <c r="B42" s="33">
        <f>IFERROR(Invoice37[[#This Row],[Amount due ($ Inc. GST)]]/Invoice37[[#This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IFERROR(Invoice37[[#This Row],[Amount due ($ Inc. GST)]]/Invoice37[[#This Row],[Usage]],0)</f>
        <v>-0.02</v>
      </c>
      <c r="C43" s="34" cm="1">
        <f t="array" ref="C43">_xlfn.XLOOKUP($E$8,Table1[[#All],[Lot]],Table1[[#All],[Borrowed Allowance Based on Unused Daily Allowance % (kWh)]],0,0,1)</f>
        <v>21.4318088239419</v>
      </c>
      <c r="D43" s="34" t="s">
        <v>995</v>
      </c>
      <c r="E43" s="35" cm="1">
        <f t="array" ref="E43">_xlfn.XLOOKUP($E$8,Table1[[#All],[Lot]],Table1[[#All],[Passive Compensation ($)]],0,0,1)</f>
        <v>-0.428636176478838</v>
      </c>
    </row>
    <row r="44" ht="30" customHeight="1" spans="1:5">
      <c r="A44" s="32" t="s">
        <v>1012</v>
      </c>
      <c r="B44" s="33">
        <f>IFERROR(Invoice37[[#This Row],[Amount due ($ Inc. GST)]]/Invoice37[[#This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IFERROR(Invoice37[[#This Row],[Amount due ($ Inc. GST)]]/Invoice37[[#This Row],[Usage]],0)</f>
        <v>0</v>
      </c>
      <c r="C45" s="49">
        <f>C40</f>
        <v>90</v>
      </c>
      <c r="D45" s="49" t="s">
        <v>989</v>
      </c>
      <c r="E45" s="50" t="e">
        <f>SUBTOTAL(109,E42:E44)</f>
        <v>#N/A</v>
      </c>
    </row>
    <row r="46" ht="30" customHeight="1" spans="1:5">
      <c r="A46" s="55" t="s">
        <v>1014</v>
      </c>
      <c r="B46" s="56">
        <f>IFERROR(Invoice37[[#This Row],[Amount due ($ Inc. GST)]]/Invoice37[[#This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Rushton 1A4/0325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1A5/0325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5</v>
      </c>
    </row>
    <row r="9" ht="18" customHeight="1" spans="1:5">
      <c r="A9" s="14"/>
      <c r="B9" s="8" t="s">
        <v>974</v>
      </c>
      <c r="C9" s="15"/>
      <c r="D9" s="15"/>
      <c r="E9" s="16">
        <f>VLOOKUP(E8,'Energy billing Mastersheet'!5:38,MATCH('Energy billing Mastersheet'!C4,'Energy billing Mastersheet'!4:4,0),FALSE)</f>
        <v>50002879</v>
      </c>
    </row>
    <row r="10" spans="1:5">
      <c r="A10" s="17" t="s">
        <v>975</v>
      </c>
      <c r="B10" s="8" t="s">
        <v>976</v>
      </c>
      <c r="C10" s="15"/>
      <c r="D10" s="15"/>
      <c r="E10" s="18" cm="1">
        <f t="array" ref="E10">INDEX(Table_Household_Alloc[Unit Entitlement],MATCH(1,(Table_Household_Alloc[Lot]=E8)*(Table_Household_Alloc[cluster]=E7),0))</f>
        <v>39</v>
      </c>
    </row>
    <row r="11" ht="15" customHeight="1" spans="1:5">
      <c r="A11" t="str" cm="1">
        <f t="array" ref="A11">INDEX(Table_Household_Alloc[Owner],MATCH(1,(Table_Household_Alloc[Lot]=E8)*(Table_Household_Alloc[cluster]=E7),0))</f>
        <v>Dwyer</v>
      </c>
      <c r="B11" s="19" t="s">
        <v>977</v>
      </c>
      <c r="C11" s="3"/>
      <c r="D11" s="3"/>
      <c r="E11" s="20" cm="1">
        <f t="array" ref="E11">INDEX(Table_Household_Alloc[UE % over Cluster],MATCH(1,(Table_Household_Alloc[Lot]=E8)*(Table_Household_Alloc[cluster]=E7),0))</f>
        <v>0.039</v>
      </c>
    </row>
    <row r="12" ht="15" customHeight="1" spans="1:5">
      <c r="A12" t="str" cm="1">
        <f t="array" ref="A12">INDEX(Table_Household_Alloc[Street Address],MATCH(1,(Table_Household_Alloc[Lot]=E8)*(Table_Household_Alloc[cluster]=E7),0))</f>
        <v>9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IFERROR(Invoice38[[#This Row],[Amount due ($ Inc. GST)]]/Invoice38[[#This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IFERROR(Invoice38[[#This Row],[Amount due ($ Inc. GST)]]/Invoice38[[#This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IFERROR(Invoice38[[#This Row],[Amount due ($ Inc. GST)]]/Invoice38[[#This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IFERROR(Invoice38[[#This Row],[Amount due ($ Inc. GST)]]/Invoice38[[#This Row],[Usage]],0)</f>
        <v>1.67222222222222</v>
      </c>
      <c r="C20" s="34">
        <v>1</v>
      </c>
      <c r="D20" s="34" t="s">
        <v>987</v>
      </c>
      <c r="E20" s="35" cm="1">
        <f t="array" ref="E20">_xlfn.XLOOKUP($E$8,Table1[[#All],[Lot]],Table1[[#All],[Amanda Energy Other fees ($)]],0,0,1)</f>
        <v>1.67222222222222</v>
      </c>
    </row>
    <row r="21" ht="30" customHeight="1" spans="1:5">
      <c r="A21" s="36" t="s">
        <v>859</v>
      </c>
      <c r="B21" s="33">
        <f>IFERROR(Invoice38[[#This Row],[Amount due ($ Inc. GST)]]/Invoice38[[#This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IFERROR(Invoice38[[#This Row],[Amount due ($ Inc. GST)]]/Invoice38[[#This Row],[Usage]],0)</f>
        <v>1.1</v>
      </c>
      <c r="C22" s="34">
        <v>1</v>
      </c>
      <c r="D22" s="34" t="s">
        <v>987</v>
      </c>
      <c r="E22" s="35" cm="1">
        <f t="array" ref="E22">_xlfn.XLOOKUP($E$8,Table1[[#All],[Lot]],Table1[[#All],[Element47 Embedded Network Invoicing Fees]],0,0,1)</f>
        <v>1.1</v>
      </c>
      <c r="G22" s="37"/>
    </row>
    <row r="23" ht="30" customHeight="1" spans="1:5">
      <c r="A23" s="38" t="s">
        <v>990</v>
      </c>
      <c r="B23" s="33">
        <f>IFERROR(Invoice38[[#This Row],[Amount due ($ Inc. GST)]]/Invoice38[[#This Row],[Usage]],0)</f>
        <v>0</v>
      </c>
      <c r="C23" s="34">
        <f>C21</f>
        <v>90</v>
      </c>
      <c r="D23" s="34" t="s">
        <v>989</v>
      </c>
      <c r="E23" s="35" cm="1">
        <f t="array" ref="E23">_xlfn.XLOOKUP($E$8,Table1[[#All],[Lot]],Table1[[#All],[Chargefox Daily Supply Charge ($)]],0,0,1)</f>
        <v>0</v>
      </c>
    </row>
    <row r="24" ht="30" customHeight="1" spans="1:5">
      <c r="A24" s="38" t="s">
        <v>991</v>
      </c>
      <c r="B24" s="33">
        <f>IFERROR(Invoice38[[#This Row],[Amount due ($ Inc. GST)]]/Invoice38[[#This Row],[Usage]],0)</f>
        <v>0</v>
      </c>
      <c r="C24" s="34">
        <f>C21</f>
        <v>90</v>
      </c>
      <c r="D24" s="34" t="s">
        <v>989</v>
      </c>
      <c r="E24" s="35" cm="1">
        <f t="array" ref="E24">_xlfn.XLOOKUP($E$8,Table1[[#All],[Lot]],Table1[[#All],[SwitchdIn Cost Daily Supply Charge ($)]],0,0,1)</f>
        <v>0</v>
      </c>
    </row>
    <row r="25" ht="30" customHeight="1" spans="1:5">
      <c r="A25" s="39" t="s">
        <v>992</v>
      </c>
      <c r="B25" s="40">
        <f>IFERROR(Invoice38[[#This Row],[Amount due ($ Inc. GST)]]/Invoice38[[#This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IFERROR(Invoice38[[#This Row],[Amount due ($ Inc. GST)]]/Invoice38[[#This Row],[Usage]],0)</f>
        <v>0.22</v>
      </c>
      <c r="C27" s="34" cm="1">
        <f t="array" ref="C27">_xlfn.XLOOKUP($E$8,Table1[[#All],[Lot]],Table1[[#All],[Common Services based on Split per Unit Entitlement % to battery (kWh)]],0,0,1)</f>
        <v>25.662</v>
      </c>
      <c r="D27" s="34" t="s">
        <v>995</v>
      </c>
      <c r="E27" s="35" cm="1">
        <f t="array" ref="E27">_xlfn.XLOOKUP($E$8,Table1[[#All],[Lot]],Table1[[#All],[Common Services Cost Split per Unit Entitlement at P2P rate ($)]],0,0,1)</f>
        <v>5.64564</v>
      </c>
    </row>
    <row r="28" ht="30" customHeight="1" spans="1:7">
      <c r="A28" s="38" t="s">
        <v>996</v>
      </c>
      <c r="B28" s="33">
        <f>IFERROR(Invoice38[[#This Row],[Amount due ($ Inc. GST)]]/Invoice38[[#This Row],[Usage]],0)</f>
        <v>-0.22</v>
      </c>
      <c r="C28" s="34" cm="1">
        <f t="array" ref="C28">_xlfn.XLOOKUP($E$8,Table1[[#All],[Lot]],Table1[[#All],[Common Service based upon % total export to battery (kWh)]],0,0,1)</f>
        <v>37.8669550877043</v>
      </c>
      <c r="D28" s="34" t="s">
        <v>995</v>
      </c>
      <c r="E28" s="35" cm="1">
        <f t="array" ref="E28">_xlfn.XLOOKUP($E$8,Table1[[#All],[Lot]],Table1[[#All],[Common Service Earning based upon % total export to Load ($)]],0,0,1)</f>
        <v>-8.33073011929494</v>
      </c>
      <c r="G28" s="47"/>
    </row>
    <row r="29" ht="30" customHeight="1" spans="1:7">
      <c r="A29" s="38" t="s">
        <v>997</v>
      </c>
      <c r="B29" s="33">
        <f>IFERROR(Invoice38[[#This Row],[Amount due ($ Inc. GST)]]/Invoice38[[#This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IFERROR(Invoice38[[#This Row],[Amount due ($ Inc. GST)]]/Invoice38[[#This Row],[Usage]],0)</f>
        <v>-0.22</v>
      </c>
      <c r="C30" s="34" cm="1">
        <f t="array" ref="C30">_xlfn.XLOOKUP($E$8,Table1[[#All],[Lot]],Table1[[#All],[Axillary Battery Losses based upon Adjusted % total export (kWh)]],0,0,1)</f>
        <v>142.490244372577</v>
      </c>
      <c r="D30" s="34" t="s">
        <v>995</v>
      </c>
      <c r="E30" s="35" cm="1">
        <f t="array" ref="E30">_xlfn.XLOOKUP($E$8,Table1[[#All],[Lot]],Table1[[#All],[Axillary Battery Losses based upon % total export  ($)]],0,0,1)</f>
        <v>-31.347853761967</v>
      </c>
    </row>
    <row r="31" ht="30" customHeight="1" spans="1:5">
      <c r="A31" s="38" t="s">
        <v>999</v>
      </c>
      <c r="B31" s="33">
        <f>IFERROR(Invoice38[[#This Row],[Amount due ($ Inc. GST)]]/Invoice38[[#This Row],[Usage]],0)</f>
        <v>0</v>
      </c>
      <c r="C31" s="34" cm="1">
        <f t="array" ref="C31">_xlfn.XLOOKUP("EV",Table1[[#All],[Lot]],Table1[[#All],[Total Consumption Import  (kWh)]],0,0,1)*E11</f>
        <v>102.843</v>
      </c>
      <c r="D31" s="34" t="s">
        <v>995</v>
      </c>
      <c r="E31" s="35" cm="1">
        <f t="array" ref="E31">_xlfn.XLOOKUP($E$8,Table1[[#All],[Lot]],Table1[[#All],[EV Charger Income from Sales Equitable Distribution on UE ($)]],0,0,1)</f>
        <v>0</v>
      </c>
    </row>
    <row r="32" ht="30" customHeight="1" spans="1:5">
      <c r="A32" s="38" t="s">
        <v>1000</v>
      </c>
      <c r="B32" s="33">
        <f>IFERROR(Invoice38[[#This Row],[Amount due ($ Inc. GST)]]/Invoice38[[#This Row],[Usage]],0)</f>
        <v>0.22</v>
      </c>
      <c r="C32" s="34" cm="1">
        <f t="array" ref="C32">_xlfn.XLOOKUP("EV",Table1[[#All],[Lot]],Table1[[#All],[Total Consumption Import  (kWh)]],0,0,1)*E11</f>
        <v>102.843</v>
      </c>
      <c r="D32" s="34" t="s">
        <v>995</v>
      </c>
      <c r="E32" s="35" cm="1">
        <f t="array" ref="E32">_xlfn.XLOOKUP($E$8,Table1[[#All],[Lot]],Table1[[#All],[EV Charger Cost of Electricity Supply at P2P Rates ($)]],0,0,1)</f>
        <v>22.62546</v>
      </c>
    </row>
    <row r="33" ht="30" customHeight="1" spans="1:5">
      <c r="A33" s="38" t="s">
        <v>1001</v>
      </c>
      <c r="B33" s="33">
        <f>IFERROR(Invoice38[[#This Row],[Amount due ($ Inc. GST)]]/Invoice38[[#This Row],[Usage]],0)</f>
        <v>-0.22</v>
      </c>
      <c r="C33" s="34" cm="1">
        <f t="array" ref="C33">_xlfn.XLOOKUP($E$8,Table1[[#All],[Lot]],Table1[[#All],[EV Charger based upon % total export to battery (kWh)]],0,0,1)</f>
        <v>151.755563170632</v>
      </c>
      <c r="D33" s="34" t="s">
        <v>995</v>
      </c>
      <c r="E33" s="35" cm="1">
        <f t="array" ref="E33">_xlfn.XLOOKUP($E$8,Table1[[#All],[Lot]],Table1[[#All],[EV Charger based upon % total export ($)]],0,0,1)</f>
        <v>-33.3862238975391</v>
      </c>
    </row>
    <row r="34" ht="30" customHeight="1" spans="1:5">
      <c r="A34" s="38" t="s">
        <v>1002</v>
      </c>
      <c r="B34" s="33">
        <f>IFERROR(Invoice38[[#This Row],[Amount due ($ Inc. GST)]]/Invoice38[[#This Row],[Usage]],0)</f>
        <v>0</v>
      </c>
      <c r="C34" s="34" cm="1">
        <f t="array" ref="C34">_xlfn.XLOOKUP("EV",Table1[[#All],[Lot]],Table1[[#All],[Total Consumption Import  (kWh)]],0,0,1)*E11</f>
        <v>102.843</v>
      </c>
      <c r="D34" s="34" t="s">
        <v>995</v>
      </c>
      <c r="E34" s="35" cm="1">
        <f t="array" ref="E34">_xlfn.XLOOKUP($E$8,Table1[[#All],[Lot]],Table1[[#All],[Chargefox Commission on EV Charge Consumption Sales Cost Split by Unit Entitlement ($)]],0,0,1)</f>
        <v>0</v>
      </c>
    </row>
    <row r="35" ht="30" customHeight="1" spans="1:5">
      <c r="A35" s="39" t="s">
        <v>1003</v>
      </c>
      <c r="B35" s="48">
        <f>Invoice38[[#This Row],[Amount due ($ Inc. GST)]]/Invoice38[[#This Row],[Usage]]</f>
        <v>-0.497707864208901</v>
      </c>
      <c r="C35" s="49">
        <f>C24</f>
        <v>90</v>
      </c>
      <c r="D35" s="49" t="s">
        <v>989</v>
      </c>
      <c r="E35" s="50">
        <f>SUM(E27:E34)</f>
        <v>-44.793707778801</v>
      </c>
    </row>
    <row r="36" ht="30" customHeight="1" spans="1:5">
      <c r="A36" s="43" t="s">
        <v>1004</v>
      </c>
      <c r="B36" s="51"/>
      <c r="C36" s="52"/>
      <c r="D36" s="52"/>
      <c r="E36" s="53"/>
    </row>
    <row r="37" ht="30" customHeight="1" spans="1:5">
      <c r="A37" s="38" t="s">
        <v>1005</v>
      </c>
      <c r="B37" s="33">
        <f>IFERROR(Invoice38[[#This Row],[Amount due ($ Inc. GST)]]/Invoice38[[#This Row],[Usage]],0)</f>
        <v>0.22</v>
      </c>
      <c r="C37" s="34" cm="1">
        <f t="array" ref="C37">_xlfn.XLOOKUP($E$8,Table1[[#All],[Lot]],Table1[[#All],[Total P2P import (kWh)]],0,0,1)</f>
        <v>198</v>
      </c>
      <c r="D37" s="34" t="s">
        <v>995</v>
      </c>
      <c r="E37" s="35" cm="1">
        <f t="array" ref="E37">_xlfn.XLOOKUP($E$8,Table1[[#All],[Lot]],Table1[[#All],[P2P Import Cost ($)]],0,0,1)</f>
        <v>43.56</v>
      </c>
    </row>
    <row r="38" ht="30" customHeight="1" spans="1:5">
      <c r="A38" s="38" t="s">
        <v>1006</v>
      </c>
      <c r="B38" s="33">
        <f>IFERROR(Invoice38[[#This Row],[Amount due ($ Inc. GST)]]/Invoice38[[#This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IFERROR(Invoice38[[#This Row],[Amount due ($ Inc. GST)]]/Invoice38[[#This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Invoice38[[#This Row],[Amount due ($ Inc. GST)]]/Invoice38[[#This Row],[Usage]]</f>
        <v>0.484</v>
      </c>
      <c r="C40" s="49">
        <f>C35</f>
        <v>90</v>
      </c>
      <c r="D40" s="49" t="s">
        <v>989</v>
      </c>
      <c r="E40" s="50">
        <f>SUM(E37:E39)</f>
        <v>43.56</v>
      </c>
    </row>
    <row r="41" ht="30" customHeight="1" spans="1:5">
      <c r="A41" s="43" t="s">
        <v>1009</v>
      </c>
      <c r="B41" s="33"/>
      <c r="C41" s="34"/>
      <c r="D41" s="34"/>
      <c r="E41" s="46"/>
    </row>
    <row r="42" ht="30" customHeight="1" spans="1:5">
      <c r="A42" s="54" t="s">
        <v>1010</v>
      </c>
      <c r="B42" s="33">
        <f>IFERROR(Invoice38[[#This Row],[Amount due ($ Inc. GST)]]/Invoice38[[#This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IFERROR(Invoice38[[#This Row],[Amount due ($ Inc. GST)]]/Invoice38[[#This Row],[Usage]],0)</f>
        <v>-0.02</v>
      </c>
      <c r="C43" s="34" cm="1">
        <f t="array" ref="C43">_xlfn.XLOOKUP($E$8,Table1[[#All],[Lot]],Table1[[#All],[Borrowed Allowance Based on Unused Daily Allowance % (kWh)]],0,0,1)</f>
        <v>44.0074142428407</v>
      </c>
      <c r="D43" s="34" t="s">
        <v>995</v>
      </c>
      <c r="E43" s="35" cm="1">
        <f t="array" ref="E43">_xlfn.XLOOKUP($E$8,Table1[[#All],[Lot]],Table1[[#All],[Passive Compensation ($)]],0,0,1)</f>
        <v>-0.880148284856814</v>
      </c>
    </row>
    <row r="44" ht="30" customHeight="1" spans="1:5">
      <c r="A44" s="32" t="s">
        <v>1012</v>
      </c>
      <c r="B44" s="33">
        <f>IFERROR(Invoice38[[#This Row],[Amount due ($ Inc. GST)]]/Invoice38[[#This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IFERROR(Invoice38[[#This Row],[Amount due ($ Inc. GST)]]/Invoice38[[#This Row],[Usage]],0)</f>
        <v>0</v>
      </c>
      <c r="C45" s="49">
        <f>C40</f>
        <v>90</v>
      </c>
      <c r="D45" s="49" t="s">
        <v>989</v>
      </c>
      <c r="E45" s="50" t="e">
        <f>SUBTOTAL(109,E42:E44)</f>
        <v>#N/A</v>
      </c>
    </row>
    <row r="46" ht="30" customHeight="1" spans="1:5">
      <c r="A46" s="55" t="s">
        <v>1014</v>
      </c>
      <c r="B46" s="56">
        <f>IFERROR(Invoice38[[#This Row],[Amount due ($ Inc. GST)]]/Invoice38[[#This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e">
        <f>CONCATENATE("Please use payment reference: Surname Inv No i.e. ",IF(ISNUMBER(SEARCH("trust",A11)),_xlfn.TEXTBEFORE(A11," ",1),_xlfn.TEXTAFTER(A11," ",-1))," ",E6)</f>
        <v>#N/A</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1A6/0325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6</v>
      </c>
    </row>
    <row r="9" ht="18" customHeight="1" spans="1:5">
      <c r="A9" s="14"/>
      <c r="B9" s="8" t="s">
        <v>974</v>
      </c>
      <c r="C9" s="15"/>
      <c r="D9" s="15"/>
      <c r="E9" s="16">
        <f>VLOOKUP(E8,'Energy billing Mastersheet'!5:38,MATCH('Energy billing Mastersheet'!C4,'Energy billing Mastersheet'!4:4,0),FALSE)</f>
        <v>50002865</v>
      </c>
    </row>
    <row r="10" spans="1:5">
      <c r="A10" s="17" t="s">
        <v>975</v>
      </c>
      <c r="B10" s="8" t="s">
        <v>976</v>
      </c>
      <c r="C10" s="15"/>
      <c r="D10" s="15"/>
      <c r="E10" s="18" cm="1">
        <f t="array" ref="E10">INDEX(Table_Household_Alloc[Unit Entitlement],MATCH(1,(Table_Household_Alloc[Lot]=E8)*(Table_Household_Alloc[cluster]=E7),0))</f>
        <v>39</v>
      </c>
    </row>
    <row r="11" ht="15" customHeight="1" spans="1:5">
      <c r="A11" t="str" cm="1">
        <f t="array" ref="A11">INDEX(Table_Household_Alloc[Owner],MATCH(1,(Table_Household_Alloc[Lot]=E8)*(Table_Household_Alloc[cluster]=E7),0))</f>
        <v>Gillespie</v>
      </c>
      <c r="B11" s="19" t="s">
        <v>977</v>
      </c>
      <c r="C11" s="3"/>
      <c r="D11" s="3"/>
      <c r="E11" s="20" cm="1">
        <f t="array" ref="E11">INDEX(Table_Household_Alloc[UE % over Cluster],MATCH(1,(Table_Household_Alloc[Lot]=E8)*(Table_Household_Alloc[cluster]=E7),0))</f>
        <v>0.039</v>
      </c>
    </row>
    <row r="12" ht="15" customHeight="1" spans="1:5">
      <c r="A12" t="str" cm="1">
        <f t="array" ref="A12">INDEX(Table_Household_Alloc[Street Address],MATCH(1,(Table_Household_Alloc[Lot]=E8)*(Table_Household_Alloc[cluster]=E7),0))</f>
        <v>11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IFERROR(Invoice39[[#This Row],[Amount due ($ Inc. GST)]]/Invoice39[[#This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IFERROR(Invoice39[[#This Row],[Amount due ($ Inc. GST)]]/Invoice39[[#This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IFERROR(Invoice39[[#This Row],[Amount due ($ Inc. GST)]]/Invoice39[[#This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IFERROR(Invoice39[[#This Row],[Amount due ($ Inc. GST)]]/Invoice39[[#This Row],[Usage]],0)</f>
        <v>1.67222222222222</v>
      </c>
      <c r="C20" s="34">
        <v>1</v>
      </c>
      <c r="D20" s="34" t="s">
        <v>987</v>
      </c>
      <c r="E20" s="35" cm="1">
        <f t="array" ref="E20">_xlfn.XLOOKUP($E$8,Table1[[#All],[Lot]],Table1[[#All],[Amanda Energy Other fees ($)]],0,0,1)</f>
        <v>1.67222222222222</v>
      </c>
    </row>
    <row r="21" ht="30" customHeight="1" spans="1:5">
      <c r="A21" s="36" t="s">
        <v>859</v>
      </c>
      <c r="B21" s="33">
        <f>IFERROR(Invoice39[[#This Row],[Amount due ($ Inc. GST)]]/Invoice39[[#This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IFERROR(Invoice39[[#This Row],[Amount due ($ Inc. GST)]]/Invoice39[[#This Row],[Usage]],0)</f>
        <v>1.1</v>
      </c>
      <c r="C22" s="34">
        <v>1</v>
      </c>
      <c r="D22" s="34" t="s">
        <v>987</v>
      </c>
      <c r="E22" s="35" cm="1">
        <f t="array" ref="E22">_xlfn.XLOOKUP($E$8,Table1[[#All],[Lot]],Table1[[#All],[Element47 Embedded Network Invoicing Fees]],0,0,1)</f>
        <v>1.1</v>
      </c>
      <c r="G22" s="37"/>
    </row>
    <row r="23" ht="30" customHeight="1" spans="1:5">
      <c r="A23" s="38" t="s">
        <v>990</v>
      </c>
      <c r="B23" s="33">
        <f>IFERROR(Invoice39[[#This Row],[Amount due ($ Inc. GST)]]/Invoice39[[#This Row],[Usage]],0)</f>
        <v>0</v>
      </c>
      <c r="C23" s="34">
        <f>C21</f>
        <v>90</v>
      </c>
      <c r="D23" s="34" t="s">
        <v>989</v>
      </c>
      <c r="E23" s="35" cm="1">
        <f t="array" ref="E23">_xlfn.XLOOKUP($E$8,Table1[[#All],[Lot]],Table1[[#All],[Chargefox Daily Supply Charge ($)]],0,0,1)</f>
        <v>0</v>
      </c>
    </row>
    <row r="24" ht="30" customHeight="1" spans="1:5">
      <c r="A24" s="38" t="s">
        <v>991</v>
      </c>
      <c r="B24" s="33">
        <f>IFERROR(Invoice39[[#This Row],[Amount due ($ Inc. GST)]]/Invoice39[[#This Row],[Usage]],0)</f>
        <v>0</v>
      </c>
      <c r="C24" s="34">
        <f>C21</f>
        <v>90</v>
      </c>
      <c r="D24" s="34" t="s">
        <v>989</v>
      </c>
      <c r="E24" s="35" cm="1">
        <f t="array" ref="E24">_xlfn.XLOOKUP($E$8,Table1[[#All],[Lot]],Table1[[#All],[SwitchdIn Cost Daily Supply Charge ($)]],0,0,1)</f>
        <v>0</v>
      </c>
    </row>
    <row r="25" ht="30" customHeight="1" spans="1:5">
      <c r="A25" s="39" t="s">
        <v>992</v>
      </c>
      <c r="B25" s="40">
        <f>IFERROR(Invoice39[[#This Row],[Amount due ($ Inc. GST)]]/Invoice39[[#This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IFERROR(Invoice39[[#This Row],[Amount due ($ Inc. GST)]]/Invoice39[[#This Row],[Usage]],0)</f>
        <v>0.22</v>
      </c>
      <c r="C27" s="34" cm="1">
        <f t="array" ref="C27">_xlfn.XLOOKUP($E$8,Table1[[#All],[Lot]],Table1[[#All],[Common Services based on Split per Unit Entitlement % to battery (kWh)]],0,0,1)</f>
        <v>25.662</v>
      </c>
      <c r="D27" s="34" t="s">
        <v>995</v>
      </c>
      <c r="E27" s="35" cm="1">
        <f t="array" ref="E27">_xlfn.XLOOKUP($E$8,Table1[[#All],[Lot]],Table1[[#All],[Common Services Cost Split per Unit Entitlement at P2P rate ($)]],0,0,1)</f>
        <v>5.64564</v>
      </c>
    </row>
    <row r="28" ht="30" customHeight="1" spans="1:7">
      <c r="A28" s="38" t="s">
        <v>996</v>
      </c>
      <c r="B28" s="33">
        <f>IFERROR(Invoice39[[#This Row],[Amount due ($ Inc. GST)]]/Invoice39[[#This Row],[Usage]],0)</f>
        <v>-0.22</v>
      </c>
      <c r="C28" s="34" cm="1">
        <f t="array" ref="C28">_xlfn.XLOOKUP($E$8,Table1[[#All],[Lot]],Table1[[#All],[Common Service based upon % total export to battery (kWh)]],0,0,1)</f>
        <v>59.2314150478679</v>
      </c>
      <c r="D28" s="34" t="s">
        <v>995</v>
      </c>
      <c r="E28" s="35" cm="1">
        <f t="array" ref="E28">_xlfn.XLOOKUP($E$8,Table1[[#All],[Lot]],Table1[[#All],[Common Service Earning based upon % total export to Load ($)]],0,0,1)</f>
        <v>-13.0309113105309</v>
      </c>
      <c r="G28" s="47"/>
    </row>
    <row r="29" ht="30" customHeight="1" spans="1:7">
      <c r="A29" s="38" t="s">
        <v>997</v>
      </c>
      <c r="B29" s="33">
        <f>IFERROR(Invoice39[[#This Row],[Amount due ($ Inc. GST)]]/Invoice39[[#This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IFERROR(Invoice39[[#This Row],[Amount due ($ Inc. GST)]]/Invoice39[[#This Row],[Usage]],0)</f>
        <v>-0.22</v>
      </c>
      <c r="C30" s="34" cm="1">
        <f t="array" ref="C30">_xlfn.XLOOKUP($E$8,Table1[[#All],[Lot]],Table1[[#All],[Axillary Battery Losses based upon Adjusted % total export (kWh)]],0,0,1)</f>
        <v>222.88295388833</v>
      </c>
      <c r="D30" s="34" t="s">
        <v>995</v>
      </c>
      <c r="E30" s="35" cm="1">
        <f t="array" ref="E30">_xlfn.XLOOKUP($E$8,Table1[[#All],[Lot]],Table1[[#All],[Axillary Battery Losses based upon % total export  ($)]],0,0,1)</f>
        <v>-49.0342498554325</v>
      </c>
    </row>
    <row r="31" ht="30" customHeight="1" spans="1:5">
      <c r="A31" s="38" t="s">
        <v>999</v>
      </c>
      <c r="B31" s="33">
        <f>IFERROR(Invoice39[[#This Row],[Amount due ($ Inc. GST)]]/Invoice39[[#This Row],[Usage]],0)</f>
        <v>0</v>
      </c>
      <c r="C31" s="34" cm="1">
        <f t="array" ref="C31">_xlfn.XLOOKUP("EV",Table1[[#All],[Lot]],Table1[[#All],[Total Consumption Import  (kWh)]],0,0,1)*E11</f>
        <v>102.843</v>
      </c>
      <c r="D31" s="34" t="s">
        <v>995</v>
      </c>
      <c r="E31" s="35" cm="1">
        <f t="array" ref="E31">_xlfn.XLOOKUP($E$8,Table1[[#All],[Lot]],Table1[[#All],[EV Charger Income from Sales Equitable Distribution on UE ($)]],0,0,1)</f>
        <v>0</v>
      </c>
    </row>
    <row r="32" ht="30" customHeight="1" spans="1:5">
      <c r="A32" s="38" t="s">
        <v>1000</v>
      </c>
      <c r="B32" s="33">
        <f>IFERROR(Invoice39[[#This Row],[Amount due ($ Inc. GST)]]/Invoice39[[#This Row],[Usage]],0)</f>
        <v>0.22</v>
      </c>
      <c r="C32" s="34" cm="1">
        <f t="array" ref="C32">_xlfn.XLOOKUP("EV",Table1[[#All],[Lot]],Table1[[#All],[Total Consumption Import  (kWh)]],0,0,1)*E11</f>
        <v>102.843</v>
      </c>
      <c r="D32" s="34" t="s">
        <v>995</v>
      </c>
      <c r="E32" s="35" cm="1">
        <f t="array" ref="E32">_xlfn.XLOOKUP($E$8,Table1[[#All],[Lot]],Table1[[#All],[EV Charger Cost of Electricity Supply at P2P Rates ($)]],0,0,1)</f>
        <v>22.62546</v>
      </c>
    </row>
    <row r="33" ht="30" customHeight="1" spans="1:5">
      <c r="A33" s="38" t="s">
        <v>1001</v>
      </c>
      <c r="B33" s="33">
        <f>IFERROR(Invoice39[[#This Row],[Amount due ($ Inc. GST)]]/Invoice39[[#This Row],[Usage]],0)</f>
        <v>-0.22</v>
      </c>
      <c r="C33" s="34" cm="1">
        <f t="array" ref="C33">_xlfn.XLOOKUP($E$8,Table1[[#All],[Lot]],Table1[[#All],[EV Charger based upon % total export to battery (kWh)]],0,0,1)</f>
        <v>237.375746931957</v>
      </c>
      <c r="D33" s="34" t="s">
        <v>995</v>
      </c>
      <c r="E33" s="35" cm="1">
        <f t="array" ref="E33">_xlfn.XLOOKUP($E$8,Table1[[#All],[Lot]],Table1[[#All],[EV Charger based upon % total export ($)]],0,0,1)</f>
        <v>-52.2226643250305</v>
      </c>
    </row>
    <row r="34" ht="30" customHeight="1" spans="1:5">
      <c r="A34" s="38" t="s">
        <v>1002</v>
      </c>
      <c r="B34" s="33">
        <f>IFERROR(Invoice39[[#This Row],[Amount due ($ Inc. GST)]]/Invoice39[[#This Row],[Usage]],0)</f>
        <v>0</v>
      </c>
      <c r="C34" s="34" cm="1">
        <f t="array" ref="C34">_xlfn.XLOOKUP("EV",Table1[[#All],[Lot]],Table1[[#All],[Total Consumption Import  (kWh)]],0,0,1)*E11</f>
        <v>102.843</v>
      </c>
      <c r="D34" s="34" t="s">
        <v>995</v>
      </c>
      <c r="E34" s="35" cm="1">
        <f t="array" ref="E34">_xlfn.XLOOKUP($E$8,Table1[[#All],[Lot]],Table1[[#All],[Chargefox Commission on EV Charge Consumption Sales Cost Split by Unit Entitlement ($)]],0,0,1)</f>
        <v>0</v>
      </c>
    </row>
    <row r="35" ht="30" customHeight="1" spans="1:5">
      <c r="A35" s="39" t="s">
        <v>1003</v>
      </c>
      <c r="B35" s="48">
        <f>Invoice39[[#This Row],[Amount due ($ Inc. GST)]]/Invoice39[[#This Row],[Usage]]</f>
        <v>-0.955741394344378</v>
      </c>
      <c r="C35" s="49">
        <f>C24</f>
        <v>90</v>
      </c>
      <c r="D35" s="49" t="s">
        <v>989</v>
      </c>
      <c r="E35" s="50">
        <f>SUM(E27:E34)</f>
        <v>-86.016725490994</v>
      </c>
    </row>
    <row r="36" ht="30" customHeight="1" spans="1:5">
      <c r="A36" s="43" t="s">
        <v>1004</v>
      </c>
      <c r="B36" s="51"/>
      <c r="C36" s="52"/>
      <c r="D36" s="52"/>
      <c r="E36" s="53"/>
    </row>
    <row r="37" ht="30" customHeight="1" spans="1:5">
      <c r="A37" s="38" t="s">
        <v>1005</v>
      </c>
      <c r="B37" s="33">
        <f>IFERROR(Invoice39[[#This Row],[Amount due ($ Inc. GST)]]/Invoice39[[#This Row],[Usage]],0)</f>
        <v>0.22</v>
      </c>
      <c r="C37" s="34" cm="1">
        <f t="array" ref="C37">_xlfn.XLOOKUP($E$8,Table1[[#All],[Lot]],Table1[[#All],[Total P2P import (kWh)]],0,0,1)</f>
        <v>607</v>
      </c>
      <c r="D37" s="34" t="s">
        <v>995</v>
      </c>
      <c r="E37" s="35" cm="1">
        <f t="array" ref="E37">_xlfn.XLOOKUP($E$8,Table1[[#All],[Lot]],Table1[[#All],[P2P Import Cost ($)]],0,0,1)</f>
        <v>133.54</v>
      </c>
    </row>
    <row r="38" ht="30" customHeight="1" spans="1:5">
      <c r="A38" s="38" t="s">
        <v>1006</v>
      </c>
      <c r="B38" s="33">
        <f>IFERROR(Invoice39[[#This Row],[Amount due ($ Inc. GST)]]/Invoice39[[#This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IFERROR(Invoice39[[#This Row],[Amount due ($ Inc. GST)]]/Invoice39[[#This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Invoice39[[#This Row],[Amount due ($ Inc. GST)]]/Invoice39[[#This Row],[Usage]]</f>
        <v>1.48377777777778</v>
      </c>
      <c r="C40" s="49">
        <f>C35</f>
        <v>90</v>
      </c>
      <c r="D40" s="49" t="s">
        <v>989</v>
      </c>
      <c r="E40" s="50">
        <f>SUM(E37:E39)</f>
        <v>133.54</v>
      </c>
    </row>
    <row r="41" ht="30" customHeight="1" spans="1:5">
      <c r="A41" s="43" t="s">
        <v>1009</v>
      </c>
      <c r="B41" s="33"/>
      <c r="C41" s="34"/>
      <c r="D41" s="34"/>
      <c r="E41" s="46"/>
    </row>
    <row r="42" ht="30" customHeight="1" spans="1:5">
      <c r="A42" s="54" t="s">
        <v>1010</v>
      </c>
      <c r="B42" s="33">
        <f>IFERROR(Invoice39[[#This Row],[Amount due ($ Inc. GST)]]/Invoice39[[#This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IFERROR(Invoice39[[#This Row],[Amount due ($ Inc. GST)]]/Invoice39[[#This Row],[Usage]],0)</f>
        <v>-0.02</v>
      </c>
      <c r="C43" s="34" cm="1">
        <f t="array" ref="C43">_xlfn.XLOOKUP($E$8,Table1[[#All],[Lot]],Table1[[#All],[Borrowed Allowance Based on Unused Daily Allowance % (kWh)]],0,0,1)</f>
        <v>14.9687545695079</v>
      </c>
      <c r="D43" s="34" t="s">
        <v>995</v>
      </c>
      <c r="E43" s="35" cm="1">
        <f t="array" ref="E43">_xlfn.XLOOKUP($E$8,Table1[[#All],[Lot]],Table1[[#All],[Passive Compensation ($)]],0,0,1)</f>
        <v>-0.299375091390159</v>
      </c>
    </row>
    <row r="44" ht="30" customHeight="1" spans="1:5">
      <c r="A44" s="32" t="s">
        <v>1012</v>
      </c>
      <c r="B44" s="33">
        <f>IFERROR(Invoice39[[#This Row],[Amount due ($ Inc. GST)]]/Invoice39[[#This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IFERROR(Invoice39[[#This Row],[Amount due ($ Inc. GST)]]/Invoice39[[#This Row],[Usage]],0)</f>
        <v>0</v>
      </c>
      <c r="C45" s="49">
        <f>C40</f>
        <v>90</v>
      </c>
      <c r="D45" s="49" t="s">
        <v>989</v>
      </c>
      <c r="E45" s="50" t="e">
        <f>SUBTOTAL(109,E42:E44)</f>
        <v>#N/A</v>
      </c>
    </row>
    <row r="46" ht="30" customHeight="1" spans="1:5">
      <c r="A46" s="55" t="s">
        <v>1014</v>
      </c>
      <c r="B46" s="56">
        <f>IFERROR(Invoice39[[#This Row],[Amount due ($ Inc. GST)]]/Invoice39[[#This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e">
        <f>CONCATENATE("Please use payment reference: Surname Inv No i.e. ",IF(ISNUMBER(SEARCH("trust",A11)),_xlfn.TEXTBEFORE(A11," ",1),_xlfn.TEXTAFTER(A11," ",-1))," ",E6)</f>
        <v>#N/A</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1A7/0325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7</v>
      </c>
    </row>
    <row r="9" ht="18" customHeight="1" spans="1:5">
      <c r="A9" s="14"/>
      <c r="B9" s="8" t="s">
        <v>974</v>
      </c>
      <c r="C9" s="15"/>
      <c r="D9" s="15"/>
      <c r="E9" s="16">
        <f>VLOOKUP(E8,'Energy billing Mastersheet'!5:38,MATCH('Energy billing Mastersheet'!C4,'Energy billing Mastersheet'!4:4,0),FALSE)</f>
        <v>50002887</v>
      </c>
    </row>
    <row r="10" spans="1:5">
      <c r="A10" s="17" t="s">
        <v>975</v>
      </c>
      <c r="B10" s="8" t="s">
        <v>976</v>
      </c>
      <c r="C10" s="15"/>
      <c r="D10" s="15"/>
      <c r="E10" s="18" cm="1">
        <f t="array" ref="E10">INDEX(Table_Household_Alloc[Unit Entitlement],MATCH(1,(Table_Household_Alloc[Lot]=E8)*(Table_Household_Alloc[cluster]=E7),0))</f>
        <v>37</v>
      </c>
    </row>
    <row r="11" ht="15" customHeight="1" spans="1:5">
      <c r="A11" t="str" cm="1">
        <f t="array" ref="A11">INDEX(Table_Household_Alloc[Owner],MATCH(1,(Table_Household_Alloc[Lot]=E8)*(Table_Household_Alloc[cluster]=E7),0))</f>
        <v>Rio &amp; Alix Healey-­‐Diaz</v>
      </c>
      <c r="B11" s="19" t="s">
        <v>977</v>
      </c>
      <c r="C11" s="3"/>
      <c r="D11" s="3"/>
      <c r="E11" s="20" cm="1">
        <f t="array" ref="E11">INDEX(Table_Household_Alloc[UE % over Cluster],MATCH(1,(Table_Household_Alloc[Lot]=E8)*(Table_Household_Alloc[cluster]=E7),0))</f>
        <v>0.037</v>
      </c>
    </row>
    <row r="12" ht="15" customHeight="1" spans="1:5">
      <c r="A12" t="str" cm="1">
        <f t="array" ref="A12">INDEX(Table_Household_Alloc[Street Address],MATCH(1,(Table_Household_Alloc[Lot]=E8)*(Table_Household_Alloc[cluster]=E7),0))</f>
        <v>13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IFERROR(Invoice310[[#This Row],[Amount due ($ Inc. GST)]]/Invoice310[[#This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IFERROR(Invoice310[[#This Row],[Amount due ($ Inc. GST)]]/Invoice310[[#This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IFERROR(Invoice310[[#This Row],[Amount due ($ Inc. GST)]]/Invoice310[[#This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IFERROR(Invoice310[[#This Row],[Amount due ($ Inc. GST)]]/Invoice310[[#This Row],[Usage]],0)</f>
        <v>1.67222222222222</v>
      </c>
      <c r="C20" s="34">
        <v>1</v>
      </c>
      <c r="D20" s="34" t="s">
        <v>987</v>
      </c>
      <c r="E20" s="35" cm="1">
        <f t="array" ref="E20">_xlfn.XLOOKUP($E$8,Table1[[#All],[Lot]],Table1[[#All],[Amanda Energy Other fees ($)]],0,0,1)</f>
        <v>1.67222222222222</v>
      </c>
    </row>
    <row r="21" ht="30" customHeight="1" spans="1:5">
      <c r="A21" s="36" t="s">
        <v>859</v>
      </c>
      <c r="B21" s="33">
        <f>IFERROR(Invoice310[[#This Row],[Amount due ($ Inc. GST)]]/Invoice310[[#This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IFERROR(Invoice310[[#This Row],[Amount due ($ Inc. GST)]]/Invoice310[[#This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IFERROR(Invoice310[[#This Row],[Amount due ($ Inc. GST)]]/Invoice310[[#This Row],[Usage]],0)</f>
        <v>0</v>
      </c>
      <c r="C23" s="34">
        <f>C21</f>
        <v>90</v>
      </c>
      <c r="D23" s="34" t="s">
        <v>989</v>
      </c>
      <c r="E23" s="35" cm="1">
        <f t="array" ref="E23">_xlfn.XLOOKUP($E$8,Table1[[#All],[Lot]],Table1[[#All],[Chargefox Daily Supply Charge ($)]],0,0,1)</f>
        <v>0</v>
      </c>
    </row>
    <row r="24" ht="30" customHeight="1" spans="1:5">
      <c r="A24" s="38" t="s">
        <v>991</v>
      </c>
      <c r="B24" s="33">
        <f>IFERROR(Invoice310[[#This Row],[Amount due ($ Inc. GST)]]/Invoice310[[#This Row],[Usage]],0)</f>
        <v>0</v>
      </c>
      <c r="C24" s="34">
        <f>C21</f>
        <v>90</v>
      </c>
      <c r="D24" s="34" t="s">
        <v>989</v>
      </c>
      <c r="E24" s="35" cm="1">
        <f t="array" ref="E24">_xlfn.XLOOKUP($E$8,Table1[[#All],[Lot]],Table1[[#All],[SwitchdIn Cost Daily Supply Charge ($)]],0,0,1)</f>
        <v>0</v>
      </c>
    </row>
    <row r="25" ht="30" customHeight="1" spans="1:5">
      <c r="A25" s="39" t="s">
        <v>992</v>
      </c>
      <c r="B25" s="40">
        <f>IFERROR(Invoice310[[#This Row],[Amount due ($ Inc. GST)]]/Invoice310[[#This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IFERROR(Invoice310[[#This Row],[Amount due ($ Inc. GST)]]/Invoice310[[#This Row],[Usage]],0)</f>
        <v>0.22</v>
      </c>
      <c r="C27" s="34" cm="1">
        <f t="array" ref="C27">_xlfn.XLOOKUP($E$8,Table1[[#All],[Lot]],Table1[[#All],[Common Services based on Split per Unit Entitlement % to battery (kWh)]],0,0,1)</f>
        <v>24.346</v>
      </c>
      <c r="D27" s="34" t="s">
        <v>995</v>
      </c>
      <c r="E27" s="35" cm="1">
        <f t="array" ref="E27">_xlfn.XLOOKUP($E$8,Table1[[#All],[Lot]],Table1[[#All],[Common Services Cost Split per Unit Entitlement at P2P rate ($)]],0,0,1)</f>
        <v>5.35612</v>
      </c>
    </row>
    <row r="28" ht="30" customHeight="1" spans="1:7">
      <c r="A28" s="38" t="s">
        <v>996</v>
      </c>
      <c r="B28" s="33">
        <f>IFERROR(Invoice310[[#This Row],[Amount due ($ Inc. GST)]]/Invoice310[[#This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IFERROR(Invoice310[[#This Row],[Amount due ($ Inc. GST)]]/Invoice310[[#This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IFERROR(Invoice310[[#This Row],[Amount due ($ Inc. GST)]]/Invoice310[[#This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IFERROR(Invoice310[[#This Row],[Amount due ($ Inc. GST)]]/Invoice310[[#This Row],[Usage]],0)</f>
        <v>0</v>
      </c>
      <c r="C31" s="34" cm="1">
        <f t="array" ref="C31">_xlfn.XLOOKUP("EV",Table1[[#All],[Lot]],Table1[[#All],[Total Consumption Import  (kWh)]],0,0,1)*E11</f>
        <v>97.569</v>
      </c>
      <c r="D31" s="34" t="s">
        <v>995</v>
      </c>
      <c r="E31" s="35" cm="1">
        <f t="array" ref="E31">_xlfn.XLOOKUP($E$8,Table1[[#All],[Lot]],Table1[[#All],[EV Charger Income from Sales Equitable Distribution on UE ($)]],0,0,1)</f>
        <v>0</v>
      </c>
    </row>
    <row r="32" ht="30" customHeight="1" spans="1:5">
      <c r="A32" s="38" t="s">
        <v>1000</v>
      </c>
      <c r="B32" s="33">
        <f>IFERROR(Invoice310[[#This Row],[Amount due ($ Inc. GST)]]/Invoice310[[#This Row],[Usage]],0)</f>
        <v>0.22</v>
      </c>
      <c r="C32" s="34" cm="1">
        <f t="array" ref="C32">_xlfn.XLOOKUP("EV",Table1[[#All],[Lot]],Table1[[#All],[Total Consumption Import  (kWh)]],0,0,1)*E11</f>
        <v>97.569</v>
      </c>
      <c r="D32" s="34" t="s">
        <v>995</v>
      </c>
      <c r="E32" s="35" cm="1">
        <f t="array" ref="E32">_xlfn.XLOOKUP($E$8,Table1[[#All],[Lot]],Table1[[#All],[EV Charger Cost of Electricity Supply at P2P Rates ($)]],0,0,1)</f>
        <v>21.46518</v>
      </c>
    </row>
    <row r="33" ht="30" customHeight="1" spans="1:5">
      <c r="A33" s="38" t="s">
        <v>1001</v>
      </c>
      <c r="B33" s="33">
        <f>IFERROR(Invoice310[[#This Row],[Amount due ($ Inc. GST)]]/Invoice310[[#This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IFERROR(Invoice310[[#This Row],[Amount due ($ Inc. GST)]]/Invoice310[[#This Row],[Usage]],0)</f>
        <v>0</v>
      </c>
      <c r="C34" s="34" cm="1">
        <f t="array" ref="C34">_xlfn.XLOOKUP("EV",Table1[[#All],[Lot]],Table1[[#All],[Total Consumption Import  (kWh)]],0,0,1)*E11</f>
        <v>97.569</v>
      </c>
      <c r="D34" s="34" t="s">
        <v>995</v>
      </c>
      <c r="E34" s="35" cm="1">
        <f t="array" ref="E34">_xlfn.XLOOKUP($E$8,Table1[[#All],[Lot]],Table1[[#All],[Chargefox Commission on EV Charge Consumption Sales Cost Split by Unit Entitlement ($)]],0,0,1)</f>
        <v>0</v>
      </c>
    </row>
    <row r="35" ht="30" customHeight="1" spans="1:5">
      <c r="A35" s="39" t="s">
        <v>1003</v>
      </c>
      <c r="B35" s="48">
        <f>Invoice310[[#This Row],[Amount due ($ Inc. GST)]]/Invoice310[[#This Row],[Usage]]</f>
        <v>0.298014444444444</v>
      </c>
      <c r="C35" s="49">
        <f>C24</f>
        <v>90</v>
      </c>
      <c r="D35" s="49" t="s">
        <v>989</v>
      </c>
      <c r="E35" s="50">
        <f>SUM(E27:E34)</f>
        <v>26.8213</v>
      </c>
    </row>
    <row r="36" ht="30" customHeight="1" spans="1:5">
      <c r="A36" s="43" t="s">
        <v>1004</v>
      </c>
      <c r="B36" s="51"/>
      <c r="C36" s="52"/>
      <c r="D36" s="52"/>
      <c r="E36" s="53"/>
    </row>
    <row r="37" ht="30" customHeight="1" spans="1:5">
      <c r="A37" s="38" t="s">
        <v>1005</v>
      </c>
      <c r="B37" s="33">
        <f>IFERROR(Invoice310[[#This Row],[Amount due ($ Inc. GST)]]/Invoice310[[#This Row],[Usage]],0)</f>
        <v>0.36</v>
      </c>
      <c r="C37" s="34" cm="1">
        <f t="array" ref="C37">_xlfn.XLOOKUP($E$8,Table1[[#All],[Lot]],Table1[[#All],[Total P2P import (kWh)]],0,0,1)</f>
        <v>592</v>
      </c>
      <c r="D37" s="34" t="s">
        <v>995</v>
      </c>
      <c r="E37" s="35" cm="1">
        <f t="array" ref="E37">_xlfn.XLOOKUP($E$8,Table1[[#All],[Lot]],Table1[[#All],[P2P Import Cost ($)]],0,0,1)</f>
        <v>213.12</v>
      </c>
    </row>
    <row r="38" ht="30" customHeight="1" spans="1:5">
      <c r="A38" s="38" t="s">
        <v>1006</v>
      </c>
      <c r="B38" s="33">
        <f>IFERROR(Invoice310[[#This Row],[Amount due ($ Inc. GST)]]/Invoice310[[#This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IFERROR(Invoice310[[#This Row],[Amount due ($ Inc. GST)]]/Invoice310[[#This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Invoice310[[#This Row],[Amount due ($ Inc. GST)]]/Invoice310[[#This Row],[Usage]]</f>
        <v>2.368</v>
      </c>
      <c r="C40" s="49">
        <f>C35</f>
        <v>90</v>
      </c>
      <c r="D40" s="49" t="s">
        <v>989</v>
      </c>
      <c r="E40" s="50">
        <f>SUM(E37:E39)</f>
        <v>213.12</v>
      </c>
    </row>
    <row r="41" ht="30" customHeight="1" spans="1:5">
      <c r="A41" s="43" t="s">
        <v>1009</v>
      </c>
      <c r="B41" s="33"/>
      <c r="C41" s="34"/>
      <c r="D41" s="34"/>
      <c r="E41" s="46"/>
    </row>
    <row r="42" ht="30" customHeight="1" spans="1:5">
      <c r="A42" s="54" t="s">
        <v>1010</v>
      </c>
      <c r="B42" s="33">
        <f>IFERROR(Invoice310[[#This Row],[Amount due ($ Inc. GST)]]/Invoice310[[#This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IFERROR(Invoice310[[#This Row],[Amount due ($ Inc. GST)]]/Invoice310[[#This Row],[Usage]],0)</f>
        <v>-0.02</v>
      </c>
      <c r="C43" s="34" cm="1">
        <f t="array" ref="C43">_xlfn.XLOOKUP($E$8,Table1[[#All],[Lot]],Table1[[#All],[Borrowed Allowance Based on Unused Daily Allowance % (kWh)]],0,0,1)</f>
        <v>13.0560369861349</v>
      </c>
      <c r="D43" s="34" t="s">
        <v>995</v>
      </c>
      <c r="E43" s="35" cm="1">
        <f t="array" ref="E43">_xlfn.XLOOKUP($E$8,Table1[[#All],[Lot]],Table1[[#All],[Passive Compensation ($)]],0,0,1)</f>
        <v>-0.261120739722698</v>
      </c>
    </row>
    <row r="44" ht="30" customHeight="1" spans="1:5">
      <c r="A44" s="32" t="s">
        <v>1012</v>
      </c>
      <c r="B44" s="33">
        <f>IFERROR(Invoice310[[#This Row],[Amount due ($ Inc. GST)]]/Invoice310[[#This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IFERROR(Invoice310[[#This Row],[Amount due ($ Inc. GST)]]/Invoice310[[#This Row],[Usage]],0)</f>
        <v>0</v>
      </c>
      <c r="C45" s="49">
        <f>C40</f>
        <v>90</v>
      </c>
      <c r="D45" s="49" t="s">
        <v>989</v>
      </c>
      <c r="E45" s="50" t="e">
        <f>SUBTOTAL(109,E42:E44)</f>
        <v>#N/A</v>
      </c>
    </row>
    <row r="46" ht="30" customHeight="1" spans="1:5">
      <c r="A46" s="55" t="s">
        <v>1014</v>
      </c>
      <c r="B46" s="56">
        <f>IFERROR(Invoice310[[#This Row],[Amount due ($ Inc. GST)]]/Invoice310[[#This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Healey-­‐Diaz 1A7/0325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1A8/0325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8</v>
      </c>
    </row>
    <row r="9" ht="18" customHeight="1" spans="1:5">
      <c r="A9" s="14"/>
      <c r="B9" s="8" t="s">
        <v>974</v>
      </c>
      <c r="C9" s="15"/>
      <c r="D9" s="15"/>
      <c r="E9" s="16">
        <f>VLOOKUP(E8,'Energy billing Mastersheet'!5:38,MATCH('Energy billing Mastersheet'!C4,'Energy billing Mastersheet'!4:4,0),FALSE)</f>
        <v>50002846</v>
      </c>
    </row>
    <row r="10" spans="1:5">
      <c r="A10" s="17" t="s">
        <v>975</v>
      </c>
      <c r="B10" s="8" t="s">
        <v>976</v>
      </c>
      <c r="C10" s="15"/>
      <c r="D10" s="15"/>
      <c r="E10" s="18" cm="1">
        <f t="array" ref="E10">INDEX(Table_Household_Alloc[Unit Entitlement],MATCH(1,(Table_Household_Alloc[Lot]=E8)*(Table_Household_Alloc[cluster]=E7),0))</f>
        <v>36</v>
      </c>
    </row>
    <row r="11" ht="15" customHeight="1" spans="1:5">
      <c r="A11" t="str" cm="1">
        <f t="array" ref="A11">INDEX(Table_Household_Alloc[Owner],MATCH(1,(Table_Household_Alloc[Lot]=E8)*(Table_Household_Alloc[cluster]=E7),0))</f>
        <v>Marcus Browne &amp; Sook-­‐JaRebecchi</v>
      </c>
      <c r="B11" s="19" t="s">
        <v>977</v>
      </c>
      <c r="C11" s="3"/>
      <c r="D11" s="3"/>
      <c r="E11" s="20" cm="1">
        <f t="array" ref="E11">INDEX(Table_Household_Alloc[UE % over Cluster],MATCH(1,(Table_Household_Alloc[Lot]=E8)*(Table_Household_Alloc[cluster]=E7),0))</f>
        <v>0.036</v>
      </c>
    </row>
    <row r="12" ht="15" customHeight="1" spans="1:5">
      <c r="A12" t="str" cm="1">
        <f t="array" ref="A12">INDEX(Table_Household_Alloc[Street Address],MATCH(1,(Table_Household_Alloc[Lot]=E8)*(Table_Household_Alloc[cluster]=E7),0))</f>
        <v>15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IFERROR(Invoice311[[#This Row],[Amount due ($ Inc. GST)]]/Invoice311[[#This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IFERROR(Invoice311[[#This Row],[Amount due ($ Inc. GST)]]/Invoice311[[#This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IFERROR(Invoice311[[#This Row],[Amount due ($ Inc. GST)]]/Invoice311[[#This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IFERROR(Invoice311[[#This Row],[Amount due ($ Inc. GST)]]/Invoice311[[#This Row],[Usage]],0)</f>
        <v>1.67222222222222</v>
      </c>
      <c r="C20" s="34">
        <v>1</v>
      </c>
      <c r="D20" s="34" t="s">
        <v>987</v>
      </c>
      <c r="E20" s="35" cm="1">
        <f t="array" ref="E20">_xlfn.XLOOKUP($E$8,Table1[[#All],[Lot]],Table1[[#All],[Amanda Energy Other fees ($)]],0,0,1)</f>
        <v>1.67222222222222</v>
      </c>
    </row>
    <row r="21" ht="30" customHeight="1" spans="1:5">
      <c r="A21" s="36" t="s">
        <v>859</v>
      </c>
      <c r="B21" s="33">
        <f>IFERROR(Invoice311[[#This Row],[Amount due ($ Inc. GST)]]/Invoice311[[#This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IFERROR(Invoice311[[#This Row],[Amount due ($ Inc. GST)]]/Invoice311[[#This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IFERROR(Invoice311[[#This Row],[Amount due ($ Inc. GST)]]/Invoice311[[#This Row],[Usage]],0)</f>
        <v>0</v>
      </c>
      <c r="C23" s="34">
        <f>C21</f>
        <v>90</v>
      </c>
      <c r="D23" s="34" t="s">
        <v>989</v>
      </c>
      <c r="E23" s="35" cm="1">
        <f t="array" ref="E23">_xlfn.XLOOKUP($E$8,Table1[[#All],[Lot]],Table1[[#All],[Chargefox Daily Supply Charge ($)]],0,0,1)</f>
        <v>0</v>
      </c>
    </row>
    <row r="24" ht="30" customHeight="1" spans="1:5">
      <c r="A24" s="38" t="s">
        <v>991</v>
      </c>
      <c r="B24" s="33">
        <f>IFERROR(Invoice311[[#This Row],[Amount due ($ Inc. GST)]]/Invoice311[[#This Row],[Usage]],0)</f>
        <v>0</v>
      </c>
      <c r="C24" s="34">
        <f>C21</f>
        <v>90</v>
      </c>
      <c r="D24" s="34" t="s">
        <v>989</v>
      </c>
      <c r="E24" s="35" cm="1">
        <f t="array" ref="E24">_xlfn.XLOOKUP($E$8,Table1[[#All],[Lot]],Table1[[#All],[SwitchdIn Cost Daily Supply Charge ($)]],0,0,1)</f>
        <v>0</v>
      </c>
    </row>
    <row r="25" ht="30" customHeight="1" spans="1:5">
      <c r="A25" s="39" t="s">
        <v>992</v>
      </c>
      <c r="B25" s="40">
        <f>IFERROR(Invoice311[[#This Row],[Amount due ($ Inc. GST)]]/Invoice311[[#This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IFERROR(Invoice311[[#This Row],[Amount due ($ Inc. GST)]]/Invoice311[[#This Row],[Usage]],0)</f>
        <v>0.22</v>
      </c>
      <c r="C27" s="34" cm="1">
        <f t="array" ref="C27">_xlfn.XLOOKUP($E$8,Table1[[#All],[Lot]],Table1[[#All],[Common Services based on Split per Unit Entitlement % to battery (kWh)]],0,0,1)</f>
        <v>23.688</v>
      </c>
      <c r="D27" s="34" t="s">
        <v>995</v>
      </c>
      <c r="E27" s="35" cm="1">
        <f t="array" ref="E27">_xlfn.XLOOKUP($E$8,Table1[[#All],[Lot]],Table1[[#All],[Common Services Cost Split per Unit Entitlement at P2P rate ($)]],0,0,1)</f>
        <v>5.21136</v>
      </c>
    </row>
    <row r="28" ht="30" customHeight="1" spans="1:7">
      <c r="A28" s="38" t="s">
        <v>996</v>
      </c>
      <c r="B28" s="33">
        <f>IFERROR(Invoice311[[#This Row],[Amount due ($ Inc. GST)]]/Invoice311[[#This Row],[Usage]],0)</f>
        <v>-0.22</v>
      </c>
      <c r="C28" s="34" cm="1">
        <f t="array" ref="C28">_xlfn.XLOOKUP($E$8,Table1[[#All],[Lot]],Table1[[#All],[Common Service based upon % total export to battery (kWh)]],0,0,1)</f>
        <v>34.6397378509777</v>
      </c>
      <c r="D28" s="34" t="s">
        <v>995</v>
      </c>
      <c r="E28" s="35" cm="1">
        <f t="array" ref="E28">_xlfn.XLOOKUP($E$8,Table1[[#All],[Lot]],Table1[[#All],[Common Service Earning based upon % total export to Load ($)]],0,0,1)</f>
        <v>-7.62074232721509</v>
      </c>
      <c r="G28" s="47"/>
    </row>
    <row r="29" ht="30" customHeight="1" spans="1:7">
      <c r="A29" s="38" t="s">
        <v>997</v>
      </c>
      <c r="B29" s="33">
        <f>IFERROR(Invoice311[[#This Row],[Amount due ($ Inc. GST)]]/Invoice311[[#This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IFERROR(Invoice311[[#This Row],[Amount due ($ Inc. GST)]]/Invoice311[[#This Row],[Usage]],0)</f>
        <v>-0.22</v>
      </c>
      <c r="C30" s="34" cm="1">
        <f t="array" ref="C30">_xlfn.XLOOKUP($E$8,Table1[[#All],[Lot]],Table1[[#All],[Axillary Battery Losses based upon Adjusted % total export (kWh)]],0,0,1)</f>
        <v>130.34649075839</v>
      </c>
      <c r="D30" s="34" t="s">
        <v>995</v>
      </c>
      <c r="E30" s="35" cm="1">
        <f t="array" ref="E30">_xlfn.XLOOKUP($E$8,Table1[[#All],[Lot]],Table1[[#All],[Axillary Battery Losses based upon % total export  ($)]],0,0,1)</f>
        <v>-28.6762279668459</v>
      </c>
    </row>
    <row r="31" ht="30" customHeight="1" spans="1:5">
      <c r="A31" s="38" t="s">
        <v>999</v>
      </c>
      <c r="B31" s="33">
        <f>IFERROR(Invoice311[[#This Row],[Amount due ($ Inc. GST)]]/Invoice311[[#This Row],[Usage]],0)</f>
        <v>0</v>
      </c>
      <c r="C31" s="34" cm="1">
        <f t="array" ref="C31">_xlfn.XLOOKUP("EV",Table1[[#All],[Lot]],Table1[[#All],[Total Consumption Import  (kWh)]],0,0,1)*E11</f>
        <v>94.932</v>
      </c>
      <c r="D31" s="34" t="s">
        <v>995</v>
      </c>
      <c r="E31" s="35" cm="1">
        <f t="array" ref="E31">_xlfn.XLOOKUP($E$8,Table1[[#All],[Lot]],Table1[[#All],[EV Charger Income from Sales Equitable Distribution on UE ($)]],0,0,1)</f>
        <v>0</v>
      </c>
    </row>
    <row r="32" ht="30" customHeight="1" spans="1:5">
      <c r="A32" s="38" t="s">
        <v>1000</v>
      </c>
      <c r="B32" s="33">
        <f>IFERROR(Invoice311[[#This Row],[Amount due ($ Inc. GST)]]/Invoice311[[#This Row],[Usage]],0)</f>
        <v>0.22</v>
      </c>
      <c r="C32" s="34" cm="1">
        <f t="array" ref="C32">_xlfn.XLOOKUP("EV",Table1[[#All],[Lot]],Table1[[#All],[Total Consumption Import  (kWh)]],0,0,1)*E11</f>
        <v>94.932</v>
      </c>
      <c r="D32" s="34" t="s">
        <v>995</v>
      </c>
      <c r="E32" s="35" cm="1">
        <f t="array" ref="E32">_xlfn.XLOOKUP($E$8,Table1[[#All],[Lot]],Table1[[#All],[EV Charger Cost of Electricity Supply at P2P Rates ($)]],0,0,1)</f>
        <v>20.88504</v>
      </c>
    </row>
    <row r="33" ht="30" customHeight="1" spans="1:5">
      <c r="A33" s="38" t="s">
        <v>1001</v>
      </c>
      <c r="B33" s="33">
        <f>IFERROR(Invoice311[[#This Row],[Amount due ($ Inc. GST)]]/Invoice311[[#This Row],[Usage]],0)</f>
        <v>-0.22</v>
      </c>
      <c r="C33" s="34" cm="1">
        <f t="array" ref="C33">_xlfn.XLOOKUP($E$8,Table1[[#All],[Lot]],Table1[[#All],[EV Charger based upon % total export to battery (kWh)]],0,0,1)</f>
        <v>138.822171296395</v>
      </c>
      <c r="D33" s="34" t="s">
        <v>995</v>
      </c>
      <c r="E33" s="35" cm="1">
        <f t="array" ref="E33">_xlfn.XLOOKUP($E$8,Table1[[#All],[Lot]],Table1[[#All],[EV Charger based upon % total export ($)]],0,0,1)</f>
        <v>-30.540877685207</v>
      </c>
    </row>
    <row r="34" ht="30" customHeight="1" spans="1:5">
      <c r="A34" s="38" t="s">
        <v>1002</v>
      </c>
      <c r="B34" s="33">
        <f>IFERROR(Invoice311[[#This Row],[Amount due ($ Inc. GST)]]/Invoice311[[#This Row],[Usage]],0)</f>
        <v>0</v>
      </c>
      <c r="C34" s="34" cm="1">
        <f t="array" ref="C34">_xlfn.XLOOKUP("EV",Table1[[#All],[Lot]],Table1[[#All],[Total Consumption Import  (kWh)]],0,0,1)*E11</f>
        <v>94.932</v>
      </c>
      <c r="D34" s="34" t="s">
        <v>995</v>
      </c>
      <c r="E34" s="35" cm="1">
        <f t="array" ref="E34">_xlfn.XLOOKUP($E$8,Table1[[#All],[Lot]],Table1[[#All],[Chargefox Commission on EV Charge Consumption Sales Cost Split by Unit Entitlement ($)]],0,0,1)</f>
        <v>0</v>
      </c>
    </row>
    <row r="35" ht="30" customHeight="1" spans="1:5">
      <c r="A35" s="39" t="s">
        <v>1003</v>
      </c>
      <c r="B35" s="48">
        <f>Invoice311[[#This Row],[Amount due ($ Inc. GST)]]/Invoice311[[#This Row],[Usage]]</f>
        <v>-0.4526827553252</v>
      </c>
      <c r="C35" s="49">
        <f>C24</f>
        <v>90</v>
      </c>
      <c r="D35" s="49" t="s">
        <v>989</v>
      </c>
      <c r="E35" s="50">
        <f>SUM(E27:E34)</f>
        <v>-40.741447979268</v>
      </c>
    </row>
    <row r="36" ht="30" customHeight="1" spans="1:5">
      <c r="A36" s="43" t="s">
        <v>1004</v>
      </c>
      <c r="B36" s="51"/>
      <c r="C36" s="52"/>
      <c r="D36" s="52"/>
      <c r="E36" s="53"/>
    </row>
    <row r="37" ht="30" customHeight="1" spans="1:5">
      <c r="A37" s="38" t="s">
        <v>1005</v>
      </c>
      <c r="B37" s="33">
        <f>IFERROR(Invoice311[[#This Row],[Amount due ($ Inc. GST)]]/Invoice311[[#This Row],[Usage]],0)</f>
        <v>0.22</v>
      </c>
      <c r="C37" s="34" cm="1">
        <f t="array" ref="C37">_xlfn.XLOOKUP($E$8,Table1[[#All],[Lot]],Table1[[#All],[Total P2P import (kWh)]],0,0,1)</f>
        <v>583</v>
      </c>
      <c r="D37" s="34" t="s">
        <v>995</v>
      </c>
      <c r="E37" s="35" cm="1">
        <f t="array" ref="E37">_xlfn.XLOOKUP($E$8,Table1[[#All],[Lot]],Table1[[#All],[P2P Import Cost ($)]],0,0,1)</f>
        <v>128.26</v>
      </c>
    </row>
    <row r="38" ht="30" customHeight="1" spans="1:5">
      <c r="A38" s="38" t="s">
        <v>1006</v>
      </c>
      <c r="B38" s="33">
        <f>IFERROR(Invoice311[[#This Row],[Amount due ($ Inc. GST)]]/Invoice311[[#This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IFERROR(Invoice311[[#This Row],[Amount due ($ Inc. GST)]]/Invoice311[[#This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Invoice311[[#This Row],[Amount due ($ Inc. GST)]]/Invoice311[[#This Row],[Usage]]</f>
        <v>1.42511111111111</v>
      </c>
      <c r="C40" s="49">
        <f>C35</f>
        <v>90</v>
      </c>
      <c r="D40" s="49" t="s">
        <v>989</v>
      </c>
      <c r="E40" s="50">
        <f>SUM(E37:E39)</f>
        <v>128.26</v>
      </c>
    </row>
    <row r="41" ht="30" customHeight="1" spans="1:5">
      <c r="A41" s="43" t="s">
        <v>1009</v>
      </c>
      <c r="B41" s="33"/>
      <c r="C41" s="34"/>
      <c r="D41" s="34"/>
      <c r="E41" s="46"/>
    </row>
    <row r="42" ht="30" customHeight="1" spans="1:5">
      <c r="A42" s="54" t="s">
        <v>1010</v>
      </c>
      <c r="B42" s="33">
        <f>IFERROR(Invoice311[[#This Row],[Amount due ($ Inc. GST)]]/Invoice311[[#This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IFERROR(Invoice311[[#This Row],[Amount due ($ Inc. GST)]]/Invoice311[[#This Row],[Usage]],0)</f>
        <v>-0.02</v>
      </c>
      <c r="C43" s="34" cm="1">
        <f t="array" ref="C43">_xlfn.XLOOKUP($E$8,Table1[[#All],[Lot]],Table1[[#All],[Borrowed Allowance Based on Unused Daily Allowance % (kWh)]],0,0,1)</f>
        <v>12.2061769463065</v>
      </c>
      <c r="D43" s="34" t="s">
        <v>995</v>
      </c>
      <c r="E43" s="35" cm="1">
        <f t="array" ref="E43">_xlfn.XLOOKUP($E$8,Table1[[#All],[Lot]],Table1[[#All],[Passive Compensation ($)]],0,0,1)</f>
        <v>-0.244123538926131</v>
      </c>
    </row>
    <row r="44" ht="30" customHeight="1" spans="1:5">
      <c r="A44" s="32" t="s">
        <v>1012</v>
      </c>
      <c r="B44" s="33">
        <f>IFERROR(Invoice311[[#This Row],[Amount due ($ Inc. GST)]]/Invoice311[[#This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IFERROR(Invoice311[[#This Row],[Amount due ($ Inc. GST)]]/Invoice311[[#This Row],[Usage]],0)</f>
        <v>0</v>
      </c>
      <c r="C45" s="49">
        <f>C40</f>
        <v>90</v>
      </c>
      <c r="D45" s="49" t="s">
        <v>989</v>
      </c>
      <c r="E45" s="50" t="e">
        <f>SUBTOTAL(109,E42:E44)</f>
        <v>#N/A</v>
      </c>
    </row>
    <row r="46" ht="30" customHeight="1" spans="1:5">
      <c r="A46" s="55" t="s">
        <v>1014</v>
      </c>
      <c r="B46" s="56">
        <f>IFERROR(Invoice311[[#This Row],[Amount due ($ Inc. GST)]]/Invoice311[[#This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Sook-­‐JaRebecchi 1A8/0325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1A9/0325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9</v>
      </c>
    </row>
    <row r="9" ht="18" customHeight="1" spans="1:5">
      <c r="A9" s="14"/>
      <c r="B9" s="8" t="s">
        <v>974</v>
      </c>
      <c r="C9" s="15"/>
      <c r="D9" s="15"/>
      <c r="E9" s="16">
        <f>VLOOKUP(E8,'Energy billing Mastersheet'!5:38,MATCH('Energy billing Mastersheet'!C4,'Energy billing Mastersheet'!4:4,0),FALSE)</f>
        <v>50002885</v>
      </c>
    </row>
    <row r="10" spans="1:5">
      <c r="A10" s="17" t="s">
        <v>975</v>
      </c>
      <c r="B10" s="8" t="s">
        <v>976</v>
      </c>
      <c r="C10" s="15"/>
      <c r="D10" s="15"/>
      <c r="E10" s="18" cm="1">
        <f t="array" ref="E10">INDEX(Table_Household_Alloc[Unit Entitlement],MATCH(1,(Table_Household_Alloc[Lot]=E8)*(Table_Household_Alloc[cluster]=E7),0))</f>
        <v>36</v>
      </c>
    </row>
    <row r="11" ht="15" customHeight="1" spans="1:5">
      <c r="A11" t="str" cm="1">
        <f t="array" ref="A11">INDEX(Table_Household_Alloc[Owner],MATCH(1,(Table_Household_Alloc[Lot]=E8)*(Table_Household_Alloc[cluster]=E7),0))</f>
        <v>Jasmine Heah</v>
      </c>
      <c r="B11" s="19" t="s">
        <v>977</v>
      </c>
      <c r="C11" s="3"/>
      <c r="D11" s="3"/>
      <c r="E11" s="20" cm="1">
        <f t="array" ref="E11">INDEX(Table_Household_Alloc[UE % over Cluster],MATCH(1,(Table_Household_Alloc[Lot]=E8)*(Table_Household_Alloc[cluster]=E7),0))</f>
        <v>0.036</v>
      </c>
    </row>
    <row r="12" ht="15" customHeight="1" spans="1:5">
      <c r="A12" t="str" cm="1">
        <f t="array" ref="A12">INDEX(Table_Household_Alloc[Street Address],MATCH(1,(Table_Household_Alloc[Lot]=E8)*(Table_Household_Alloc[cluster]=E7),0))</f>
        <v>17 Yornitj Grove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IFERROR(Invoice312[[#This Row],[Amount due ($ Inc. GST)]]/Invoice312[[#This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IFERROR(Invoice312[[#This Row],[Amount due ($ Inc. GST)]]/Invoice312[[#This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IFERROR(Invoice312[[#This Row],[Amount due ($ Inc. GST)]]/Invoice312[[#This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IFERROR(Invoice312[[#This Row],[Amount due ($ Inc. GST)]]/Invoice312[[#This Row],[Usage]],0)</f>
        <v>1.67222222222222</v>
      </c>
      <c r="C20" s="34">
        <v>1</v>
      </c>
      <c r="D20" s="34" t="s">
        <v>987</v>
      </c>
      <c r="E20" s="35" cm="1">
        <f t="array" ref="E20">_xlfn.XLOOKUP($E$8,Table1[[#All],[Lot]],Table1[[#All],[Amanda Energy Other fees ($)]],0,0,1)</f>
        <v>1.67222222222222</v>
      </c>
    </row>
    <row r="21" ht="30" customHeight="1" spans="1:5">
      <c r="A21" s="36" t="s">
        <v>859</v>
      </c>
      <c r="B21" s="33">
        <f>IFERROR(Invoice312[[#This Row],[Amount due ($ Inc. GST)]]/Invoice312[[#This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IFERROR(Invoice312[[#This Row],[Amount due ($ Inc. GST)]]/Invoice312[[#This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IFERROR(Invoice312[[#This Row],[Amount due ($ Inc. GST)]]/Invoice312[[#This Row],[Usage]],0)</f>
        <v>0</v>
      </c>
      <c r="C23" s="34">
        <f>C21</f>
        <v>90</v>
      </c>
      <c r="D23" s="34" t="s">
        <v>989</v>
      </c>
      <c r="E23" s="35" cm="1">
        <f t="array" ref="E23">_xlfn.XLOOKUP($E$8,Table1[[#All],[Lot]],Table1[[#All],[Chargefox Daily Supply Charge ($)]],0,0,1)</f>
        <v>0</v>
      </c>
    </row>
    <row r="24" ht="30" customHeight="1" spans="1:5">
      <c r="A24" s="38" t="s">
        <v>991</v>
      </c>
      <c r="B24" s="33">
        <f>IFERROR(Invoice312[[#This Row],[Amount due ($ Inc. GST)]]/Invoice312[[#This Row],[Usage]],0)</f>
        <v>0</v>
      </c>
      <c r="C24" s="34">
        <f>C21</f>
        <v>90</v>
      </c>
      <c r="D24" s="34" t="s">
        <v>989</v>
      </c>
      <c r="E24" s="35" cm="1">
        <f t="array" ref="E24">_xlfn.XLOOKUP($E$8,Table1[[#All],[Lot]],Table1[[#All],[SwitchdIn Cost Daily Supply Charge ($)]],0,0,1)</f>
        <v>0</v>
      </c>
    </row>
    <row r="25" ht="30" customHeight="1" spans="1:5">
      <c r="A25" s="39" t="s">
        <v>992</v>
      </c>
      <c r="B25" s="40">
        <f>IFERROR(Invoice312[[#This Row],[Amount due ($ Inc. GST)]]/Invoice312[[#This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IFERROR(Invoice312[[#This Row],[Amount due ($ Inc. GST)]]/Invoice312[[#This Row],[Usage]],0)</f>
        <v>0.22</v>
      </c>
      <c r="C27" s="34" cm="1">
        <f t="array" ref="C27">_xlfn.XLOOKUP($E$8,Table1[[#All],[Lot]],Table1[[#All],[Common Services based on Split per Unit Entitlement % to battery (kWh)]],0,0,1)</f>
        <v>23.688</v>
      </c>
      <c r="D27" s="34" t="s">
        <v>995</v>
      </c>
      <c r="E27" s="35" cm="1">
        <f t="array" ref="E27">_xlfn.XLOOKUP($E$8,Table1[[#All],[Lot]],Table1[[#All],[Common Services Cost Split per Unit Entitlement at P2P rate ($)]],0,0,1)</f>
        <v>5.21136</v>
      </c>
    </row>
    <row r="28" ht="30" customHeight="1" spans="1:7">
      <c r="A28" s="38" t="s">
        <v>996</v>
      </c>
      <c r="B28" s="33">
        <f>IFERROR(Invoice312[[#This Row],[Amount due ($ Inc. GST)]]/Invoice312[[#This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IFERROR(Invoice312[[#This Row],[Amount due ($ Inc. GST)]]/Invoice312[[#This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IFERROR(Invoice312[[#This Row],[Amount due ($ Inc. GST)]]/Invoice312[[#This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IFERROR(Invoice312[[#This Row],[Amount due ($ Inc. GST)]]/Invoice312[[#This Row],[Usage]],0)</f>
        <v>0</v>
      </c>
      <c r="C31" s="34" cm="1">
        <f t="array" ref="C31">_xlfn.XLOOKUP("EV",Table1[[#All],[Lot]],Table1[[#All],[Total Consumption Import  (kWh)]],0,0,1)*E11</f>
        <v>94.932</v>
      </c>
      <c r="D31" s="34" t="s">
        <v>995</v>
      </c>
      <c r="E31" s="35" cm="1">
        <f t="array" ref="E31">_xlfn.XLOOKUP($E$8,Table1[[#All],[Lot]],Table1[[#All],[EV Charger Income from Sales Equitable Distribution on UE ($)]],0,0,1)</f>
        <v>0</v>
      </c>
    </row>
    <row r="32" ht="30" customHeight="1" spans="1:5">
      <c r="A32" s="38" t="s">
        <v>1000</v>
      </c>
      <c r="B32" s="33">
        <f>IFERROR(Invoice312[[#This Row],[Amount due ($ Inc. GST)]]/Invoice312[[#This Row],[Usage]],0)</f>
        <v>0.22</v>
      </c>
      <c r="C32" s="34" cm="1">
        <f t="array" ref="C32">_xlfn.XLOOKUP("EV",Table1[[#All],[Lot]],Table1[[#All],[Total Consumption Import  (kWh)]],0,0,1)*E11</f>
        <v>94.932</v>
      </c>
      <c r="D32" s="34" t="s">
        <v>995</v>
      </c>
      <c r="E32" s="35" cm="1">
        <f t="array" ref="E32">_xlfn.XLOOKUP($E$8,Table1[[#All],[Lot]],Table1[[#All],[EV Charger Cost of Electricity Supply at P2P Rates ($)]],0,0,1)</f>
        <v>20.88504</v>
      </c>
    </row>
    <row r="33" ht="30" customHeight="1" spans="1:5">
      <c r="A33" s="38" t="s">
        <v>1001</v>
      </c>
      <c r="B33" s="33">
        <f>IFERROR(Invoice312[[#This Row],[Amount due ($ Inc. GST)]]/Invoice312[[#This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IFERROR(Invoice312[[#This Row],[Amount due ($ Inc. GST)]]/Invoice312[[#This Row],[Usage]],0)</f>
        <v>0</v>
      </c>
      <c r="C34" s="34" cm="1">
        <f t="array" ref="C34">_xlfn.XLOOKUP("EV",Table1[[#All],[Lot]],Table1[[#All],[Total Consumption Import  (kWh)]],0,0,1)*E11</f>
        <v>94.932</v>
      </c>
      <c r="D34" s="34" t="s">
        <v>995</v>
      </c>
      <c r="E34" s="35" cm="1">
        <f t="array" ref="E34">_xlfn.XLOOKUP($E$8,Table1[[#All],[Lot]],Table1[[#All],[Chargefox Commission on EV Charge Consumption Sales Cost Split by Unit Entitlement ($)]],0,0,1)</f>
        <v>0</v>
      </c>
    </row>
    <row r="35" ht="30" customHeight="1" spans="1:5">
      <c r="A35" s="39" t="s">
        <v>1003</v>
      </c>
      <c r="B35" s="48">
        <f>Invoice312[[#This Row],[Amount due ($ Inc. GST)]]/Invoice312[[#This Row],[Usage]]</f>
        <v>0.28996</v>
      </c>
      <c r="C35" s="49">
        <f>C24</f>
        <v>90</v>
      </c>
      <c r="D35" s="49" t="s">
        <v>989</v>
      </c>
      <c r="E35" s="50">
        <f>SUM(E27:E34)</f>
        <v>26.0964</v>
      </c>
    </row>
    <row r="36" ht="30" customHeight="1" spans="1:5">
      <c r="A36" s="43" t="s">
        <v>1004</v>
      </c>
      <c r="B36" s="51"/>
      <c r="C36" s="52"/>
      <c r="D36" s="52"/>
      <c r="E36" s="53"/>
    </row>
    <row r="37" ht="30" customHeight="1" spans="1:5">
      <c r="A37" s="38" t="s">
        <v>1005</v>
      </c>
      <c r="B37" s="33">
        <f>IFERROR(Invoice312[[#This Row],[Amount due ($ Inc. GST)]]/Invoice312[[#This Row],[Usage]],0)</f>
        <v>0.36</v>
      </c>
      <c r="C37" s="34" cm="1">
        <f t="array" ref="C37">_xlfn.XLOOKUP($E$8,Table1[[#All],[Lot]],Table1[[#All],[Total P2P import (kWh)]],0,0,1)</f>
        <v>967.265670474784</v>
      </c>
      <c r="D37" s="34" t="s">
        <v>995</v>
      </c>
      <c r="E37" s="35" cm="1">
        <f t="array" ref="E37">_xlfn.XLOOKUP($E$8,Table1[[#All],[Lot]],Table1[[#All],[P2P Import Cost ($)]],0,0,1)</f>
        <v>348.215641370922</v>
      </c>
    </row>
    <row r="38" ht="30" customHeight="1" spans="1:5">
      <c r="A38" s="38" t="s">
        <v>1006</v>
      </c>
      <c r="B38" s="33">
        <f>IFERROR(Invoice312[[#This Row],[Amount due ($ Inc. GST)]]/Invoice312[[#This Row],[Usage]],0)</f>
        <v>0.02</v>
      </c>
      <c r="C38" s="34" cm="1">
        <f t="array" ref="C38">_xlfn.XLOOKUP($E$8,Table1[[#All],[Lot]],Table1[[#All],[P2P Import Consumption over Battery Allowance based on Energy Exceeding Allowance % (kWh)]],0,0,1)</f>
        <v>212.345670474784</v>
      </c>
      <c r="D38" s="34" t="s">
        <v>995</v>
      </c>
      <c r="E38" s="35" cm="1">
        <f t="array" ref="E38">_xlfn.XLOOKUP($E$8,Table1[[#All],[Lot]],Table1[[#All],[Exceeding Battery Allowance P2P Fee ($)]],0,0,1)</f>
        <v>4.24691340949568</v>
      </c>
    </row>
    <row r="39" ht="30" customHeight="1" spans="1:5">
      <c r="A39" s="38" t="s">
        <v>1007</v>
      </c>
      <c r="B39" s="33">
        <f>IFERROR(Invoice312[[#This Row],[Amount due ($ Inc. GST)]]/Invoice312[[#This Row],[Usage]],0)</f>
        <v>0.3</v>
      </c>
      <c r="C39" s="34" cm="1">
        <f t="array" ref="C39">_xlfn.XLOOKUP($E$8,Table1[[#All],[Lot]],Table1[[#All],[Energy Import from Grid (kWh)]],0,0,1)</f>
        <v>21.7343295252161</v>
      </c>
      <c r="D39" s="34" t="s">
        <v>995</v>
      </c>
      <c r="E39" s="35" cm="1">
        <f t="array" ref="E39">_xlfn.XLOOKUP($E$8,Table1[[#All],[Lot]],Table1[[#All],[Import From Grid Cost ($)]],0,0,1)</f>
        <v>6.52029885756484</v>
      </c>
    </row>
    <row r="40" ht="30" customHeight="1" spans="1:5">
      <c r="A40" s="39" t="s">
        <v>1008</v>
      </c>
      <c r="B40" s="48">
        <f>Invoice312[[#This Row],[Amount due ($ Inc. GST)]]/Invoice312[[#This Row],[Usage]]</f>
        <v>3.98869837375536</v>
      </c>
      <c r="C40" s="49">
        <f>C35</f>
        <v>90</v>
      </c>
      <c r="D40" s="49" t="s">
        <v>989</v>
      </c>
      <c r="E40" s="50">
        <f>SUM(E37:E39)</f>
        <v>358.982853637983</v>
      </c>
    </row>
    <row r="41" ht="30" customHeight="1" spans="1:5">
      <c r="A41" s="43" t="s">
        <v>1009</v>
      </c>
      <c r="B41" s="33"/>
      <c r="C41" s="34"/>
      <c r="D41" s="34"/>
      <c r="E41" s="46"/>
    </row>
    <row r="42" ht="30" customHeight="1" spans="1:5">
      <c r="A42" s="54" t="s">
        <v>1010</v>
      </c>
      <c r="B42" s="33">
        <f>IFERROR(Invoice312[[#This Row],[Amount due ($ Inc. GST)]]/Invoice312[[#This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IFERROR(Invoice312[[#This Row],[Amount due ($ Inc. GST)]]/Invoice312[[#This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IFERROR(Invoice312[[#This Row],[Amount due ($ Inc. GST)]]/Invoice312[[#This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IFERROR(Invoice312[[#This Row],[Amount due ($ Inc. GST)]]/Invoice312[[#This Row],[Usage]],0)</f>
        <v>0</v>
      </c>
      <c r="C45" s="49">
        <f>C40</f>
        <v>90</v>
      </c>
      <c r="D45" s="49" t="s">
        <v>989</v>
      </c>
      <c r="E45" s="50" t="e">
        <f>SUBTOTAL(109,E42:E44)</f>
        <v>#N/A</v>
      </c>
    </row>
    <row r="46" ht="30" customHeight="1" spans="1:5">
      <c r="A46" s="55" t="s">
        <v>1014</v>
      </c>
      <c r="B46" s="56">
        <f>IFERROR(Invoice312[[#This Row],[Amount due ($ Inc. GST)]]/Invoice312[[#This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Heah 1A9/0325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1A10/0325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10</v>
      </c>
    </row>
    <row r="9" ht="18" customHeight="1" spans="1:5">
      <c r="A9" s="14"/>
      <c r="B9" s="8" t="s">
        <v>974</v>
      </c>
      <c r="C9" s="15"/>
      <c r="D9" s="15"/>
      <c r="E9" s="16">
        <f>VLOOKUP(E8,'Energy billing Mastersheet'!5:38,MATCH('Energy billing Mastersheet'!C4,'Energy billing Mastersheet'!4:4,0),FALSE)</f>
        <v>50002850</v>
      </c>
    </row>
    <row r="10" spans="1:5">
      <c r="A10" s="17" t="s">
        <v>975</v>
      </c>
      <c r="B10" s="8" t="s">
        <v>976</v>
      </c>
      <c r="C10" s="15"/>
      <c r="D10" s="15"/>
      <c r="E10" s="18" cm="1">
        <f t="array" ref="E10">INDEX(Table_Household_Alloc[Unit Entitlement],MATCH(1,(Table_Household_Alloc[Lot]=E8)*(Table_Household_Alloc[cluster]=E7),0))</f>
        <v>53</v>
      </c>
    </row>
    <row r="11" ht="15" customHeight="1" spans="1:5">
      <c r="A11" t="str" cm="1">
        <f t="array" ref="A11">INDEX(Table_Household_Alloc[Owner],MATCH(1,(Table_Household_Alloc[Lot]=E8)*(Table_Household_Alloc[cluster]=E7),0))</f>
        <v>Pernille Stent</v>
      </c>
      <c r="B11" s="19" t="s">
        <v>977</v>
      </c>
      <c r="C11" s="3"/>
      <c r="D11" s="3"/>
      <c r="E11" s="20" cm="1">
        <f t="array" ref="E11">INDEX(Table_Household_Alloc[UE % over Cluster],MATCH(1,(Table_Household_Alloc[Lot]=E8)*(Table_Household_Alloc[cluster]=E7),0))</f>
        <v>0.053</v>
      </c>
    </row>
    <row r="12" ht="15" customHeight="1" spans="1:5">
      <c r="A12" t="str" cm="1">
        <f t="array" ref="A12">INDEX(Table_Household_Alloc[Street Address],MATCH(1,(Table_Household_Alloc[Lot]=E8)*(Table_Household_Alloc[cluster]=E7),0))</f>
        <v>51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IFERROR(Invoice313[[#This Row],[Amount due ($ Inc. GST)]]/Invoice313[[#This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IFERROR(Invoice313[[#This Row],[Amount due ($ Inc. GST)]]/Invoice313[[#This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IFERROR(Invoice313[[#This Row],[Amount due ($ Inc. GST)]]/Invoice313[[#This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IFERROR(Invoice313[[#This Row],[Amount due ($ Inc. GST)]]/Invoice313[[#This Row],[Usage]],0)</f>
        <v>1.67222222222222</v>
      </c>
      <c r="C20" s="34">
        <v>1</v>
      </c>
      <c r="D20" s="34" t="s">
        <v>987</v>
      </c>
      <c r="E20" s="35" cm="1">
        <f t="array" ref="E20">_xlfn.XLOOKUP($E$8,Table1[[#All],[Lot]],Table1[[#All],[Amanda Energy Other fees ($)]],0,0,1)</f>
        <v>1.67222222222222</v>
      </c>
    </row>
    <row r="21" ht="30" customHeight="1" spans="1:5">
      <c r="A21" s="36" t="s">
        <v>859</v>
      </c>
      <c r="B21" s="33">
        <f>IFERROR(Invoice313[[#This Row],[Amount due ($ Inc. GST)]]/Invoice313[[#This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IFERROR(Invoice313[[#This Row],[Amount due ($ Inc. GST)]]/Invoice313[[#This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IFERROR(Invoice313[[#This Row],[Amount due ($ Inc. GST)]]/Invoice313[[#This Row],[Usage]],0)</f>
        <v>0</v>
      </c>
      <c r="C23" s="34">
        <f>C21</f>
        <v>90</v>
      </c>
      <c r="D23" s="34" t="s">
        <v>989</v>
      </c>
      <c r="E23" s="35" cm="1">
        <f t="array" ref="E23">_xlfn.XLOOKUP($E$8,Table1[[#All],[Lot]],Table1[[#All],[Chargefox Daily Supply Charge ($)]],0,0,1)</f>
        <v>0</v>
      </c>
    </row>
    <row r="24" ht="30" customHeight="1" spans="1:5">
      <c r="A24" s="38" t="s">
        <v>991</v>
      </c>
      <c r="B24" s="33">
        <f>IFERROR(Invoice313[[#This Row],[Amount due ($ Inc. GST)]]/Invoice313[[#This Row],[Usage]],0)</f>
        <v>0</v>
      </c>
      <c r="C24" s="34">
        <f>C21</f>
        <v>90</v>
      </c>
      <c r="D24" s="34" t="s">
        <v>989</v>
      </c>
      <c r="E24" s="35" cm="1">
        <f t="array" ref="E24">_xlfn.XLOOKUP($E$8,Table1[[#All],[Lot]],Table1[[#All],[SwitchdIn Cost Daily Supply Charge ($)]],0,0,1)</f>
        <v>0</v>
      </c>
    </row>
    <row r="25" ht="30" customHeight="1" spans="1:5">
      <c r="A25" s="39" t="s">
        <v>992</v>
      </c>
      <c r="B25" s="40">
        <f>IFERROR(Invoice313[[#This Row],[Amount due ($ Inc. GST)]]/Invoice313[[#This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IFERROR(Invoice313[[#This Row],[Amount due ($ Inc. GST)]]/Invoice313[[#This Row],[Usage]],0)</f>
        <v>0.22</v>
      </c>
      <c r="C27" s="34" cm="1">
        <f t="array" ref="C27">_xlfn.XLOOKUP($E$8,Table1[[#All],[Lot]],Table1[[#All],[Common Services based on Split per Unit Entitlement % to battery (kWh)]],0,0,1)</f>
        <v>34.874</v>
      </c>
      <c r="D27" s="34" t="s">
        <v>995</v>
      </c>
      <c r="E27" s="35" cm="1">
        <f t="array" ref="E27">_xlfn.XLOOKUP($E$8,Table1[[#All],[Lot]],Table1[[#All],[Common Services Cost Split per Unit Entitlement at P2P rate ($)]],0,0,1)</f>
        <v>7.67228</v>
      </c>
    </row>
    <row r="28" ht="30" customHeight="1" spans="1:7">
      <c r="A28" s="38" t="s">
        <v>996</v>
      </c>
      <c r="B28" s="33">
        <f>IFERROR(Invoice313[[#This Row],[Amount due ($ Inc. GST)]]/Invoice313[[#This Row],[Usage]],0)</f>
        <v>-0.22</v>
      </c>
      <c r="C28" s="34" cm="1">
        <f t="array" ref="C28">_xlfn.XLOOKUP($E$8,Table1[[#All],[Lot]],Table1[[#All],[Common Service based upon % total export to battery (kWh)]],0,0,1)</f>
        <v>23.8588593090746</v>
      </c>
      <c r="D28" s="34" t="s">
        <v>995</v>
      </c>
      <c r="E28" s="35" cm="1">
        <f t="array" ref="E28">_xlfn.XLOOKUP($E$8,Table1[[#All],[Lot]],Table1[[#All],[Common Service Earning based upon % total export to Load ($)]],0,0,1)</f>
        <v>-5.2489490479964</v>
      </c>
      <c r="G28" s="47"/>
    </row>
    <row r="29" ht="30" customHeight="1" spans="1:7">
      <c r="A29" s="38" t="s">
        <v>997</v>
      </c>
      <c r="B29" s="33">
        <f>IFERROR(Invoice313[[#This Row],[Amount due ($ Inc. GST)]]/Invoice313[[#This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IFERROR(Invoice313[[#This Row],[Amount due ($ Inc. GST)]]/Invoice313[[#This Row],[Usage]],0)</f>
        <v>-0.22</v>
      </c>
      <c r="C30" s="34" cm="1">
        <f t="array" ref="C30">_xlfn.XLOOKUP($E$8,Table1[[#All],[Lot]],Table1[[#All],[Axillary Battery Losses based upon Adjusted % total export (kWh)]],0,0,1)</f>
        <v>89.7789295581589</v>
      </c>
      <c r="D30" s="34" t="s">
        <v>995</v>
      </c>
      <c r="E30" s="35" cm="1">
        <f t="array" ref="E30">_xlfn.XLOOKUP($E$8,Table1[[#All],[Lot]],Table1[[#All],[Axillary Battery Losses based upon % total export  ($)]],0,0,1)</f>
        <v>-19.751364502795</v>
      </c>
    </row>
    <row r="31" ht="30" customHeight="1" spans="1:5">
      <c r="A31" s="38" t="s">
        <v>999</v>
      </c>
      <c r="B31" s="33">
        <f>IFERROR(Invoice313[[#This Row],[Amount due ($ Inc. GST)]]/Invoice313[[#This Row],[Usage]],0)</f>
        <v>0</v>
      </c>
      <c r="C31" s="34" cm="1">
        <f t="array" ref="C31">_xlfn.XLOOKUP("EV",Table1[[#All],[Lot]],Table1[[#All],[Total Consumption Import  (kWh)]],0,0,1)*E11</f>
        <v>139.761</v>
      </c>
      <c r="D31" s="34" t="s">
        <v>995</v>
      </c>
      <c r="E31" s="35" cm="1">
        <f t="array" ref="E31">_xlfn.XLOOKUP($E$8,Table1[[#All],[Lot]],Table1[[#All],[EV Charger Income from Sales Equitable Distribution on UE ($)]],0,0,1)</f>
        <v>0</v>
      </c>
    </row>
    <row r="32" ht="30" customHeight="1" spans="1:5">
      <c r="A32" s="38" t="s">
        <v>1000</v>
      </c>
      <c r="B32" s="33">
        <f>IFERROR(Invoice313[[#This Row],[Amount due ($ Inc. GST)]]/Invoice313[[#This Row],[Usage]],0)</f>
        <v>0.22</v>
      </c>
      <c r="C32" s="34" cm="1">
        <f t="array" ref="C32">_xlfn.XLOOKUP("EV",Table1[[#All],[Lot]],Table1[[#All],[Total Consumption Import  (kWh)]],0,0,1)*E11</f>
        <v>139.761</v>
      </c>
      <c r="D32" s="34" t="s">
        <v>995</v>
      </c>
      <c r="E32" s="35" cm="1">
        <f t="array" ref="E32">_xlfn.XLOOKUP($E$8,Table1[[#All],[Lot]],Table1[[#All],[EV Charger Cost of Electricity Supply at P2P Rates ($)]],0,0,1)</f>
        <v>30.74742</v>
      </c>
    </row>
    <row r="33" ht="30" customHeight="1" spans="1:5">
      <c r="A33" s="38" t="s">
        <v>1001</v>
      </c>
      <c r="B33" s="33">
        <f>IFERROR(Invoice313[[#This Row],[Amount due ($ Inc. GST)]]/Invoice313[[#This Row],[Usage]],0)</f>
        <v>-0.22</v>
      </c>
      <c r="C33" s="34" cm="1">
        <f t="array" ref="C33">_xlfn.XLOOKUP($E$8,Table1[[#All],[Lot]],Table1[[#All],[EV Charger based upon % total export to battery (kWh)]],0,0,1)</f>
        <v>95.6167355593155</v>
      </c>
      <c r="D33" s="34" t="s">
        <v>995</v>
      </c>
      <c r="E33" s="35" cm="1">
        <f t="array" ref="E33">_xlfn.XLOOKUP($E$8,Table1[[#All],[Lot]],Table1[[#All],[EV Charger based upon % total export ($)]],0,0,1)</f>
        <v>-21.0356818230494</v>
      </c>
    </row>
    <row r="34" ht="30" customHeight="1" spans="1:5">
      <c r="A34" s="38" t="s">
        <v>1002</v>
      </c>
      <c r="B34" s="33">
        <f>IFERROR(Invoice313[[#This Row],[Amount due ($ Inc. GST)]]/Invoice313[[#This Row],[Usage]],0)</f>
        <v>0</v>
      </c>
      <c r="C34" s="34" cm="1">
        <f t="array" ref="C34">_xlfn.XLOOKUP("EV",Table1[[#All],[Lot]],Table1[[#All],[Total Consumption Import  (kWh)]],0,0,1)*E11</f>
        <v>139.761</v>
      </c>
      <c r="D34" s="34" t="s">
        <v>995</v>
      </c>
      <c r="E34" s="35" cm="1">
        <f t="array" ref="E34">_xlfn.XLOOKUP($E$8,Table1[[#All],[Lot]],Table1[[#All],[Chargefox Commission on EV Charge Consumption Sales Cost Split by Unit Entitlement ($)]],0,0,1)</f>
        <v>0</v>
      </c>
    </row>
    <row r="35" ht="30" customHeight="1" spans="1:5">
      <c r="A35" s="39" t="s">
        <v>1003</v>
      </c>
      <c r="B35" s="48">
        <f>Invoice313[[#This Row],[Amount due ($ Inc. GST)]]/Invoice313[[#This Row],[Usage]]</f>
        <v>-0.0846255041537865</v>
      </c>
      <c r="C35" s="49">
        <f>C24</f>
        <v>90</v>
      </c>
      <c r="D35" s="49" t="s">
        <v>989</v>
      </c>
      <c r="E35" s="50">
        <f>SUM(E27:E34)</f>
        <v>-7.61629537384079</v>
      </c>
    </row>
    <row r="36" ht="30" customHeight="1" spans="1:5">
      <c r="A36" s="43" t="s">
        <v>1004</v>
      </c>
      <c r="B36" s="51"/>
      <c r="C36" s="52"/>
      <c r="D36" s="52"/>
      <c r="E36" s="53"/>
    </row>
    <row r="37" ht="30" customHeight="1" spans="1:5">
      <c r="A37" s="38" t="s">
        <v>1005</v>
      </c>
      <c r="B37" s="33">
        <f>IFERROR(Invoice313[[#This Row],[Amount due ($ Inc. GST)]]/Invoice313[[#This Row],[Usage]],0)</f>
        <v>0.22</v>
      </c>
      <c r="C37" s="34" cm="1">
        <f t="array" ref="C37">_xlfn.XLOOKUP($E$8,Table1[[#All],[Lot]],Table1[[#All],[Total P2P import (kWh)]],0,0,1)</f>
        <v>584</v>
      </c>
      <c r="D37" s="34" t="s">
        <v>995</v>
      </c>
      <c r="E37" s="35" cm="1">
        <f t="array" ref="E37">_xlfn.XLOOKUP($E$8,Table1[[#All],[Lot]],Table1[[#All],[P2P Import Cost ($)]],0,0,1)</f>
        <v>128.48</v>
      </c>
    </row>
    <row r="38" ht="30" customHeight="1" spans="1:5">
      <c r="A38" s="38" t="s">
        <v>1006</v>
      </c>
      <c r="B38" s="33">
        <f>IFERROR(Invoice313[[#This Row],[Amount due ($ Inc. GST)]]/Invoice313[[#This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IFERROR(Invoice313[[#This Row],[Amount due ($ Inc. GST)]]/Invoice313[[#This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Invoice313[[#This Row],[Amount due ($ Inc. GST)]]/Invoice313[[#This Row],[Usage]]</f>
        <v>1.42755555555556</v>
      </c>
      <c r="C40" s="49">
        <f>C35</f>
        <v>90</v>
      </c>
      <c r="D40" s="49" t="s">
        <v>989</v>
      </c>
      <c r="E40" s="50">
        <f>SUM(E37:E39)</f>
        <v>128.48</v>
      </c>
    </row>
    <row r="41" ht="30" customHeight="1" spans="1:5">
      <c r="A41" s="43" t="s">
        <v>1009</v>
      </c>
      <c r="B41" s="33"/>
      <c r="C41" s="34"/>
      <c r="D41" s="34"/>
      <c r="E41" s="46"/>
    </row>
    <row r="42" ht="30" customHeight="1" spans="1:5">
      <c r="A42" s="54" t="s">
        <v>1010</v>
      </c>
      <c r="B42" s="33">
        <f>IFERROR(Invoice313[[#This Row],[Amount due ($ Inc. GST)]]/Invoice313[[#This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IFERROR(Invoice313[[#This Row],[Amount due ($ Inc. GST)]]/Invoice313[[#This Row],[Usage]],0)</f>
        <v>-0.02</v>
      </c>
      <c r="C43" s="34" cm="1">
        <f t="array" ref="C43">_xlfn.XLOOKUP($E$8,Table1[[#All],[Lot]],Table1[[#All],[Borrowed Allowance Based on Unused Daily Allowance % (kWh)]],0,0,1)</f>
        <v>37.4456711450182</v>
      </c>
      <c r="D43" s="34" t="s">
        <v>995</v>
      </c>
      <c r="E43" s="35" cm="1">
        <f t="array" ref="E43">_xlfn.XLOOKUP($E$8,Table1[[#All],[Lot]],Table1[[#All],[Passive Compensation ($)]],0,0,1)</f>
        <v>-0.748913422900364</v>
      </c>
    </row>
    <row r="44" ht="30" customHeight="1" spans="1:5">
      <c r="A44" s="32" t="s">
        <v>1012</v>
      </c>
      <c r="B44" s="33">
        <f>IFERROR(Invoice313[[#This Row],[Amount due ($ Inc. GST)]]/Invoice313[[#This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IFERROR(Invoice313[[#This Row],[Amount due ($ Inc. GST)]]/Invoice313[[#This Row],[Usage]],0)</f>
        <v>0</v>
      </c>
      <c r="C45" s="49">
        <f>C40</f>
        <v>90</v>
      </c>
      <c r="D45" s="49" t="s">
        <v>989</v>
      </c>
      <c r="E45" s="50" t="e">
        <f>SUBTOTAL(109,E42:E44)</f>
        <v>#N/A</v>
      </c>
    </row>
    <row r="46" ht="30" customHeight="1" spans="1:5">
      <c r="A46" s="55" t="s">
        <v>1014</v>
      </c>
      <c r="B46" s="56">
        <f>IFERROR(Invoice313[[#This Row],[Amount due ($ Inc. GST)]]/Invoice313[[#This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Stent 1A10/0325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1A11/0325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11</v>
      </c>
    </row>
    <row r="9" ht="18" customHeight="1" spans="1:5">
      <c r="A9" s="14"/>
      <c r="B9" s="8" t="s">
        <v>974</v>
      </c>
      <c r="C9" s="15"/>
      <c r="D9" s="15"/>
      <c r="E9" s="16">
        <f>VLOOKUP(E8,'Energy billing Mastersheet'!5:38,MATCH('Energy billing Mastersheet'!C4,'Energy billing Mastersheet'!4:4,0),FALSE)</f>
        <v>50002848</v>
      </c>
    </row>
    <row r="10" spans="1:5">
      <c r="A10" s="17" t="s">
        <v>975</v>
      </c>
      <c r="B10" s="8" t="s">
        <v>976</v>
      </c>
      <c r="C10" s="15"/>
      <c r="D10" s="15"/>
      <c r="E10" s="18" cm="1">
        <f t="array" ref="E10">INDEX(Table_Household_Alloc[Unit Entitlement],MATCH(1,(Table_Household_Alloc[Lot]=E8)*(Table_Household_Alloc[cluster]=E7),0))</f>
        <v>52</v>
      </c>
    </row>
    <row r="11" ht="15" customHeight="1" spans="1:5">
      <c r="A11" t="str" cm="1">
        <f t="array" ref="A11">INDEX(Table_Household_Alloc[Owner],MATCH(1,(Table_Household_Alloc[Lot]=E8)*(Table_Household_Alloc[cluster]=E7),0))</f>
        <v>Levi Holden</v>
      </c>
      <c r="B11" s="19" t="s">
        <v>977</v>
      </c>
      <c r="C11" s="3"/>
      <c r="D11" s="3"/>
      <c r="E11" s="20" cm="1">
        <f t="array" ref="E11">INDEX(Table_Household_Alloc[UE % over Cluster],MATCH(1,(Table_Household_Alloc[Lot]=E8)*(Table_Household_Alloc[cluster]=E7),0))</f>
        <v>0.052</v>
      </c>
    </row>
    <row r="12" ht="15" customHeight="1" spans="1:5">
      <c r="A12" t="str" cm="1">
        <f t="array" ref="A12">INDEX(Table_Household_Alloc[Street Address],MATCH(1,(Table_Household_Alloc[Lot]=E8)*(Table_Household_Alloc[cluster]=E7),0))</f>
        <v>49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IFERROR(Invoice314[[#This Row],[Amount due ($ Inc. GST)]]/Invoice314[[#This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IFERROR(Invoice314[[#This Row],[Amount due ($ Inc. GST)]]/Invoice314[[#This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IFERROR(Invoice314[[#This Row],[Amount due ($ Inc. GST)]]/Invoice314[[#This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IFERROR(Invoice314[[#This Row],[Amount due ($ Inc. GST)]]/Invoice314[[#This Row],[Usage]],0)</f>
        <v>1.67222222222222</v>
      </c>
      <c r="C20" s="34">
        <v>1</v>
      </c>
      <c r="D20" s="34" t="s">
        <v>987</v>
      </c>
      <c r="E20" s="35" cm="1">
        <f t="array" ref="E20">_xlfn.XLOOKUP($E$8,Table1[[#All],[Lot]],Table1[[#All],[Amanda Energy Other fees ($)]],0,0,1)</f>
        <v>1.67222222222222</v>
      </c>
    </row>
    <row r="21" ht="30" customHeight="1" spans="1:5">
      <c r="A21" s="36" t="s">
        <v>859</v>
      </c>
      <c r="B21" s="33">
        <f>IFERROR(Invoice314[[#This Row],[Amount due ($ Inc. GST)]]/Invoice314[[#This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IFERROR(Invoice314[[#This Row],[Amount due ($ Inc. GST)]]/Invoice314[[#This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IFERROR(Invoice314[[#This Row],[Amount due ($ Inc. GST)]]/Invoice314[[#This Row],[Usage]],0)</f>
        <v>0</v>
      </c>
      <c r="C23" s="34">
        <f>C21</f>
        <v>90</v>
      </c>
      <c r="D23" s="34" t="s">
        <v>989</v>
      </c>
      <c r="E23" s="35" cm="1">
        <f t="array" ref="E23">_xlfn.XLOOKUP($E$8,Table1[[#All],[Lot]],Table1[[#All],[Chargefox Daily Supply Charge ($)]],0,0,1)</f>
        <v>0</v>
      </c>
    </row>
    <row r="24" ht="30" customHeight="1" spans="1:5">
      <c r="A24" s="38" t="s">
        <v>991</v>
      </c>
      <c r="B24" s="33">
        <f>IFERROR(Invoice314[[#This Row],[Amount due ($ Inc. GST)]]/Invoice314[[#This Row],[Usage]],0)</f>
        <v>0</v>
      </c>
      <c r="C24" s="34">
        <f>C21</f>
        <v>90</v>
      </c>
      <c r="D24" s="34" t="s">
        <v>989</v>
      </c>
      <c r="E24" s="35" cm="1">
        <f t="array" ref="E24">_xlfn.XLOOKUP($E$8,Table1[[#All],[Lot]],Table1[[#All],[SwitchdIn Cost Daily Supply Charge ($)]],0,0,1)</f>
        <v>0</v>
      </c>
    </row>
    <row r="25" ht="30" customHeight="1" spans="1:5">
      <c r="A25" s="39" t="s">
        <v>992</v>
      </c>
      <c r="B25" s="40">
        <f>IFERROR(Invoice314[[#This Row],[Amount due ($ Inc. GST)]]/Invoice314[[#This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IFERROR(Invoice314[[#This Row],[Amount due ($ Inc. GST)]]/Invoice314[[#This Row],[Usage]],0)</f>
        <v>0.22</v>
      </c>
      <c r="C27" s="34" cm="1">
        <f t="array" ref="C27">_xlfn.XLOOKUP($E$8,Table1[[#All],[Lot]],Table1[[#All],[Common Services based on Split per Unit Entitlement % to battery (kWh)]],0,0,1)</f>
        <v>34.216</v>
      </c>
      <c r="D27" s="34" t="s">
        <v>995</v>
      </c>
      <c r="E27" s="35" cm="1">
        <f t="array" ref="E27">_xlfn.XLOOKUP($E$8,Table1[[#All],[Lot]],Table1[[#All],[Common Services Cost Split per Unit Entitlement at P2P rate ($)]],0,0,1)</f>
        <v>7.52752</v>
      </c>
    </row>
    <row r="28" ht="30" customHeight="1" spans="1:7">
      <c r="A28" s="38" t="s">
        <v>996</v>
      </c>
      <c r="B28" s="33">
        <f>IFERROR(Invoice314[[#This Row],[Amount due ($ Inc. GST)]]/Invoice314[[#This Row],[Usage]],0)</f>
        <v>-0.22</v>
      </c>
      <c r="C28" s="34" cm="1">
        <f t="array" ref="C28">_xlfn.XLOOKUP($E$8,Table1[[#All],[Lot]],Table1[[#All],[Common Service based upon % total export to battery (kWh)]],0,0,1)</f>
        <v>40.5445589085691</v>
      </c>
      <c r="D28" s="34" t="s">
        <v>995</v>
      </c>
      <c r="E28" s="35" cm="1">
        <f t="array" ref="E28">_xlfn.XLOOKUP($E$8,Table1[[#All],[Lot]],Table1[[#All],[Common Service Earning based upon % total export to Load ($)]],0,0,1)</f>
        <v>-8.9198029598852</v>
      </c>
      <c r="G28" s="47"/>
    </row>
    <row r="29" ht="30" customHeight="1" spans="1:7">
      <c r="A29" s="38" t="s">
        <v>997</v>
      </c>
      <c r="B29" s="33">
        <f>IFERROR(Invoice314[[#This Row],[Amount due ($ Inc. GST)]]/Invoice314[[#This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IFERROR(Invoice314[[#This Row],[Amount due ($ Inc. GST)]]/Invoice314[[#This Row],[Usage]],0)</f>
        <v>-0.22</v>
      </c>
      <c r="C30" s="34" cm="1">
        <f t="array" ref="C30">_xlfn.XLOOKUP($E$8,Table1[[#All],[Lot]],Table1[[#All],[Axillary Battery Losses based upon Adjusted % total export (kWh)]],0,0,1)</f>
        <v>152.565847807929</v>
      </c>
      <c r="D30" s="34" t="s">
        <v>995</v>
      </c>
      <c r="E30" s="35" cm="1">
        <f t="array" ref="E30">_xlfn.XLOOKUP($E$8,Table1[[#All],[Lot]],Table1[[#All],[Axillary Battery Losses based upon % total export  ($)]],0,0,1)</f>
        <v>-33.5644865177443</v>
      </c>
    </row>
    <row r="31" ht="30" customHeight="1" spans="1:5">
      <c r="A31" s="38" t="s">
        <v>999</v>
      </c>
      <c r="B31" s="33">
        <f>IFERROR(Invoice314[[#This Row],[Amount due ($ Inc. GST)]]/Invoice314[[#This Row],[Usage]],0)</f>
        <v>0</v>
      </c>
      <c r="C31" s="34" cm="1">
        <f t="array" ref="C31">_xlfn.XLOOKUP("EV",Table1[[#All],[Lot]],Table1[[#All],[Total Consumption Import  (kWh)]],0,0,1)*E11</f>
        <v>137.124</v>
      </c>
      <c r="D31" s="34" t="s">
        <v>995</v>
      </c>
      <c r="E31" s="35" cm="1">
        <f t="array" ref="E31">_xlfn.XLOOKUP($E$8,Table1[[#All],[Lot]],Table1[[#All],[EV Charger Income from Sales Equitable Distribution on UE ($)]],0,0,1)</f>
        <v>0</v>
      </c>
    </row>
    <row r="32" ht="30" customHeight="1" spans="1:5">
      <c r="A32" s="38" t="s">
        <v>1000</v>
      </c>
      <c r="B32" s="33">
        <f>IFERROR(Invoice314[[#This Row],[Amount due ($ Inc. GST)]]/Invoice314[[#This Row],[Usage]],0)</f>
        <v>0.22</v>
      </c>
      <c r="C32" s="34" cm="1">
        <f t="array" ref="C32">_xlfn.XLOOKUP("EV",Table1[[#All],[Lot]],Table1[[#All],[Total Consumption Import  (kWh)]],0,0,1)*E11</f>
        <v>137.124</v>
      </c>
      <c r="D32" s="34" t="s">
        <v>995</v>
      </c>
      <c r="E32" s="35" cm="1">
        <f t="array" ref="E32">_xlfn.XLOOKUP($E$8,Table1[[#All],[Lot]],Table1[[#All],[EV Charger Cost of Electricity Supply at P2P Rates ($)]],0,0,1)</f>
        <v>30.16728</v>
      </c>
    </row>
    <row r="33" ht="30" customHeight="1" spans="1:5">
      <c r="A33" s="38" t="s">
        <v>1001</v>
      </c>
      <c r="B33" s="33">
        <f>IFERROR(Invoice314[[#This Row],[Amount due ($ Inc. GST)]]/Invoice314[[#This Row],[Usage]],0)</f>
        <v>-0.22</v>
      </c>
      <c r="C33" s="34" cm="1">
        <f t="array" ref="C33">_xlfn.XLOOKUP($E$8,Table1[[#All],[Lot]],Table1[[#All],[EV Charger based upon % total export to battery (kWh)]],0,0,1)</f>
        <v>162.486324987685</v>
      </c>
      <c r="D33" s="34" t="s">
        <v>995</v>
      </c>
      <c r="E33" s="35" cm="1">
        <f t="array" ref="E33">_xlfn.XLOOKUP($E$8,Table1[[#All],[Lot]],Table1[[#All],[EV Charger based upon % total export ($)]],0,0,1)</f>
        <v>-35.7469914972907</v>
      </c>
    </row>
    <row r="34" ht="30" customHeight="1" spans="1:5">
      <c r="A34" s="38" t="s">
        <v>1002</v>
      </c>
      <c r="B34" s="33">
        <f>IFERROR(Invoice314[[#This Row],[Amount due ($ Inc. GST)]]/Invoice314[[#This Row],[Usage]],0)</f>
        <v>0</v>
      </c>
      <c r="C34" s="34" cm="1">
        <f t="array" ref="C34">_xlfn.XLOOKUP("EV",Table1[[#All],[Lot]],Table1[[#All],[Total Consumption Import  (kWh)]],0,0,1)*E11</f>
        <v>137.124</v>
      </c>
      <c r="D34" s="34" t="s">
        <v>995</v>
      </c>
      <c r="E34" s="35" cm="1">
        <f t="array" ref="E34">_xlfn.XLOOKUP($E$8,Table1[[#All],[Lot]],Table1[[#All],[Chargefox Commission on EV Charge Consumption Sales Cost Split by Unit Entitlement ($)]],0,0,1)</f>
        <v>0</v>
      </c>
    </row>
    <row r="35" ht="30" customHeight="1" spans="1:5">
      <c r="A35" s="39" t="s">
        <v>1003</v>
      </c>
      <c r="B35" s="48">
        <f>Invoice314[[#This Row],[Amount due ($ Inc. GST)]]/Invoice314[[#This Row],[Usage]]</f>
        <v>-0.45040534416578</v>
      </c>
      <c r="C35" s="49">
        <f>C24</f>
        <v>90</v>
      </c>
      <c r="D35" s="49" t="s">
        <v>989</v>
      </c>
      <c r="E35" s="50">
        <f>SUM(E27:E34)</f>
        <v>-40.5364809749202</v>
      </c>
    </row>
    <row r="36" ht="30" customHeight="1" spans="1:5">
      <c r="A36" s="43" t="s">
        <v>1004</v>
      </c>
      <c r="B36" s="51"/>
      <c r="C36" s="52"/>
      <c r="D36" s="52"/>
      <c r="E36" s="53"/>
    </row>
    <row r="37" ht="30" customHeight="1" spans="1:5">
      <c r="A37" s="38" t="s">
        <v>1005</v>
      </c>
      <c r="B37" s="33">
        <f>IFERROR(Invoice314[[#This Row],[Amount due ($ Inc. GST)]]/Invoice314[[#This Row],[Usage]],0)</f>
        <v>0.22</v>
      </c>
      <c r="C37" s="34" cm="1">
        <f t="array" ref="C37">_xlfn.XLOOKUP($E$8,Table1[[#All],[Lot]],Table1[[#All],[Total P2P import (kWh)]],0,0,1)</f>
        <v>30</v>
      </c>
      <c r="D37" s="34" t="s">
        <v>995</v>
      </c>
      <c r="E37" s="35" cm="1">
        <f t="array" ref="E37">_xlfn.XLOOKUP($E$8,Table1[[#All],[Lot]],Table1[[#All],[P2P Import Cost ($)]],0,0,1)</f>
        <v>6.6</v>
      </c>
    </row>
    <row r="38" ht="30" customHeight="1" spans="1:5">
      <c r="A38" s="38" t="s">
        <v>1006</v>
      </c>
      <c r="B38" s="33">
        <f>IFERROR(Invoice314[[#This Row],[Amount due ($ Inc. GST)]]/Invoice314[[#This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IFERROR(Invoice314[[#This Row],[Amount due ($ Inc. GST)]]/Invoice314[[#This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Invoice314[[#This Row],[Amount due ($ Inc. GST)]]/Invoice314[[#This Row],[Usage]]</f>
        <v>0.0733333333333333</v>
      </c>
      <c r="C40" s="49">
        <f>C35</f>
        <v>90</v>
      </c>
      <c r="D40" s="49" t="s">
        <v>989</v>
      </c>
      <c r="E40" s="50">
        <f>SUM(E37:E39)</f>
        <v>6.6</v>
      </c>
    </row>
    <row r="41" ht="30" customHeight="1" spans="1:5">
      <c r="A41" s="43" t="s">
        <v>1009</v>
      </c>
      <c r="B41" s="33"/>
      <c r="C41" s="34"/>
      <c r="D41" s="34"/>
      <c r="E41" s="46"/>
    </row>
    <row r="42" ht="30" customHeight="1" spans="1:5">
      <c r="A42" s="54" t="s">
        <v>1010</v>
      </c>
      <c r="B42" s="33">
        <f>IFERROR(Invoice314[[#This Row],[Amount due ($ Inc. GST)]]/Invoice314[[#This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IFERROR(Invoice314[[#This Row],[Amount due ($ Inc. GST)]]/Invoice314[[#This Row],[Usage]],0)</f>
        <v>-0.02</v>
      </c>
      <c r="C43" s="34" cm="1">
        <f t="array" ref="C43">_xlfn.XLOOKUP($E$8,Table1[[#All],[Lot]],Table1[[#All],[Borrowed Allowance Based on Unused Daily Allowance % (kWh)]],0,0,1)</f>
        <v>75.2903576136651</v>
      </c>
      <c r="D43" s="34" t="s">
        <v>995</v>
      </c>
      <c r="E43" s="35" cm="1">
        <f t="array" ref="E43">_xlfn.XLOOKUP($E$8,Table1[[#All],[Lot]],Table1[[#All],[Passive Compensation ($)]],0,0,1)</f>
        <v>-1.5058071522733</v>
      </c>
    </row>
    <row r="44" ht="30" customHeight="1" spans="1:5">
      <c r="A44" s="32" t="s">
        <v>1012</v>
      </c>
      <c r="B44" s="33">
        <f>IFERROR(Invoice314[[#This Row],[Amount due ($ Inc. GST)]]/Invoice314[[#This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IFERROR(Invoice314[[#This Row],[Amount due ($ Inc. GST)]]/Invoice314[[#This Row],[Usage]],0)</f>
        <v>0</v>
      </c>
      <c r="C45" s="49">
        <f>C40</f>
        <v>90</v>
      </c>
      <c r="D45" s="49" t="s">
        <v>989</v>
      </c>
      <c r="E45" s="50" t="e">
        <f>SUBTOTAL(109,E42:E44)</f>
        <v>#N/A</v>
      </c>
    </row>
    <row r="46" ht="30" customHeight="1" spans="1:5">
      <c r="A46" s="55" t="s">
        <v>1014</v>
      </c>
      <c r="B46" s="56">
        <f>IFERROR(Invoice314[[#This Row],[Amount due ($ Inc. GST)]]/Invoice314[[#This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Holden 1A11/0325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1A12/0325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12</v>
      </c>
    </row>
    <row r="9" ht="18" customHeight="1" spans="1:5">
      <c r="A9" s="14"/>
      <c r="B9" s="8" t="s">
        <v>974</v>
      </c>
      <c r="C9" s="15"/>
      <c r="D9" s="15"/>
      <c r="E9" s="16">
        <f>VLOOKUP(E8,'Energy billing Mastersheet'!5:38,MATCH('Energy billing Mastersheet'!C4,'Energy billing Mastersheet'!4:4,0),FALSE)</f>
        <v>50002847</v>
      </c>
    </row>
    <row r="10" spans="1:5">
      <c r="A10" s="17" t="s">
        <v>975</v>
      </c>
      <c r="B10" s="8" t="s">
        <v>976</v>
      </c>
      <c r="C10" s="15"/>
      <c r="D10" s="15"/>
      <c r="E10" s="18" cm="1">
        <f t="array" ref="E10">INDEX(Table_Household_Alloc[Unit Entitlement],MATCH(1,(Table_Household_Alloc[Lot]=E8)*(Table_Household_Alloc[cluster]=E7),0))</f>
        <v>52</v>
      </c>
    </row>
    <row r="11" ht="15" customHeight="1" spans="1:5">
      <c r="A11" t="str" cm="1">
        <f t="array" ref="A11">INDEX(Table_Household_Alloc[Owner],MATCH(1,(Table_Household_Alloc[Lot]=E8)*(Table_Household_Alloc[cluster]=E7),0))</f>
        <v>Matt &amp; Kate Shaw</v>
      </c>
      <c r="B11" s="19" t="s">
        <v>977</v>
      </c>
      <c r="C11" s="3"/>
      <c r="D11" s="3"/>
      <c r="E11" s="20" cm="1">
        <f t="array" ref="E11">INDEX(Table_Household_Alloc[UE % over Cluster],MATCH(1,(Table_Household_Alloc[Lot]=E8)*(Table_Household_Alloc[cluster]=E7),0))</f>
        <v>0.052</v>
      </c>
    </row>
    <row r="12" ht="15" customHeight="1" spans="1:5">
      <c r="A12" t="str" cm="1">
        <f t="array" ref="A12">INDEX(Table_Household_Alloc[Street Address],MATCH(1,(Table_Household_Alloc[Lot]=E8)*(Table_Household_Alloc[cluster]=E7),0))</f>
        <v>47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IFERROR(Invoice315[[#This Row],[Amount due ($ Inc. GST)]]/Invoice315[[#This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IFERROR(Invoice315[[#This Row],[Amount due ($ Inc. GST)]]/Invoice315[[#This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IFERROR(Invoice315[[#This Row],[Amount due ($ Inc. GST)]]/Invoice315[[#This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IFERROR(Invoice315[[#This Row],[Amount due ($ Inc. GST)]]/Invoice315[[#This Row],[Usage]],0)</f>
        <v>1.67222222222222</v>
      </c>
      <c r="C20" s="34">
        <v>1</v>
      </c>
      <c r="D20" s="34" t="s">
        <v>987</v>
      </c>
      <c r="E20" s="35" cm="1">
        <f t="array" ref="E20">_xlfn.XLOOKUP($E$8,Table1[[#All],[Lot]],Table1[[#All],[Amanda Energy Other fees ($)]],0,0,1)</f>
        <v>1.67222222222222</v>
      </c>
    </row>
    <row r="21" ht="30" customHeight="1" spans="1:5">
      <c r="A21" s="36" t="s">
        <v>859</v>
      </c>
      <c r="B21" s="33">
        <f>IFERROR(Invoice315[[#This Row],[Amount due ($ Inc. GST)]]/Invoice315[[#This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IFERROR(Invoice315[[#This Row],[Amount due ($ Inc. GST)]]/Invoice315[[#This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IFERROR(Invoice315[[#This Row],[Amount due ($ Inc. GST)]]/Invoice315[[#This Row],[Usage]],0)</f>
        <v>0</v>
      </c>
      <c r="C23" s="34">
        <f>C21</f>
        <v>90</v>
      </c>
      <c r="D23" s="34" t="s">
        <v>989</v>
      </c>
      <c r="E23" s="35" cm="1">
        <f t="array" ref="E23">_xlfn.XLOOKUP($E$8,Table1[[#All],[Lot]],Table1[[#All],[Chargefox Daily Supply Charge ($)]],0,0,1)</f>
        <v>0</v>
      </c>
    </row>
    <row r="24" ht="30" customHeight="1" spans="1:5">
      <c r="A24" s="38" t="s">
        <v>991</v>
      </c>
      <c r="B24" s="33">
        <f>IFERROR(Invoice315[[#This Row],[Amount due ($ Inc. GST)]]/Invoice315[[#This Row],[Usage]],0)</f>
        <v>0</v>
      </c>
      <c r="C24" s="34">
        <f>C21</f>
        <v>90</v>
      </c>
      <c r="D24" s="34" t="s">
        <v>989</v>
      </c>
      <c r="E24" s="35" cm="1">
        <f t="array" ref="E24">_xlfn.XLOOKUP($E$8,Table1[[#All],[Lot]],Table1[[#All],[SwitchdIn Cost Daily Supply Charge ($)]],0,0,1)</f>
        <v>0</v>
      </c>
    </row>
    <row r="25" ht="30" customHeight="1" spans="1:5">
      <c r="A25" s="39" t="s">
        <v>992</v>
      </c>
      <c r="B25" s="40">
        <f>IFERROR(Invoice315[[#This Row],[Amount due ($ Inc. GST)]]/Invoice315[[#This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IFERROR(Invoice315[[#This Row],[Amount due ($ Inc. GST)]]/Invoice315[[#This Row],[Usage]],0)</f>
        <v>0.22</v>
      </c>
      <c r="C27" s="34" cm="1">
        <f t="array" ref="C27">_xlfn.XLOOKUP($E$8,Table1[[#All],[Lot]],Table1[[#All],[Common Services based on Split per Unit Entitlement % to battery (kWh)]],0,0,1)</f>
        <v>34.216</v>
      </c>
      <c r="D27" s="34" t="s">
        <v>995</v>
      </c>
      <c r="E27" s="35" cm="1">
        <f t="array" ref="E27">_xlfn.XLOOKUP($E$8,Table1[[#All],[Lot]],Table1[[#All],[Common Services Cost Split per Unit Entitlement at P2P rate ($)]],0,0,1)</f>
        <v>7.52752</v>
      </c>
    </row>
    <row r="28" ht="30" customHeight="1" spans="1:7">
      <c r="A28" s="38" t="s">
        <v>996</v>
      </c>
      <c r="B28" s="33">
        <f>IFERROR(Invoice315[[#This Row],[Amount due ($ Inc. GST)]]/Invoice315[[#This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IFERROR(Invoice315[[#This Row],[Amount due ($ Inc. GST)]]/Invoice315[[#This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IFERROR(Invoice315[[#This Row],[Amount due ($ Inc. GST)]]/Invoice315[[#This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IFERROR(Invoice315[[#This Row],[Amount due ($ Inc. GST)]]/Invoice315[[#This Row],[Usage]],0)</f>
        <v>0</v>
      </c>
      <c r="C31" s="34" cm="1">
        <f t="array" ref="C31">_xlfn.XLOOKUP("EV",Table1[[#All],[Lot]],Table1[[#All],[Total Consumption Import  (kWh)]],0,0,1)*E11</f>
        <v>137.124</v>
      </c>
      <c r="D31" s="34" t="s">
        <v>995</v>
      </c>
      <c r="E31" s="35" cm="1">
        <f t="array" ref="E31">_xlfn.XLOOKUP($E$8,Table1[[#All],[Lot]],Table1[[#All],[EV Charger Income from Sales Equitable Distribution on UE ($)]],0,0,1)</f>
        <v>0</v>
      </c>
    </row>
    <row r="32" ht="30" customHeight="1" spans="1:5">
      <c r="A32" s="38" t="s">
        <v>1000</v>
      </c>
      <c r="B32" s="33">
        <f>IFERROR(Invoice315[[#This Row],[Amount due ($ Inc. GST)]]/Invoice315[[#This Row],[Usage]],0)</f>
        <v>0.22</v>
      </c>
      <c r="C32" s="34" cm="1">
        <f t="array" ref="C32">_xlfn.XLOOKUP("EV",Table1[[#All],[Lot]],Table1[[#All],[Total Consumption Import  (kWh)]],0,0,1)*E11</f>
        <v>137.124</v>
      </c>
      <c r="D32" s="34" t="s">
        <v>995</v>
      </c>
      <c r="E32" s="35" cm="1">
        <f t="array" ref="E32">_xlfn.XLOOKUP($E$8,Table1[[#All],[Lot]],Table1[[#All],[EV Charger Cost of Electricity Supply at P2P Rates ($)]],0,0,1)</f>
        <v>30.16728</v>
      </c>
    </row>
    <row r="33" ht="30" customHeight="1" spans="1:5">
      <c r="A33" s="38" t="s">
        <v>1001</v>
      </c>
      <c r="B33" s="33">
        <f>IFERROR(Invoice315[[#This Row],[Amount due ($ Inc. GST)]]/Invoice315[[#This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IFERROR(Invoice315[[#This Row],[Amount due ($ Inc. GST)]]/Invoice315[[#This Row],[Usage]],0)</f>
        <v>0</v>
      </c>
      <c r="C34" s="34" cm="1">
        <f t="array" ref="C34">_xlfn.XLOOKUP("EV",Table1[[#All],[Lot]],Table1[[#All],[Total Consumption Import  (kWh)]],0,0,1)*E11</f>
        <v>137.124</v>
      </c>
      <c r="D34" s="34" t="s">
        <v>995</v>
      </c>
      <c r="E34" s="35" cm="1">
        <f t="array" ref="E34">_xlfn.XLOOKUP($E$8,Table1[[#All],[Lot]],Table1[[#All],[Chargefox Commission on EV Charge Consumption Sales Cost Split by Unit Entitlement ($)]],0,0,1)</f>
        <v>0</v>
      </c>
    </row>
    <row r="35" ht="30" customHeight="1" spans="1:5">
      <c r="A35" s="39" t="s">
        <v>1003</v>
      </c>
      <c r="B35" s="48">
        <f>Invoice315[[#This Row],[Amount due ($ Inc. GST)]]/Invoice315[[#This Row],[Usage]]</f>
        <v>0.418831111111111</v>
      </c>
      <c r="C35" s="49">
        <f>C24</f>
        <v>90</v>
      </c>
      <c r="D35" s="49" t="s">
        <v>989</v>
      </c>
      <c r="E35" s="50">
        <f>SUM(E27:E34)</f>
        <v>37.6948</v>
      </c>
    </row>
    <row r="36" ht="30" customHeight="1" spans="1:5">
      <c r="A36" s="43" t="s">
        <v>1004</v>
      </c>
      <c r="B36" s="51"/>
      <c r="C36" s="52"/>
      <c r="D36" s="52"/>
      <c r="E36" s="53"/>
    </row>
    <row r="37" ht="30" customHeight="1" spans="1:5">
      <c r="A37" s="38" t="s">
        <v>1005</v>
      </c>
      <c r="B37" s="33">
        <f>IFERROR(Invoice315[[#This Row],[Amount due ($ Inc. GST)]]/Invoice315[[#This Row],[Usage]],0)</f>
        <v>0.36</v>
      </c>
      <c r="C37" s="34" cm="1">
        <f t="array" ref="C37">_xlfn.XLOOKUP($E$8,Table1[[#All],[Lot]],Table1[[#All],[Total P2P import (kWh)]],0,0,1)</f>
        <v>9</v>
      </c>
      <c r="D37" s="34" t="s">
        <v>995</v>
      </c>
      <c r="E37" s="35" cm="1">
        <f t="array" ref="E37">_xlfn.XLOOKUP($E$8,Table1[[#All],[Lot]],Table1[[#All],[P2P Import Cost ($)]],0,0,1)</f>
        <v>3.24</v>
      </c>
    </row>
    <row r="38" ht="30" customHeight="1" spans="1:5">
      <c r="A38" s="38" t="s">
        <v>1006</v>
      </c>
      <c r="B38" s="33">
        <f>IFERROR(Invoice315[[#This Row],[Amount due ($ Inc. GST)]]/Invoice315[[#This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IFERROR(Invoice315[[#This Row],[Amount due ($ Inc. GST)]]/Invoice315[[#This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Invoice315[[#This Row],[Amount due ($ Inc. GST)]]/Invoice315[[#This Row],[Usage]]</f>
        <v>0.036</v>
      </c>
      <c r="C40" s="49">
        <f>C35</f>
        <v>90</v>
      </c>
      <c r="D40" s="49" t="s">
        <v>989</v>
      </c>
      <c r="E40" s="50">
        <f>SUM(E37:E39)</f>
        <v>3.24</v>
      </c>
    </row>
    <row r="41" ht="30" customHeight="1" spans="1:5">
      <c r="A41" s="43" t="s">
        <v>1009</v>
      </c>
      <c r="B41" s="33"/>
      <c r="C41" s="34"/>
      <c r="D41" s="34"/>
      <c r="E41" s="46"/>
    </row>
    <row r="42" ht="30" customHeight="1" spans="1:5">
      <c r="A42" s="54" t="s">
        <v>1010</v>
      </c>
      <c r="B42" s="33">
        <f>IFERROR(Invoice315[[#This Row],[Amount due ($ Inc. GST)]]/Invoice315[[#This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IFERROR(Invoice315[[#This Row],[Amount due ($ Inc. GST)]]/Invoice315[[#This Row],[Usage]],0)</f>
        <v>-0.02</v>
      </c>
      <c r="C43" s="34" cm="1">
        <f t="array" ref="C43">_xlfn.XLOOKUP($E$8,Table1[[#All],[Lot]],Table1[[#All],[Borrowed Allowance Based on Unused Daily Allowance % (kWh)]],0,0,1)</f>
        <v>76.7813401396797</v>
      </c>
      <c r="D43" s="34" t="s">
        <v>995</v>
      </c>
      <c r="E43" s="35" cm="1">
        <f t="array" ref="E43">_xlfn.XLOOKUP($E$8,Table1[[#All],[Lot]],Table1[[#All],[Passive Compensation ($)]],0,0,1)</f>
        <v>-1.53562680279359</v>
      </c>
    </row>
    <row r="44" ht="30" customHeight="1" spans="1:5">
      <c r="A44" s="32" t="s">
        <v>1012</v>
      </c>
      <c r="B44" s="33">
        <f>IFERROR(Invoice315[[#This Row],[Amount due ($ Inc. GST)]]/Invoice315[[#This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IFERROR(Invoice315[[#This Row],[Amount due ($ Inc. GST)]]/Invoice315[[#This Row],[Usage]],0)</f>
        <v>0</v>
      </c>
      <c r="C45" s="49">
        <f>C40</f>
        <v>90</v>
      </c>
      <c r="D45" s="49" t="s">
        <v>989</v>
      </c>
      <c r="E45" s="50" t="e">
        <f>SUBTOTAL(109,E42:E44)</f>
        <v>#N/A</v>
      </c>
    </row>
    <row r="46" ht="30" customHeight="1" spans="1:5">
      <c r="A46" s="55" t="s">
        <v>1014</v>
      </c>
      <c r="B46" s="56">
        <f>IFERROR(Invoice315[[#This Row],[Amount due ($ Inc. GST)]]/Invoice315[[#This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Shaw 1A12/0325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1A13/0325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13</v>
      </c>
    </row>
    <row r="9" ht="18" customHeight="1" spans="1:5">
      <c r="A9" s="14"/>
      <c r="B9" s="8" t="s">
        <v>974</v>
      </c>
      <c r="C9" s="15"/>
      <c r="D9" s="15"/>
      <c r="E9" s="16">
        <f>VLOOKUP(E8,'Energy billing Mastersheet'!5:38,MATCH('Energy billing Mastersheet'!C4,'Energy billing Mastersheet'!4:4,0),FALSE)</f>
        <v>50002739</v>
      </c>
    </row>
    <row r="10" spans="1:5">
      <c r="A10" s="17" t="s">
        <v>975</v>
      </c>
      <c r="B10" s="8" t="s">
        <v>976</v>
      </c>
      <c r="C10" s="15"/>
      <c r="D10" s="15"/>
      <c r="E10" s="18" cm="1">
        <f t="array" ref="E10">INDEX(Table_Household_Alloc[Unit Entitlement],MATCH(1,(Table_Household_Alloc[Lot]=E8)*(Table_Household_Alloc[cluster]=E7),0))</f>
        <v>52</v>
      </c>
    </row>
    <row r="11" ht="15" customHeight="1" spans="1:5">
      <c r="A11" t="str" cm="1">
        <f t="array" ref="A11">INDEX(Table_Household_Alloc[Owner],MATCH(1,(Table_Household_Alloc[Lot]=E8)*(Table_Household_Alloc[cluster]=E7),0))</f>
        <v>Peter Froehlich &amp; Lydia Walzel</v>
      </c>
      <c r="B11" s="19" t="s">
        <v>977</v>
      </c>
      <c r="C11" s="3"/>
      <c r="D11" s="3"/>
      <c r="E11" s="20" cm="1">
        <f t="array" ref="E11">INDEX(Table_Household_Alloc[UE % over Cluster],MATCH(1,(Table_Household_Alloc[Lot]=E8)*(Table_Household_Alloc[cluster]=E7),0))</f>
        <v>0.052</v>
      </c>
    </row>
    <row r="12" ht="15" customHeight="1" spans="1:5">
      <c r="A12" t="str" cm="1">
        <f t="array" ref="A12">INDEX(Table_Household_Alloc[Street Address],MATCH(1,(Table_Household_Alloc[Lot]=E8)*(Table_Household_Alloc[cluster]=E7),0))</f>
        <v>45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IFERROR(Invoice316[[#This Row],[Amount due ($ Inc. GST)]]/Invoice316[[#This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IFERROR(Invoice316[[#This Row],[Amount due ($ Inc. GST)]]/Invoice316[[#This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IFERROR(Invoice316[[#This Row],[Amount due ($ Inc. GST)]]/Invoice316[[#This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IFERROR(Invoice316[[#This Row],[Amount due ($ Inc. GST)]]/Invoice316[[#This Row],[Usage]],0)</f>
        <v>1.67222222222222</v>
      </c>
      <c r="C20" s="34">
        <v>1</v>
      </c>
      <c r="D20" s="34" t="s">
        <v>987</v>
      </c>
      <c r="E20" s="35" cm="1">
        <f t="array" ref="E20">_xlfn.XLOOKUP($E$8,Table1[[#All],[Lot]],Table1[[#All],[Amanda Energy Other fees ($)]],0,0,1)</f>
        <v>1.67222222222222</v>
      </c>
    </row>
    <row r="21" ht="30" customHeight="1" spans="1:5">
      <c r="A21" s="36" t="s">
        <v>859</v>
      </c>
      <c r="B21" s="33">
        <f>IFERROR(Invoice316[[#This Row],[Amount due ($ Inc. GST)]]/Invoice316[[#This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IFERROR(Invoice316[[#This Row],[Amount due ($ Inc. GST)]]/Invoice316[[#This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IFERROR(Invoice316[[#This Row],[Amount due ($ Inc. GST)]]/Invoice316[[#This Row],[Usage]],0)</f>
        <v>0</v>
      </c>
      <c r="C23" s="34">
        <f>C21</f>
        <v>90</v>
      </c>
      <c r="D23" s="34" t="s">
        <v>989</v>
      </c>
      <c r="E23" s="35" cm="1">
        <f t="array" ref="E23">_xlfn.XLOOKUP($E$8,Table1[[#All],[Lot]],Table1[[#All],[Chargefox Daily Supply Charge ($)]],0,0,1)</f>
        <v>0</v>
      </c>
    </row>
    <row r="24" ht="30" customHeight="1" spans="1:5">
      <c r="A24" s="38" t="s">
        <v>991</v>
      </c>
      <c r="B24" s="33">
        <f>IFERROR(Invoice316[[#This Row],[Amount due ($ Inc. GST)]]/Invoice316[[#This Row],[Usage]],0)</f>
        <v>0</v>
      </c>
      <c r="C24" s="34">
        <f>C21</f>
        <v>90</v>
      </c>
      <c r="D24" s="34" t="s">
        <v>989</v>
      </c>
      <c r="E24" s="35" cm="1">
        <f t="array" ref="E24">_xlfn.XLOOKUP($E$8,Table1[[#All],[Lot]],Table1[[#All],[SwitchdIn Cost Daily Supply Charge ($)]],0,0,1)</f>
        <v>0</v>
      </c>
    </row>
    <row r="25" ht="30" customHeight="1" spans="1:5">
      <c r="A25" s="39" t="s">
        <v>992</v>
      </c>
      <c r="B25" s="40">
        <f>IFERROR(Invoice316[[#This Row],[Amount due ($ Inc. GST)]]/Invoice316[[#This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IFERROR(Invoice316[[#This Row],[Amount due ($ Inc. GST)]]/Invoice316[[#This Row],[Usage]],0)</f>
        <v>0.22</v>
      </c>
      <c r="C27" s="34" cm="1">
        <f t="array" ref="C27">_xlfn.XLOOKUP($E$8,Table1[[#All],[Lot]],Table1[[#All],[Common Services based on Split per Unit Entitlement % to battery (kWh)]],0,0,1)</f>
        <v>34.216</v>
      </c>
      <c r="D27" s="34" t="s">
        <v>995</v>
      </c>
      <c r="E27" s="35" cm="1">
        <f t="array" ref="E27">_xlfn.XLOOKUP($E$8,Table1[[#All],[Lot]],Table1[[#All],[Common Services Cost Split per Unit Entitlement at P2P rate ($)]],0,0,1)</f>
        <v>7.52752</v>
      </c>
    </row>
    <row r="28" ht="30" customHeight="1" spans="1:7">
      <c r="A28" s="38" t="s">
        <v>996</v>
      </c>
      <c r="B28" s="33">
        <f>IFERROR(Invoice316[[#This Row],[Amount due ($ Inc. GST)]]/Invoice316[[#This Row],[Usage]],0)</f>
        <v>-0.22</v>
      </c>
      <c r="C28" s="34" cm="1">
        <f t="array" ref="C28">_xlfn.XLOOKUP($E$8,Table1[[#All],[Lot]],Table1[[#All],[Common Service based upon % total export to battery (kWh)]],0,0,1)</f>
        <v>71.4638367137136</v>
      </c>
      <c r="D28" s="34" t="s">
        <v>995</v>
      </c>
      <c r="E28" s="35" cm="1">
        <f t="array" ref="E28">_xlfn.XLOOKUP($E$8,Table1[[#All],[Lot]],Table1[[#All],[Common Service Earning based upon % total export to Load ($)]],0,0,1)</f>
        <v>-15.722044077017</v>
      </c>
      <c r="G28" s="47"/>
    </row>
    <row r="29" ht="30" customHeight="1" spans="1:7">
      <c r="A29" s="38" t="s">
        <v>997</v>
      </c>
      <c r="B29" s="33">
        <f>IFERROR(Invoice316[[#This Row],[Amount due ($ Inc. GST)]]/Invoice316[[#This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IFERROR(Invoice316[[#This Row],[Amount due ($ Inc. GST)]]/Invoice316[[#This Row],[Usage]],0)</f>
        <v>-0.22</v>
      </c>
      <c r="C30" s="34" cm="1">
        <f t="array" ref="C30">_xlfn.XLOOKUP($E$8,Table1[[#All],[Lot]],Table1[[#All],[Axillary Battery Losses based upon Adjusted % total export (kWh)]],0,0,1)</f>
        <v>268.912552740357</v>
      </c>
      <c r="D30" s="34" t="s">
        <v>995</v>
      </c>
      <c r="E30" s="35" cm="1">
        <f t="array" ref="E30">_xlfn.XLOOKUP($E$8,Table1[[#All],[Lot]],Table1[[#All],[Axillary Battery Losses based upon % total export  ($)]],0,0,1)</f>
        <v>-59.1607616028785</v>
      </c>
    </row>
    <row r="31" ht="30" customHeight="1" spans="1:5">
      <c r="A31" s="38" t="s">
        <v>999</v>
      </c>
      <c r="B31" s="33">
        <f>IFERROR(Invoice316[[#This Row],[Amount due ($ Inc. GST)]]/Invoice316[[#This Row],[Usage]],0)</f>
        <v>0</v>
      </c>
      <c r="C31" s="34" cm="1">
        <f t="array" ref="C31">_xlfn.XLOOKUP("EV",Table1[[#All],[Lot]],Table1[[#All],[Total Consumption Import  (kWh)]],0,0,1)*E11</f>
        <v>137.124</v>
      </c>
      <c r="D31" s="34" t="s">
        <v>995</v>
      </c>
      <c r="E31" s="35" cm="1">
        <f t="array" ref="E31">_xlfn.XLOOKUP($E$8,Table1[[#All],[Lot]],Table1[[#All],[EV Charger Income from Sales Equitable Distribution on UE ($)]],0,0,1)</f>
        <v>0</v>
      </c>
    </row>
    <row r="32" ht="30" customHeight="1" spans="1:5">
      <c r="A32" s="38" t="s">
        <v>1000</v>
      </c>
      <c r="B32" s="33">
        <f>IFERROR(Invoice316[[#This Row],[Amount due ($ Inc. GST)]]/Invoice316[[#This Row],[Usage]],0)</f>
        <v>0.22</v>
      </c>
      <c r="C32" s="34" cm="1">
        <f t="array" ref="C32">_xlfn.XLOOKUP("EV",Table1[[#All],[Lot]],Table1[[#All],[Total Consumption Import  (kWh)]],0,0,1)*E11</f>
        <v>137.124</v>
      </c>
      <c r="D32" s="34" t="s">
        <v>995</v>
      </c>
      <c r="E32" s="35" cm="1">
        <f t="array" ref="E32">_xlfn.XLOOKUP($E$8,Table1[[#All],[Lot]],Table1[[#All],[EV Charger Cost of Electricity Supply at P2P Rates ($)]],0,0,1)</f>
        <v>30.16728</v>
      </c>
    </row>
    <row r="33" ht="30" customHeight="1" spans="1:5">
      <c r="A33" s="38" t="s">
        <v>1001</v>
      </c>
      <c r="B33" s="33">
        <f>IFERROR(Invoice316[[#This Row],[Amount due ($ Inc. GST)]]/Invoice316[[#This Row],[Usage]],0)</f>
        <v>-0.22</v>
      </c>
      <c r="C33" s="34" cm="1">
        <f t="array" ref="C33">_xlfn.XLOOKUP($E$8,Table1[[#All],[Lot]],Table1[[#All],[EV Charger based upon % total export to battery (kWh)]],0,0,1)</f>
        <v>286.398385127755</v>
      </c>
      <c r="D33" s="34" t="s">
        <v>995</v>
      </c>
      <c r="E33" s="35" cm="1">
        <f t="array" ref="E33">_xlfn.XLOOKUP($E$8,Table1[[#All],[Lot]],Table1[[#All],[EV Charger based upon % total export ($)]],0,0,1)</f>
        <v>-63.0076447281061</v>
      </c>
    </row>
    <row r="34" ht="30" customHeight="1" spans="1:5">
      <c r="A34" s="38" t="s">
        <v>1002</v>
      </c>
      <c r="B34" s="33">
        <f>IFERROR(Invoice316[[#This Row],[Amount due ($ Inc. GST)]]/Invoice316[[#This Row],[Usage]],0)</f>
        <v>0</v>
      </c>
      <c r="C34" s="34" cm="1">
        <f t="array" ref="C34">_xlfn.XLOOKUP("EV",Table1[[#All],[Lot]],Table1[[#All],[Total Consumption Import  (kWh)]],0,0,1)*E11</f>
        <v>137.124</v>
      </c>
      <c r="D34" s="34" t="s">
        <v>995</v>
      </c>
      <c r="E34" s="35" cm="1">
        <f t="array" ref="E34">_xlfn.XLOOKUP($E$8,Table1[[#All],[Lot]],Table1[[#All],[Chargefox Commission on EV Charge Consumption Sales Cost Split by Unit Entitlement ($)]],0,0,1)</f>
        <v>0</v>
      </c>
    </row>
    <row r="35" ht="30" customHeight="1" spans="1:5">
      <c r="A35" s="39" t="s">
        <v>1003</v>
      </c>
      <c r="B35" s="48">
        <f>Invoice316[[#This Row],[Amount due ($ Inc. GST)]]/Invoice316[[#This Row],[Usage]]</f>
        <v>-1.11328500453335</v>
      </c>
      <c r="C35" s="49">
        <f>C24</f>
        <v>90</v>
      </c>
      <c r="D35" s="49" t="s">
        <v>989</v>
      </c>
      <c r="E35" s="50">
        <f>SUM(E27:E34)</f>
        <v>-100.195650408002</v>
      </c>
    </row>
    <row r="36" ht="30" customHeight="1" spans="1:5">
      <c r="A36" s="43" t="s">
        <v>1004</v>
      </c>
      <c r="B36" s="51"/>
      <c r="C36" s="52"/>
      <c r="D36" s="52"/>
      <c r="E36" s="53"/>
    </row>
    <row r="37" ht="30" customHeight="1" spans="1:5">
      <c r="A37" s="38" t="s">
        <v>1005</v>
      </c>
      <c r="B37" s="33">
        <f>IFERROR(Invoice316[[#This Row],[Amount due ($ Inc. GST)]]/Invoice316[[#This Row],[Usage]],0)</f>
        <v>0.22</v>
      </c>
      <c r="C37" s="34" cm="1">
        <f t="array" ref="C37">_xlfn.XLOOKUP($E$8,Table1[[#All],[Lot]],Table1[[#All],[Total P2P import (kWh)]],0,0,1)</f>
        <v>336</v>
      </c>
      <c r="D37" s="34" t="s">
        <v>995</v>
      </c>
      <c r="E37" s="35" cm="1">
        <f t="array" ref="E37">_xlfn.XLOOKUP($E$8,Table1[[#All],[Lot]],Table1[[#All],[P2P Import Cost ($)]],0,0,1)</f>
        <v>73.92</v>
      </c>
    </row>
    <row r="38" ht="30" customHeight="1" spans="1:5">
      <c r="A38" s="38" t="s">
        <v>1006</v>
      </c>
      <c r="B38" s="33">
        <f>IFERROR(Invoice316[[#This Row],[Amount due ($ Inc. GST)]]/Invoice316[[#This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IFERROR(Invoice316[[#This Row],[Amount due ($ Inc. GST)]]/Invoice316[[#This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Invoice316[[#This Row],[Amount due ($ Inc. GST)]]/Invoice316[[#This Row],[Usage]]</f>
        <v>0.821333333333333</v>
      </c>
      <c r="C40" s="49">
        <f>C35</f>
        <v>90</v>
      </c>
      <c r="D40" s="49" t="s">
        <v>989</v>
      </c>
      <c r="E40" s="50">
        <f>SUM(E37:E39)</f>
        <v>73.92</v>
      </c>
    </row>
    <row r="41" ht="30" customHeight="1" spans="1:5">
      <c r="A41" s="43" t="s">
        <v>1009</v>
      </c>
      <c r="B41" s="33"/>
      <c r="C41" s="34"/>
      <c r="D41" s="34"/>
      <c r="E41" s="46"/>
    </row>
    <row r="42" ht="30" customHeight="1" spans="1:5">
      <c r="A42" s="54" t="s">
        <v>1010</v>
      </c>
      <c r="B42" s="33">
        <f>IFERROR(Invoice316[[#This Row],[Amount due ($ Inc. GST)]]/Invoice316[[#This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IFERROR(Invoice316[[#This Row],[Amount due ($ Inc. GST)]]/Invoice316[[#This Row],[Usage]],0)</f>
        <v>-0.02</v>
      </c>
      <c r="C43" s="34" cm="1">
        <f t="array" ref="C43">_xlfn.XLOOKUP($E$8,Table1[[#All],[Lot]],Table1[[#All],[Borrowed Allowance Based on Unused Daily Allowance % (kWh)]],0,0,1)</f>
        <v>53.5646122345946</v>
      </c>
      <c r="D43" s="34" t="s">
        <v>995</v>
      </c>
      <c r="E43" s="35" cm="1">
        <f t="array" ref="E43">_xlfn.XLOOKUP($E$8,Table1[[#All],[Lot]],Table1[[#All],[Passive Compensation ($)]],0,0,1)</f>
        <v>-1.07129224469189</v>
      </c>
    </row>
    <row r="44" ht="30" customHeight="1" spans="1:5">
      <c r="A44" s="32" t="s">
        <v>1012</v>
      </c>
      <c r="B44" s="33">
        <f>IFERROR(Invoice316[[#This Row],[Amount due ($ Inc. GST)]]/Invoice316[[#This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IFERROR(Invoice316[[#This Row],[Amount due ($ Inc. GST)]]/Invoice316[[#This Row],[Usage]],0)</f>
        <v>0</v>
      </c>
      <c r="C45" s="49">
        <f>C40</f>
        <v>90</v>
      </c>
      <c r="D45" s="49" t="s">
        <v>989</v>
      </c>
      <c r="E45" s="50" t="e">
        <f>SUBTOTAL(109,E42:E44)</f>
        <v>#N/A</v>
      </c>
    </row>
    <row r="46" ht="30" customHeight="1" spans="1:5">
      <c r="A46" s="55" t="s">
        <v>1014</v>
      </c>
      <c r="B46" s="56">
        <f>IFERROR(Invoice316[[#This Row],[Amount due ($ Inc. GST)]]/Invoice316[[#This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Walzel 1A13/0325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1A14/0325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14</v>
      </c>
    </row>
    <row r="9" ht="18" customHeight="1" spans="1:5">
      <c r="A9" s="14"/>
      <c r="B9" s="8" t="s">
        <v>974</v>
      </c>
      <c r="C9" s="15"/>
      <c r="D9" s="15"/>
      <c r="E9" s="16">
        <f>VLOOKUP(E8,'Energy billing Mastersheet'!5:38,MATCH('Energy billing Mastersheet'!C4,'Energy billing Mastersheet'!4:4,0),FALSE)</f>
        <v>50002709</v>
      </c>
    </row>
    <row r="10" spans="1:5">
      <c r="A10" s="17" t="s">
        <v>975</v>
      </c>
      <c r="B10" s="8" t="s">
        <v>976</v>
      </c>
      <c r="C10" s="15"/>
      <c r="D10" s="15"/>
      <c r="E10" s="18" cm="1">
        <f t="array" ref="E10">INDEX(Table_Household_Alloc[Unit Entitlement],MATCH(1,(Table_Household_Alloc[Lot]=E8)*(Table_Household_Alloc[cluster]=E7),0))</f>
        <v>52</v>
      </c>
    </row>
    <row r="11" ht="15" customHeight="1" spans="1:5">
      <c r="A11" t="str" cm="1">
        <f t="array" ref="A11">INDEX(Table_Household_Alloc[Owner],MATCH(1,(Table_Household_Alloc[Lot]=E8)*(Table_Household_Alloc[cluster]=E7),0))</f>
        <v>Priscila Goncalves</v>
      </c>
      <c r="B11" s="19" t="s">
        <v>977</v>
      </c>
      <c r="C11" s="3"/>
      <c r="D11" s="3"/>
      <c r="E11" s="20" cm="1">
        <f t="array" ref="E11">INDEX(Table_Household_Alloc[UE % over Cluster],MATCH(1,(Table_Household_Alloc[Lot]=E8)*(Table_Household_Alloc[cluster]=E7),0))</f>
        <v>0.052</v>
      </c>
    </row>
    <row r="12" ht="15" customHeight="1" spans="1:5">
      <c r="A12" t="str" cm="1">
        <f t="array" ref="A12">INDEX(Table_Household_Alloc[Street Address],MATCH(1,(Table_Household_Alloc[Lot]=E8)*(Table_Household_Alloc[cluster]=E7),0))</f>
        <v>43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IFERROR(Invoice317[[#This Row],[Amount due ($ Inc. GST)]]/Invoice317[[#This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IFERROR(Invoice317[[#This Row],[Amount due ($ Inc. GST)]]/Invoice317[[#This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IFERROR(Invoice317[[#This Row],[Amount due ($ Inc. GST)]]/Invoice317[[#This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IFERROR(Invoice317[[#This Row],[Amount due ($ Inc. GST)]]/Invoice317[[#This Row],[Usage]],0)</f>
        <v>1.67222222222222</v>
      </c>
      <c r="C20" s="34">
        <v>1</v>
      </c>
      <c r="D20" s="34" t="s">
        <v>987</v>
      </c>
      <c r="E20" s="35" cm="1">
        <f t="array" ref="E20">_xlfn.XLOOKUP($E$8,Table1[[#All],[Lot]],Table1[[#All],[Amanda Energy Other fees ($)]],0,0,1)</f>
        <v>1.67222222222222</v>
      </c>
    </row>
    <row r="21" ht="30" customHeight="1" spans="1:5">
      <c r="A21" s="36" t="s">
        <v>859</v>
      </c>
      <c r="B21" s="33">
        <f>IFERROR(Invoice317[[#This Row],[Amount due ($ Inc. GST)]]/Invoice317[[#This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IFERROR(Invoice317[[#This Row],[Amount due ($ Inc. GST)]]/Invoice317[[#This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IFERROR(Invoice317[[#This Row],[Amount due ($ Inc. GST)]]/Invoice317[[#This Row],[Usage]],0)</f>
        <v>0</v>
      </c>
      <c r="C23" s="34">
        <f>C21</f>
        <v>90</v>
      </c>
      <c r="D23" s="34" t="s">
        <v>989</v>
      </c>
      <c r="E23" s="35" cm="1">
        <f t="array" ref="E23">_xlfn.XLOOKUP($E$8,Table1[[#All],[Lot]],Table1[[#All],[Chargefox Daily Supply Charge ($)]],0,0,1)</f>
        <v>0</v>
      </c>
    </row>
    <row r="24" ht="30" customHeight="1" spans="1:5">
      <c r="A24" s="38" t="s">
        <v>991</v>
      </c>
      <c r="B24" s="33">
        <f>IFERROR(Invoice317[[#This Row],[Amount due ($ Inc. GST)]]/Invoice317[[#This Row],[Usage]],0)</f>
        <v>0</v>
      </c>
      <c r="C24" s="34">
        <f>C21</f>
        <v>90</v>
      </c>
      <c r="D24" s="34" t="s">
        <v>989</v>
      </c>
      <c r="E24" s="35" cm="1">
        <f t="array" ref="E24">_xlfn.XLOOKUP($E$8,Table1[[#All],[Lot]],Table1[[#All],[SwitchdIn Cost Daily Supply Charge ($)]],0,0,1)</f>
        <v>0</v>
      </c>
    </row>
    <row r="25" ht="30" customHeight="1" spans="1:5">
      <c r="A25" s="39" t="s">
        <v>992</v>
      </c>
      <c r="B25" s="40">
        <f>IFERROR(Invoice317[[#This Row],[Amount due ($ Inc. GST)]]/Invoice317[[#This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IFERROR(Invoice317[[#This Row],[Amount due ($ Inc. GST)]]/Invoice317[[#This Row],[Usage]],0)</f>
        <v>0.22</v>
      </c>
      <c r="C27" s="34" cm="1">
        <f t="array" ref="C27">_xlfn.XLOOKUP($E$8,Table1[[#All],[Lot]],Table1[[#All],[Common Services based on Split per Unit Entitlement % to battery (kWh)]],0,0,1)</f>
        <v>34.216</v>
      </c>
      <c r="D27" s="34" t="s">
        <v>995</v>
      </c>
      <c r="E27" s="35" cm="1">
        <f t="array" ref="E27">_xlfn.XLOOKUP($E$8,Table1[[#All],[Lot]],Table1[[#All],[Common Services Cost Split per Unit Entitlement at P2P rate ($)]],0,0,1)</f>
        <v>7.52752</v>
      </c>
    </row>
    <row r="28" ht="30" customHeight="1" spans="1:7">
      <c r="A28" s="38" t="s">
        <v>996</v>
      </c>
      <c r="B28" s="33">
        <f>IFERROR(Invoice317[[#This Row],[Amount due ($ Inc. GST)]]/Invoice317[[#This Row],[Usage]],0)</f>
        <v>-0.22</v>
      </c>
      <c r="C28" s="34" cm="1">
        <f t="array" ref="C28">_xlfn.XLOOKUP($E$8,Table1[[#All],[Lot]],Table1[[#All],[Common Service based upon % total export to battery (kWh)]],0,0,1)</f>
        <v>56.3565141033604</v>
      </c>
      <c r="D28" s="34" t="s">
        <v>995</v>
      </c>
      <c r="E28" s="35" cm="1">
        <f t="array" ref="E28">_xlfn.XLOOKUP($E$8,Table1[[#All],[Lot]],Table1[[#All],[Common Service Earning based upon % total export to Load ($)]],0,0,1)</f>
        <v>-12.3984331027393</v>
      </c>
      <c r="G28" s="47"/>
    </row>
    <row r="29" ht="30" customHeight="1" spans="1:7">
      <c r="A29" s="38" t="s">
        <v>997</v>
      </c>
      <c r="B29" s="33">
        <f>IFERROR(Invoice317[[#This Row],[Amount due ($ Inc. GST)]]/Invoice317[[#This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IFERROR(Invoice317[[#This Row],[Amount due ($ Inc. GST)]]/Invoice317[[#This Row],[Usage]],0)</f>
        <v>-0.22</v>
      </c>
      <c r="C30" s="34" cm="1">
        <f t="array" ref="C30">_xlfn.XLOOKUP($E$8,Table1[[#All],[Lot]],Table1[[#All],[Axillary Battery Losses based upon Adjusted % total export (kWh)]],0,0,1)</f>
        <v>212.064937568268</v>
      </c>
      <c r="D30" s="34" t="s">
        <v>995</v>
      </c>
      <c r="E30" s="35" cm="1">
        <f t="array" ref="E30">_xlfn.XLOOKUP($E$8,Table1[[#All],[Lot]],Table1[[#All],[Axillary Battery Losses based upon % total export  ($)]],0,0,1)</f>
        <v>-46.654286265019</v>
      </c>
    </row>
    <row r="31" ht="30" customHeight="1" spans="1:5">
      <c r="A31" s="38" t="s">
        <v>999</v>
      </c>
      <c r="B31" s="33">
        <f>IFERROR(Invoice317[[#This Row],[Amount due ($ Inc. GST)]]/Invoice317[[#This Row],[Usage]],0)</f>
        <v>0</v>
      </c>
      <c r="C31" s="34" cm="1">
        <f t="array" ref="C31">_xlfn.XLOOKUP("EV",Table1[[#All],[Lot]],Table1[[#All],[Total Consumption Import  (kWh)]],0,0,1)*E11</f>
        <v>137.124</v>
      </c>
      <c r="D31" s="34" t="s">
        <v>995</v>
      </c>
      <c r="E31" s="35" cm="1">
        <f t="array" ref="E31">_xlfn.XLOOKUP($E$8,Table1[[#All],[Lot]],Table1[[#All],[EV Charger Income from Sales Equitable Distribution on UE ($)]],0,0,1)</f>
        <v>0</v>
      </c>
    </row>
    <row r="32" ht="30" customHeight="1" spans="1:5">
      <c r="A32" s="38" t="s">
        <v>1000</v>
      </c>
      <c r="B32" s="33">
        <f>IFERROR(Invoice317[[#This Row],[Amount due ($ Inc. GST)]]/Invoice317[[#This Row],[Usage]],0)</f>
        <v>0.22</v>
      </c>
      <c r="C32" s="34" cm="1">
        <f t="array" ref="C32">_xlfn.XLOOKUP("EV",Table1[[#All],[Lot]],Table1[[#All],[Total Consumption Import  (kWh)]],0,0,1)*E11</f>
        <v>137.124</v>
      </c>
      <c r="D32" s="34" t="s">
        <v>995</v>
      </c>
      <c r="E32" s="35" cm="1">
        <f t="array" ref="E32">_xlfn.XLOOKUP($E$8,Table1[[#All],[Lot]],Table1[[#All],[EV Charger Cost of Electricity Supply at P2P Rates ($)]],0,0,1)</f>
        <v>30.16728</v>
      </c>
    </row>
    <row r="33" ht="30" customHeight="1" spans="1:5">
      <c r="A33" s="38" t="s">
        <v>1001</v>
      </c>
      <c r="B33" s="33">
        <f>IFERROR(Invoice317[[#This Row],[Amount due ($ Inc. GST)]]/Invoice317[[#This Row],[Usage]],0)</f>
        <v>-0.22</v>
      </c>
      <c r="C33" s="34" cm="1">
        <f t="array" ref="C33">_xlfn.XLOOKUP($E$8,Table1[[#All],[Lot]],Table1[[#All],[EV Charger based upon % total export to battery (kWh)]],0,0,1)</f>
        <v>225.854297402069</v>
      </c>
      <c r="D33" s="34" t="s">
        <v>995</v>
      </c>
      <c r="E33" s="35" cm="1">
        <f t="array" ref="E33">_xlfn.XLOOKUP($E$8,Table1[[#All],[Lot]],Table1[[#All],[EV Charger based upon % total export ($)]],0,0,1)</f>
        <v>-49.6879454284552</v>
      </c>
    </row>
    <row r="34" ht="30" customHeight="1" spans="1:5">
      <c r="A34" s="38" t="s">
        <v>1002</v>
      </c>
      <c r="B34" s="33">
        <f>IFERROR(Invoice317[[#This Row],[Amount due ($ Inc. GST)]]/Invoice317[[#This Row],[Usage]],0)</f>
        <v>0</v>
      </c>
      <c r="C34" s="34" cm="1">
        <f t="array" ref="C34">_xlfn.XLOOKUP("EV",Table1[[#All],[Lot]],Table1[[#All],[Total Consumption Import  (kWh)]],0,0,1)*E11</f>
        <v>137.124</v>
      </c>
      <c r="D34" s="34" t="s">
        <v>995</v>
      </c>
      <c r="E34" s="35" cm="1">
        <f t="array" ref="E34">_xlfn.XLOOKUP($E$8,Table1[[#All],[Lot]],Table1[[#All],[Chargefox Commission on EV Charge Consumption Sales Cost Split by Unit Entitlement ($)]],0,0,1)</f>
        <v>0</v>
      </c>
    </row>
    <row r="35" ht="30" customHeight="1" spans="1:5">
      <c r="A35" s="39" t="s">
        <v>1003</v>
      </c>
      <c r="B35" s="48">
        <f>Invoice317[[#This Row],[Amount due ($ Inc. GST)]]/Invoice317[[#This Row],[Usage]]</f>
        <v>-0.789398497735705</v>
      </c>
      <c r="C35" s="49">
        <f>C24</f>
        <v>90</v>
      </c>
      <c r="D35" s="49" t="s">
        <v>989</v>
      </c>
      <c r="E35" s="50">
        <f>SUM(E27:E34)</f>
        <v>-71.0458647962134</v>
      </c>
    </row>
    <row r="36" ht="30" customHeight="1" spans="1:5">
      <c r="A36" s="43" t="s">
        <v>1004</v>
      </c>
      <c r="B36" s="51"/>
      <c r="C36" s="52"/>
      <c r="D36" s="52"/>
      <c r="E36" s="53"/>
    </row>
    <row r="37" ht="30" customHeight="1" spans="1:5">
      <c r="A37" s="38" t="s">
        <v>1005</v>
      </c>
      <c r="B37" s="33">
        <f>IFERROR(Invoice317[[#This Row],[Amount due ($ Inc. GST)]]/Invoice317[[#This Row],[Usage]],0)</f>
        <v>0.22</v>
      </c>
      <c r="C37" s="34" cm="1">
        <f t="array" ref="C37">_xlfn.XLOOKUP($E$8,Table1[[#All],[Lot]],Table1[[#All],[Total P2P import (kWh)]],0,0,1)</f>
        <v>454</v>
      </c>
      <c r="D37" s="34" t="s">
        <v>995</v>
      </c>
      <c r="E37" s="35" cm="1">
        <f t="array" ref="E37">_xlfn.XLOOKUP($E$8,Table1[[#All],[Lot]],Table1[[#All],[P2P Import Cost ($)]],0,0,1)</f>
        <v>99.88</v>
      </c>
    </row>
    <row r="38" ht="30" customHeight="1" spans="1:5">
      <c r="A38" s="38" t="s">
        <v>1006</v>
      </c>
      <c r="B38" s="33">
        <f>IFERROR(Invoice317[[#This Row],[Amount due ($ Inc. GST)]]/Invoice317[[#This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IFERROR(Invoice317[[#This Row],[Amount due ($ Inc. GST)]]/Invoice317[[#This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Invoice317[[#This Row],[Amount due ($ Inc. GST)]]/Invoice317[[#This Row],[Usage]]</f>
        <v>1.10977777777778</v>
      </c>
      <c r="C40" s="49">
        <f>C35</f>
        <v>90</v>
      </c>
      <c r="D40" s="49" t="s">
        <v>989</v>
      </c>
      <c r="E40" s="50">
        <f>SUM(E37:E39)</f>
        <v>99.88</v>
      </c>
    </row>
    <row r="41" ht="30" customHeight="1" spans="1:5">
      <c r="A41" s="43" t="s">
        <v>1009</v>
      </c>
      <c r="B41" s="33"/>
      <c r="C41" s="34"/>
      <c r="D41" s="34"/>
      <c r="E41" s="46"/>
    </row>
    <row r="42" ht="30" customHeight="1" spans="1:5">
      <c r="A42" s="54" t="s">
        <v>1010</v>
      </c>
      <c r="B42" s="33">
        <f>IFERROR(Invoice317[[#This Row],[Amount due ($ Inc. GST)]]/Invoice317[[#This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IFERROR(Invoice317[[#This Row],[Amount due ($ Inc. GST)]]/Invoice317[[#This Row],[Usage]],0)</f>
        <v>-0.02</v>
      </c>
      <c r="C43" s="34" cm="1">
        <f t="array" ref="C43">_xlfn.XLOOKUP($E$8,Table1[[#All],[Lot]],Table1[[#All],[Borrowed Allowance Based on Unused Daily Allowance % (kWh)]],0,0,1)</f>
        <v>45.1867104217504</v>
      </c>
      <c r="D43" s="34" t="s">
        <v>995</v>
      </c>
      <c r="E43" s="35" cm="1">
        <f t="array" ref="E43">_xlfn.XLOOKUP($E$8,Table1[[#All],[Lot]],Table1[[#All],[Passive Compensation ($)]],0,0,1)</f>
        <v>-0.903734208435008</v>
      </c>
    </row>
    <row r="44" ht="30" customHeight="1" spans="1:5">
      <c r="A44" s="32" t="s">
        <v>1012</v>
      </c>
      <c r="B44" s="33">
        <f>IFERROR(Invoice317[[#This Row],[Amount due ($ Inc. GST)]]/Invoice317[[#This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IFERROR(Invoice317[[#This Row],[Amount due ($ Inc. GST)]]/Invoice317[[#This Row],[Usage]],0)</f>
        <v>0</v>
      </c>
      <c r="C45" s="49">
        <f>C40</f>
        <v>90</v>
      </c>
      <c r="D45" s="49" t="s">
        <v>989</v>
      </c>
      <c r="E45" s="50" t="e">
        <f>SUBTOTAL(109,E42:E44)</f>
        <v>#N/A</v>
      </c>
    </row>
    <row r="46" ht="30" customHeight="1" spans="1:5">
      <c r="A46" s="55" t="s">
        <v>1014</v>
      </c>
      <c r="B46" s="56">
        <f>IFERROR(Invoice317[[#This Row],[Amount due ($ Inc. GST)]]/Invoice317[[#This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Goncalves 1A14/0325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1A15/0325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15</v>
      </c>
    </row>
    <row r="9" ht="18" customHeight="1" spans="1:5">
      <c r="A9" s="14"/>
      <c r="B9" s="8" t="s">
        <v>974</v>
      </c>
      <c r="C9" s="15"/>
      <c r="D9" s="15"/>
      <c r="E9" s="16">
        <f>VLOOKUP(E8,'Energy billing Mastersheet'!5:38,MATCH('Energy billing Mastersheet'!C4,'Energy billing Mastersheet'!4:4,0),FALSE)</f>
        <v>50002714</v>
      </c>
    </row>
    <row r="10" spans="1:5">
      <c r="A10" s="17" t="s">
        <v>975</v>
      </c>
      <c r="B10" s="8" t="s">
        <v>976</v>
      </c>
      <c r="C10" s="15"/>
      <c r="D10" s="15"/>
      <c r="E10" s="18" cm="1">
        <f t="array" ref="E10">INDEX(Table_Household_Alloc[Unit Entitlement],MATCH(1,(Table_Household_Alloc[Lot]=E8)*(Table_Household_Alloc[cluster]=E7),0))</f>
        <v>53</v>
      </c>
    </row>
    <row r="11" ht="15" customHeight="1" spans="1:5">
      <c r="A11" t="str" cm="1">
        <f t="array" ref="A11">INDEX(Table_Household_Alloc[Owner],MATCH(1,(Table_Household_Alloc[Lot]=E8)*(Table_Household_Alloc[cluster]=E7),0))</f>
        <v>Jeﬀ &amp; Jo Thierfelder</v>
      </c>
      <c r="B11" s="19" t="s">
        <v>977</v>
      </c>
      <c r="C11" s="3"/>
      <c r="D11" s="3"/>
      <c r="E11" s="20" cm="1">
        <f t="array" ref="E11">INDEX(Table_Household_Alloc[UE % over Cluster],MATCH(1,(Table_Household_Alloc[Lot]=E8)*(Table_Household_Alloc[cluster]=E7),0))</f>
        <v>0.053</v>
      </c>
    </row>
    <row r="12" ht="15" customHeight="1" spans="1:5">
      <c r="A12" t="str" cm="1">
        <f t="array" ref="A12">INDEX(Table_Household_Alloc[Street Address],MATCH(1,(Table_Household_Alloc[Lot]=E8)*(Table_Household_Alloc[cluster]=E7),0))</f>
        <v>41 Mardo Drive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IFERROR(Invoice318[[#This Row],[Amount due ($ Inc. GST)]]/Invoice318[[#This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IFERROR(Invoice318[[#This Row],[Amount due ($ Inc. GST)]]/Invoice318[[#This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IFERROR(Invoice318[[#This Row],[Amount due ($ Inc. GST)]]/Invoice318[[#This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IFERROR(Invoice318[[#This Row],[Amount due ($ Inc. GST)]]/Invoice318[[#This Row],[Usage]],0)</f>
        <v>1.67222222222222</v>
      </c>
      <c r="C20" s="34">
        <v>1</v>
      </c>
      <c r="D20" s="34" t="s">
        <v>987</v>
      </c>
      <c r="E20" s="35" cm="1">
        <f t="array" ref="E20">_xlfn.XLOOKUP($E$8,Table1[[#All],[Lot]],Table1[[#All],[Amanda Energy Other fees ($)]],0,0,1)</f>
        <v>1.67222222222222</v>
      </c>
    </row>
    <row r="21" ht="30" customHeight="1" spans="1:5">
      <c r="A21" s="36" t="s">
        <v>859</v>
      </c>
      <c r="B21" s="33">
        <f>IFERROR(Invoice318[[#This Row],[Amount due ($ Inc. GST)]]/Invoice318[[#This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IFERROR(Invoice318[[#This Row],[Amount due ($ Inc. GST)]]/Invoice318[[#This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IFERROR(Invoice318[[#This Row],[Amount due ($ Inc. GST)]]/Invoice318[[#This Row],[Usage]],0)</f>
        <v>0</v>
      </c>
      <c r="C23" s="34">
        <f>C21</f>
        <v>90</v>
      </c>
      <c r="D23" s="34" t="s">
        <v>989</v>
      </c>
      <c r="E23" s="35" cm="1">
        <f t="array" ref="E23">_xlfn.XLOOKUP($E$8,Table1[[#All],[Lot]],Table1[[#All],[Chargefox Daily Supply Charge ($)]],0,0,1)</f>
        <v>0</v>
      </c>
    </row>
    <row r="24" ht="30" customHeight="1" spans="1:5">
      <c r="A24" s="38" t="s">
        <v>991</v>
      </c>
      <c r="B24" s="33">
        <f>IFERROR(Invoice318[[#This Row],[Amount due ($ Inc. GST)]]/Invoice318[[#This Row],[Usage]],0)</f>
        <v>0</v>
      </c>
      <c r="C24" s="34">
        <f>C21</f>
        <v>90</v>
      </c>
      <c r="D24" s="34" t="s">
        <v>989</v>
      </c>
      <c r="E24" s="35" cm="1">
        <f t="array" ref="E24">_xlfn.XLOOKUP($E$8,Table1[[#All],[Lot]],Table1[[#All],[SwitchdIn Cost Daily Supply Charge ($)]],0,0,1)</f>
        <v>0</v>
      </c>
    </row>
    <row r="25" ht="30" customHeight="1" spans="1:5">
      <c r="A25" s="39" t="s">
        <v>992</v>
      </c>
      <c r="B25" s="40">
        <f>IFERROR(Invoice318[[#This Row],[Amount due ($ Inc. GST)]]/Invoice318[[#This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IFERROR(Invoice318[[#This Row],[Amount due ($ Inc. GST)]]/Invoice318[[#This Row],[Usage]],0)</f>
        <v>0.22</v>
      </c>
      <c r="C27" s="34" cm="1">
        <f t="array" ref="C27">_xlfn.XLOOKUP($E$8,Table1[[#All],[Lot]],Table1[[#All],[Common Services based on Split per Unit Entitlement % to battery (kWh)]],0,0,1)</f>
        <v>34.874</v>
      </c>
      <c r="D27" s="34" t="s">
        <v>995</v>
      </c>
      <c r="E27" s="35" cm="1">
        <f t="array" ref="E27">_xlfn.XLOOKUP($E$8,Table1[[#All],[Lot]],Table1[[#All],[Common Services Cost Split per Unit Entitlement at P2P rate ($)]],0,0,1)</f>
        <v>7.67228</v>
      </c>
    </row>
    <row r="28" ht="30" customHeight="1" spans="1:7">
      <c r="A28" s="38" t="s">
        <v>996</v>
      </c>
      <c r="B28" s="33">
        <f>IFERROR(Invoice318[[#This Row],[Amount due ($ Inc. GST)]]/Invoice318[[#This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IFERROR(Invoice318[[#This Row],[Amount due ($ Inc. GST)]]/Invoice318[[#This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IFERROR(Invoice318[[#This Row],[Amount due ($ Inc. GST)]]/Invoice318[[#This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IFERROR(Invoice318[[#This Row],[Amount due ($ Inc. GST)]]/Invoice318[[#This Row],[Usage]],0)</f>
        <v>0</v>
      </c>
      <c r="C31" s="34" cm="1">
        <f t="array" ref="C31">_xlfn.XLOOKUP("EV",Table1[[#All],[Lot]],Table1[[#All],[Total Consumption Import  (kWh)]],0,0,1)*E11</f>
        <v>139.761</v>
      </c>
      <c r="D31" s="34" t="s">
        <v>995</v>
      </c>
      <c r="E31" s="35" cm="1">
        <f t="array" ref="E31">_xlfn.XLOOKUP($E$8,Table1[[#All],[Lot]],Table1[[#All],[EV Charger Income from Sales Equitable Distribution on UE ($)]],0,0,1)</f>
        <v>0</v>
      </c>
    </row>
    <row r="32" ht="30" customHeight="1" spans="1:5">
      <c r="A32" s="38" t="s">
        <v>1000</v>
      </c>
      <c r="B32" s="33">
        <f>IFERROR(Invoice318[[#This Row],[Amount due ($ Inc. GST)]]/Invoice318[[#This Row],[Usage]],0)</f>
        <v>0.22</v>
      </c>
      <c r="C32" s="34" cm="1">
        <f t="array" ref="C32">_xlfn.XLOOKUP("EV",Table1[[#All],[Lot]],Table1[[#All],[Total Consumption Import  (kWh)]],0,0,1)*E11</f>
        <v>139.761</v>
      </c>
      <c r="D32" s="34" t="s">
        <v>995</v>
      </c>
      <c r="E32" s="35" cm="1">
        <f t="array" ref="E32">_xlfn.XLOOKUP($E$8,Table1[[#All],[Lot]],Table1[[#All],[EV Charger Cost of Electricity Supply at P2P Rates ($)]],0,0,1)</f>
        <v>30.74742</v>
      </c>
    </row>
    <row r="33" ht="30" customHeight="1" spans="1:5">
      <c r="A33" s="38" t="s">
        <v>1001</v>
      </c>
      <c r="B33" s="33">
        <f>IFERROR(Invoice318[[#This Row],[Amount due ($ Inc. GST)]]/Invoice318[[#This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IFERROR(Invoice318[[#This Row],[Amount due ($ Inc. GST)]]/Invoice318[[#This Row],[Usage]],0)</f>
        <v>0</v>
      </c>
      <c r="C34" s="34" cm="1">
        <f t="array" ref="C34">_xlfn.XLOOKUP("EV",Table1[[#All],[Lot]],Table1[[#All],[Total Consumption Import  (kWh)]],0,0,1)*E11</f>
        <v>139.761</v>
      </c>
      <c r="D34" s="34" t="s">
        <v>995</v>
      </c>
      <c r="E34" s="35" cm="1">
        <f t="array" ref="E34">_xlfn.XLOOKUP($E$8,Table1[[#All],[Lot]],Table1[[#All],[Chargefox Commission on EV Charge Consumption Sales Cost Split by Unit Entitlement ($)]],0,0,1)</f>
        <v>0</v>
      </c>
    </row>
    <row r="35" ht="30" customHeight="1" spans="1:5">
      <c r="A35" s="39" t="s">
        <v>1003</v>
      </c>
      <c r="B35" s="48">
        <f>Invoice318[[#This Row],[Amount due ($ Inc. GST)]]/Invoice318[[#This Row],[Usage]]</f>
        <v>0.426885555555556</v>
      </c>
      <c r="C35" s="49">
        <f>C24</f>
        <v>90</v>
      </c>
      <c r="D35" s="49" t="s">
        <v>989</v>
      </c>
      <c r="E35" s="50">
        <f>SUM(E27:E34)</f>
        <v>38.4197</v>
      </c>
    </row>
    <row r="36" ht="30" customHeight="1" spans="1:5">
      <c r="A36" s="43" t="s">
        <v>1004</v>
      </c>
      <c r="B36" s="51"/>
      <c r="C36" s="52"/>
      <c r="D36" s="52"/>
      <c r="E36" s="53"/>
    </row>
    <row r="37" ht="30" customHeight="1" spans="1:5">
      <c r="A37" s="38" t="s">
        <v>1005</v>
      </c>
      <c r="B37" s="33">
        <f>IFERROR(Invoice318[[#This Row],[Amount due ($ Inc. GST)]]/Invoice318[[#This Row],[Usage]],0)</f>
        <v>0</v>
      </c>
      <c r="C37" s="34" cm="1">
        <f t="array" ref="C37">_xlfn.XLOOKUP($E$8,Table1[[#All],[Lot]],Table1[[#All],[Total P2P import (kWh)]],0,0,1)</f>
        <v>0</v>
      </c>
      <c r="D37" s="34" t="s">
        <v>995</v>
      </c>
      <c r="E37" s="35" cm="1">
        <f t="array" ref="E37">_xlfn.XLOOKUP($E$8,Table1[[#All],[Lot]],Table1[[#All],[P2P Import Cost ($)]],0,0,1)</f>
        <v>0</v>
      </c>
    </row>
    <row r="38" ht="30" customHeight="1" spans="1:5">
      <c r="A38" s="38" t="s">
        <v>1006</v>
      </c>
      <c r="B38" s="33">
        <f>IFERROR(Invoice318[[#This Row],[Amount due ($ Inc. GST)]]/Invoice318[[#This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IFERROR(Invoice318[[#This Row],[Amount due ($ Inc. GST)]]/Invoice318[[#This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Invoice318[[#This Row],[Amount due ($ Inc. GST)]]/Invoice318[[#This Row],[Usage]]</f>
        <v>0</v>
      </c>
      <c r="C40" s="49">
        <f>C35</f>
        <v>90</v>
      </c>
      <c r="D40" s="49" t="s">
        <v>989</v>
      </c>
      <c r="E40" s="50">
        <f>SUM(E37:E39)</f>
        <v>0</v>
      </c>
    </row>
    <row r="41" ht="30" customHeight="1" spans="1:5">
      <c r="A41" s="43" t="s">
        <v>1009</v>
      </c>
      <c r="B41" s="33"/>
      <c r="C41" s="34"/>
      <c r="D41" s="34"/>
      <c r="E41" s="46"/>
    </row>
    <row r="42" ht="30" customHeight="1" spans="1:5">
      <c r="A42" s="54" t="s">
        <v>1010</v>
      </c>
      <c r="B42" s="33">
        <f>IFERROR(Invoice318[[#This Row],[Amount due ($ Inc. GST)]]/Invoice318[[#This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IFERROR(Invoice318[[#This Row],[Amount due ($ Inc. GST)]]/Invoice318[[#This Row],[Usage]],0)</f>
        <v>-0.02</v>
      </c>
      <c r="C43" s="34" cm="1">
        <f t="array" ref="C43">_xlfn.XLOOKUP($E$8,Table1[[#All],[Lot]],Table1[[#All],[Borrowed Allowance Based on Unused Daily Allowance % (kWh)]],0,0,1)</f>
        <v>78.9091852018063</v>
      </c>
      <c r="D43" s="34" t="s">
        <v>995</v>
      </c>
      <c r="E43" s="35" cm="1">
        <f t="array" ref="E43">_xlfn.XLOOKUP($E$8,Table1[[#All],[Lot]],Table1[[#All],[Passive Compensation ($)]],0,0,1)</f>
        <v>-1.57818370403613</v>
      </c>
    </row>
    <row r="44" ht="30" customHeight="1" spans="1:5">
      <c r="A44" s="32" t="s">
        <v>1012</v>
      </c>
      <c r="B44" s="33">
        <f>IFERROR(Invoice318[[#This Row],[Amount due ($ Inc. GST)]]/Invoice318[[#This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IFERROR(Invoice318[[#This Row],[Amount due ($ Inc. GST)]]/Invoice318[[#This Row],[Usage]],0)</f>
        <v>0</v>
      </c>
      <c r="C45" s="49">
        <f>C40</f>
        <v>90</v>
      </c>
      <c r="D45" s="49" t="s">
        <v>989</v>
      </c>
      <c r="E45" s="50" t="e">
        <f>SUBTOTAL(109,E42:E44)</f>
        <v>#N/A</v>
      </c>
    </row>
    <row r="46" ht="30" customHeight="1" spans="1:5">
      <c r="A46" s="55" t="s">
        <v>1014</v>
      </c>
      <c r="B46" s="56">
        <f>IFERROR(Invoice318[[#This Row],[Amount due ($ Inc. GST)]]/Invoice318[[#This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Thierfelder 1A15/0325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1A16/0325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16</v>
      </c>
    </row>
    <row r="9" ht="18" customHeight="1" spans="1:5">
      <c r="A9" s="14"/>
      <c r="B9" s="8" t="s">
        <v>974</v>
      </c>
      <c r="C9" s="15"/>
      <c r="D9" s="15"/>
      <c r="E9" s="16">
        <f>VLOOKUP(E8,'Energy billing Mastersheet'!5:38,MATCH('Energy billing Mastersheet'!C4,'Energy billing Mastersheet'!4:4,0),FALSE)</f>
        <v>50002855</v>
      </c>
    </row>
    <row r="10" spans="1:5">
      <c r="A10" s="17" t="s">
        <v>975</v>
      </c>
      <c r="B10" s="8" t="s">
        <v>976</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Libby Davy</v>
      </c>
      <c r="B11" s="19" t="s">
        <v>977</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3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IFERROR(Invoice319[[#This Row],[Amount due ($ Inc. GST)]]/Invoice319[[#This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IFERROR(Invoice319[[#This Row],[Amount due ($ Inc. GST)]]/Invoice319[[#This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IFERROR(Invoice319[[#This Row],[Amount due ($ Inc. GST)]]/Invoice319[[#This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IFERROR(Invoice319[[#This Row],[Amount due ($ Inc. GST)]]/Invoice319[[#This Row],[Usage]],0)</f>
        <v>1.67222222222222</v>
      </c>
      <c r="C20" s="34">
        <v>1</v>
      </c>
      <c r="D20" s="34" t="s">
        <v>987</v>
      </c>
      <c r="E20" s="35" cm="1">
        <f t="array" ref="E20">_xlfn.XLOOKUP($E$8,Table1[[#All],[Lot]],Table1[[#All],[Amanda Energy Other fees ($)]],0,0,1)</f>
        <v>1.67222222222222</v>
      </c>
    </row>
    <row r="21" ht="30" customHeight="1" spans="1:5">
      <c r="A21" s="36" t="s">
        <v>859</v>
      </c>
      <c r="B21" s="33">
        <f>IFERROR(Invoice319[[#This Row],[Amount due ($ Inc. GST)]]/Invoice319[[#This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IFERROR(Invoice319[[#This Row],[Amount due ($ Inc. GST)]]/Invoice319[[#This Row],[Usage]],0)</f>
        <v>1.1</v>
      </c>
      <c r="C22" s="34">
        <v>1</v>
      </c>
      <c r="D22" s="34" t="s">
        <v>987</v>
      </c>
      <c r="E22" s="35" cm="1">
        <f t="array" ref="E22">_xlfn.XLOOKUP($E$8,Table1[[#All],[Lot]],Table1[[#All],[Element47 Embedded Network Invoicing Fees]],0,0,1)</f>
        <v>1.1</v>
      </c>
      <c r="G22" s="37"/>
    </row>
    <row r="23" ht="30" customHeight="1" spans="1:5">
      <c r="A23" s="38" t="s">
        <v>990</v>
      </c>
      <c r="B23" s="33">
        <f>IFERROR(Invoice319[[#This Row],[Amount due ($ Inc. GST)]]/Invoice319[[#This Row],[Usage]],0)</f>
        <v>0</v>
      </c>
      <c r="C23" s="34">
        <f>C21</f>
        <v>90</v>
      </c>
      <c r="D23" s="34" t="s">
        <v>989</v>
      </c>
      <c r="E23" s="35" cm="1">
        <f t="array" ref="E23">_xlfn.XLOOKUP($E$8,Table1[[#All],[Lot]],Table1[[#All],[Chargefox Daily Supply Charge ($)]],0,0,1)</f>
        <v>0</v>
      </c>
    </row>
    <row r="24" ht="30" customHeight="1" spans="1:5">
      <c r="A24" s="38" t="s">
        <v>991</v>
      </c>
      <c r="B24" s="33">
        <f>IFERROR(Invoice319[[#This Row],[Amount due ($ Inc. GST)]]/Invoice319[[#This Row],[Usage]],0)</f>
        <v>0</v>
      </c>
      <c r="C24" s="34">
        <f>C21</f>
        <v>90</v>
      </c>
      <c r="D24" s="34" t="s">
        <v>989</v>
      </c>
      <c r="E24" s="35" cm="1">
        <f t="array" ref="E24">_xlfn.XLOOKUP($E$8,Table1[[#All],[Lot]],Table1[[#All],[SwitchdIn Cost Daily Supply Charge ($)]],0,0,1)</f>
        <v>0</v>
      </c>
    </row>
    <row r="25" ht="30" customHeight="1" spans="1:5">
      <c r="A25" s="39" t="s">
        <v>992</v>
      </c>
      <c r="B25" s="40">
        <f>IFERROR(Invoice319[[#This Row],[Amount due ($ Inc. GST)]]/Invoice319[[#This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IFERROR(Invoice319[[#This Row],[Amount due ($ Inc. GST)]]/Invoice319[[#This Row],[Usage]],0)</f>
        <v>0.22</v>
      </c>
      <c r="C27" s="34" cm="1">
        <f t="array" ref="C27">_xlfn.XLOOKUP($E$8,Table1[[#All],[Lot]],Table1[[#All],[Common Services based on Split per Unit Entitlement % to battery (kWh)]],0,0,1)</f>
        <v>36.19</v>
      </c>
      <c r="D27" s="34" t="s">
        <v>995</v>
      </c>
      <c r="E27" s="35" cm="1">
        <f t="array" ref="E27">_xlfn.XLOOKUP($E$8,Table1[[#All],[Lot]],Table1[[#All],[Common Services Cost Split per Unit Entitlement at P2P rate ($)]],0,0,1)</f>
        <v>7.9618</v>
      </c>
    </row>
    <row r="28" ht="30" customHeight="1" spans="1:7">
      <c r="A28" s="38" t="s">
        <v>996</v>
      </c>
      <c r="B28" s="33">
        <f>IFERROR(Invoice319[[#This Row],[Amount due ($ Inc. GST)]]/Invoice319[[#This Row],[Usage]],0)</f>
        <v>-0.22</v>
      </c>
      <c r="C28" s="34" cm="1">
        <f t="array" ref="C28">_xlfn.XLOOKUP($E$8,Table1[[#All],[Lot]],Table1[[#All],[Common Service based upon % total export to battery (kWh)]],0,0,1)</f>
        <v>33.5686963226318</v>
      </c>
      <c r="D28" s="34" t="s">
        <v>995</v>
      </c>
      <c r="E28" s="35" cm="1">
        <f t="array" ref="E28">_xlfn.XLOOKUP($E$8,Table1[[#All],[Lot]],Table1[[#All],[Common Service Earning based upon % total export to Load ($)]],0,0,1)</f>
        <v>-7.38511319097899</v>
      </c>
      <c r="G28" s="47"/>
    </row>
    <row r="29" ht="30" customHeight="1" spans="1:7">
      <c r="A29" s="38" t="s">
        <v>997</v>
      </c>
      <c r="B29" s="33">
        <f>IFERROR(Invoice319[[#This Row],[Amount due ($ Inc. GST)]]/Invoice319[[#This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IFERROR(Invoice319[[#This Row],[Amount due ($ Inc. GST)]]/Invoice319[[#This Row],[Usage]],0)</f>
        <v>-0.22</v>
      </c>
      <c r="C30" s="34" cm="1">
        <f t="array" ref="C30">_xlfn.XLOOKUP($E$8,Table1[[#All],[Lot]],Table1[[#All],[Axillary Battery Losses based upon Adjusted % total export (kWh)]],0,0,1)</f>
        <v>126.31624938425</v>
      </c>
      <c r="D30" s="34" t="s">
        <v>995</v>
      </c>
      <c r="E30" s="35" cm="1">
        <f t="array" ref="E30">_xlfn.XLOOKUP($E$8,Table1[[#All],[Lot]],Table1[[#All],[Axillary Battery Losses based upon % total export  ($)]],0,0,1)</f>
        <v>-27.7895748645349</v>
      </c>
    </row>
    <row r="31" ht="30" customHeight="1" spans="1:5">
      <c r="A31" s="38" t="s">
        <v>999</v>
      </c>
      <c r="B31" s="33">
        <f>IFERROR(Invoice319[[#This Row],[Amount due ($ Inc. GST)]]/Invoice319[[#This Row],[Usage]],0)</f>
        <v>0</v>
      </c>
      <c r="C31" s="34" cm="1">
        <f t="array" ref="C31">_xlfn.XLOOKUP("EV",Table1[[#All],[Lot]],Table1[[#All],[Total Consumption Import  (kWh)]],0,0,1)*E11</f>
        <v>145.035</v>
      </c>
      <c r="D31" s="34" t="s">
        <v>995</v>
      </c>
      <c r="E31" s="35" cm="1">
        <f t="array" ref="E31">_xlfn.XLOOKUP($E$8,Table1[[#All],[Lot]],Table1[[#All],[EV Charger Income from Sales Equitable Distribution on UE ($)]],0,0,1)</f>
        <v>0</v>
      </c>
    </row>
    <row r="32" ht="30" customHeight="1" spans="1:5">
      <c r="A32" s="38" t="s">
        <v>1000</v>
      </c>
      <c r="B32" s="33">
        <f>IFERROR(Invoice319[[#This Row],[Amount due ($ Inc. GST)]]/Invoice319[[#This Row],[Usage]],0)</f>
        <v>0.22</v>
      </c>
      <c r="C32" s="34" cm="1">
        <f t="array" ref="C32">_xlfn.XLOOKUP("EV",Table1[[#All],[Lot]],Table1[[#All],[Total Consumption Import  (kWh)]],0,0,1)*E11</f>
        <v>145.035</v>
      </c>
      <c r="D32" s="34" t="s">
        <v>995</v>
      </c>
      <c r="E32" s="35" cm="1">
        <f t="array" ref="E32">_xlfn.XLOOKUP($E$8,Table1[[#All],[Lot]],Table1[[#All],[EV Charger Cost of Electricity Supply at P2P Rates ($)]],0,0,1)</f>
        <v>31.9077</v>
      </c>
    </row>
    <row r="33" ht="30" customHeight="1" spans="1:5">
      <c r="A33" s="38" t="s">
        <v>1001</v>
      </c>
      <c r="B33" s="33">
        <f>IFERROR(Invoice319[[#This Row],[Amount due ($ Inc. GST)]]/Invoice319[[#This Row],[Usage]],0)</f>
        <v>-0.22</v>
      </c>
      <c r="C33" s="34" cm="1">
        <f t="array" ref="C33">_xlfn.XLOOKUP($E$8,Table1[[#All],[Lot]],Table1[[#All],[EV Charger based upon % total export to battery (kWh)]],0,0,1)</f>
        <v>134.529866569574</v>
      </c>
      <c r="D33" s="34" t="s">
        <v>995</v>
      </c>
      <c r="E33" s="35" cm="1">
        <f t="array" ref="E33">_xlfn.XLOOKUP($E$8,Table1[[#All],[Lot]],Table1[[#All],[EV Charger based upon % total export ($)]],0,0,1)</f>
        <v>-29.5965706453064</v>
      </c>
    </row>
    <row r="34" ht="30" customHeight="1" spans="1:5">
      <c r="A34" s="38" t="s">
        <v>1002</v>
      </c>
      <c r="B34" s="33">
        <f>IFERROR(Invoice319[[#This Row],[Amount due ($ Inc. GST)]]/Invoice319[[#This Row],[Usage]],0)</f>
        <v>0</v>
      </c>
      <c r="C34" s="34" cm="1">
        <f t="array" ref="C34">_xlfn.XLOOKUP("EV",Table1[[#All],[Lot]],Table1[[#All],[Total Consumption Import  (kWh)]],0,0,1)*E11</f>
        <v>145.035</v>
      </c>
      <c r="D34" s="34" t="s">
        <v>995</v>
      </c>
      <c r="E34" s="35" cm="1">
        <f t="array" ref="E34">_xlfn.XLOOKUP($E$8,Table1[[#All],[Lot]],Table1[[#All],[Chargefox Commission on EV Charge Consumption Sales Cost Split by Unit Entitlement ($)]],0,0,1)</f>
        <v>0</v>
      </c>
    </row>
    <row r="35" ht="30" customHeight="1" spans="1:5">
      <c r="A35" s="39" t="s">
        <v>1003</v>
      </c>
      <c r="B35" s="48">
        <f>Invoice319[[#This Row],[Amount due ($ Inc. GST)]]/Invoice319[[#This Row],[Usage]]</f>
        <v>-0.276686207786892</v>
      </c>
      <c r="C35" s="49">
        <f>C24</f>
        <v>90</v>
      </c>
      <c r="D35" s="49" t="s">
        <v>989</v>
      </c>
      <c r="E35" s="50">
        <f>SUM(E27:E34)</f>
        <v>-24.9017587008203</v>
      </c>
    </row>
    <row r="36" ht="30" customHeight="1" spans="1:5">
      <c r="A36" s="43" t="s">
        <v>1004</v>
      </c>
      <c r="B36" s="51"/>
      <c r="C36" s="52"/>
      <c r="D36" s="52"/>
      <c r="E36" s="53"/>
    </row>
    <row r="37" ht="30" customHeight="1" spans="1:5">
      <c r="A37" s="38" t="s">
        <v>1005</v>
      </c>
      <c r="B37" s="33">
        <f>IFERROR(Invoice319[[#This Row],[Amount due ($ Inc. GST)]]/Invoice319[[#This Row],[Usage]],0)</f>
        <v>0.22</v>
      </c>
      <c r="C37" s="34" cm="1">
        <f t="array" ref="C37">_xlfn.XLOOKUP($E$8,Table1[[#All],[Lot]],Table1[[#All],[Total P2P import (kWh)]],0,0,1)</f>
        <v>512</v>
      </c>
      <c r="D37" s="34" t="s">
        <v>995</v>
      </c>
      <c r="E37" s="35" cm="1">
        <f t="array" ref="E37">_xlfn.XLOOKUP($E$8,Table1[[#All],[Lot]],Table1[[#All],[P2P Import Cost ($)]],0,0,1)</f>
        <v>112.64</v>
      </c>
    </row>
    <row r="38" ht="30" customHeight="1" spans="1:5">
      <c r="A38" s="38" t="s">
        <v>1006</v>
      </c>
      <c r="B38" s="33">
        <f>IFERROR(Invoice319[[#This Row],[Amount due ($ Inc. GST)]]/Invoice319[[#This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IFERROR(Invoice319[[#This Row],[Amount due ($ Inc. GST)]]/Invoice319[[#This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Invoice319[[#This Row],[Amount due ($ Inc. GST)]]/Invoice319[[#This Row],[Usage]]</f>
        <v>1.25155555555556</v>
      </c>
      <c r="C40" s="49">
        <f>C35</f>
        <v>90</v>
      </c>
      <c r="D40" s="49" t="s">
        <v>989</v>
      </c>
      <c r="E40" s="50">
        <f>SUM(E37:E39)</f>
        <v>112.64</v>
      </c>
    </row>
    <row r="41" ht="30" customHeight="1" spans="1:5">
      <c r="A41" s="43" t="s">
        <v>1009</v>
      </c>
      <c r="B41" s="33"/>
      <c r="C41" s="34"/>
      <c r="D41" s="34"/>
      <c r="E41" s="46"/>
    </row>
    <row r="42" ht="30" customHeight="1" spans="1:5">
      <c r="A42" s="54" t="s">
        <v>1010</v>
      </c>
      <c r="B42" s="33">
        <f>IFERROR(Invoice319[[#This Row],[Amount due ($ Inc. GST)]]/Invoice319[[#This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IFERROR(Invoice319[[#This Row],[Amount due ($ Inc. GST)]]/Invoice319[[#This Row],[Usage]],0)</f>
        <v>-0.02</v>
      </c>
      <c r="C43" s="34" cm="1">
        <f t="array" ref="C43">_xlfn.XLOOKUP($E$8,Table1[[#All],[Lot]],Table1[[#All],[Borrowed Allowance Based on Unused Daily Allowance % (kWh)]],0,0,1)</f>
        <v>45.5353163361662</v>
      </c>
      <c r="D43" s="34" t="s">
        <v>995</v>
      </c>
      <c r="E43" s="35" cm="1">
        <f t="array" ref="E43">_xlfn.XLOOKUP($E$8,Table1[[#All],[Lot]],Table1[[#All],[Passive Compensation ($)]],0,0,1)</f>
        <v>-0.910706326723324</v>
      </c>
    </row>
    <row r="44" ht="30" customHeight="1" spans="1:5">
      <c r="A44" s="32" t="s">
        <v>1012</v>
      </c>
      <c r="B44" s="33">
        <f>IFERROR(Invoice319[[#This Row],[Amount due ($ Inc. GST)]]/Invoice319[[#This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IFERROR(Invoice319[[#This Row],[Amount due ($ Inc. GST)]]/Invoice319[[#This Row],[Usage]],0)</f>
        <v>0</v>
      </c>
      <c r="C45" s="49">
        <f>C40</f>
        <v>90</v>
      </c>
      <c r="D45" s="49" t="s">
        <v>989</v>
      </c>
      <c r="E45" s="50" t="e">
        <f>SUBTOTAL(109,E42:E44)</f>
        <v>#N/A</v>
      </c>
    </row>
    <row r="46" ht="30" customHeight="1" spans="1:5">
      <c r="A46" s="55" t="s">
        <v>1014</v>
      </c>
      <c r="B46" s="56">
        <f>IFERROR(Invoice319[[#This Row],[Amount due ($ Inc. GST)]]/Invoice319[[#This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Davy 1A16/0325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1A17/0325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17</v>
      </c>
    </row>
    <row r="9" ht="18" customHeight="1" spans="1:5">
      <c r="A9" s="14"/>
      <c r="B9" s="8" t="s">
        <v>974</v>
      </c>
      <c r="C9" s="15"/>
      <c r="D9" s="15"/>
      <c r="E9" s="16">
        <f>VLOOKUP(E8,'Energy billing Mastersheet'!5:38,MATCH('Energy billing Mastersheet'!C4,'Energy billing Mastersheet'!4:4,0),FALSE)</f>
        <v>50002877</v>
      </c>
    </row>
    <row r="10" spans="1:5">
      <c r="A10" s="17" t="s">
        <v>975</v>
      </c>
      <c r="B10" s="8" t="s">
        <v>976</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Henry &amp; Jo Weldon</v>
      </c>
      <c r="B11" s="19" t="s">
        <v>977</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5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IFERROR(Invoice320[[#This Row],[Amount due ($ Inc. GST)]]/Invoice320[[#This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IFERROR(Invoice320[[#This Row],[Amount due ($ Inc. GST)]]/Invoice320[[#This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IFERROR(Invoice320[[#This Row],[Amount due ($ Inc. GST)]]/Invoice320[[#This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IFERROR(Invoice320[[#This Row],[Amount due ($ Inc. GST)]]/Invoice320[[#This Row],[Usage]],0)</f>
        <v>1.67222222222222</v>
      </c>
      <c r="C20" s="34">
        <v>1</v>
      </c>
      <c r="D20" s="34" t="s">
        <v>987</v>
      </c>
      <c r="E20" s="35" cm="1">
        <f t="array" ref="E20">_xlfn.XLOOKUP($E$8,Table1[[#All],[Lot]],Table1[[#All],[Amanda Energy Other fees ($)]],0,0,1)</f>
        <v>1.67222222222222</v>
      </c>
    </row>
    <row r="21" ht="30" customHeight="1" spans="1:5">
      <c r="A21" s="36" t="s">
        <v>859</v>
      </c>
      <c r="B21" s="33">
        <f>IFERROR(Invoice320[[#This Row],[Amount due ($ Inc. GST)]]/Invoice320[[#This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IFERROR(Invoice320[[#This Row],[Amount due ($ Inc. GST)]]/Invoice320[[#This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IFERROR(Invoice320[[#This Row],[Amount due ($ Inc. GST)]]/Invoice320[[#This Row],[Usage]],0)</f>
        <v>0</v>
      </c>
      <c r="C23" s="34">
        <f>C21</f>
        <v>90</v>
      </c>
      <c r="D23" s="34" t="s">
        <v>989</v>
      </c>
      <c r="E23" s="35" cm="1">
        <f t="array" ref="E23">_xlfn.XLOOKUP($E$8,Table1[[#All],[Lot]],Table1[[#All],[Chargefox Daily Supply Charge ($)]],0,0,1)</f>
        <v>0</v>
      </c>
    </row>
    <row r="24" ht="30" customHeight="1" spans="1:5">
      <c r="A24" s="38" t="s">
        <v>991</v>
      </c>
      <c r="B24" s="33">
        <f>IFERROR(Invoice320[[#This Row],[Amount due ($ Inc. GST)]]/Invoice320[[#This Row],[Usage]],0)</f>
        <v>0</v>
      </c>
      <c r="C24" s="34">
        <f>C21</f>
        <v>90</v>
      </c>
      <c r="D24" s="34" t="s">
        <v>989</v>
      </c>
      <c r="E24" s="35" cm="1">
        <f t="array" ref="E24">_xlfn.XLOOKUP($E$8,Table1[[#All],[Lot]],Table1[[#All],[SwitchdIn Cost Daily Supply Charge ($)]],0,0,1)</f>
        <v>0</v>
      </c>
    </row>
    <row r="25" ht="30" customHeight="1" spans="1:5">
      <c r="A25" s="39" t="s">
        <v>992</v>
      </c>
      <c r="B25" s="40">
        <f>IFERROR(Invoice320[[#This Row],[Amount due ($ Inc. GST)]]/Invoice320[[#This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IFERROR(Invoice320[[#This Row],[Amount due ($ Inc. GST)]]/Invoice320[[#This Row],[Usage]],0)</f>
        <v>0.22</v>
      </c>
      <c r="C27" s="34" cm="1">
        <f t="array" ref="C27">_xlfn.XLOOKUP($E$8,Table1[[#All],[Lot]],Table1[[#All],[Common Services based on Split per Unit Entitlement % to battery (kWh)]],0,0,1)</f>
        <v>36.19</v>
      </c>
      <c r="D27" s="34" t="s">
        <v>995</v>
      </c>
      <c r="E27" s="35" cm="1">
        <f t="array" ref="E27">_xlfn.XLOOKUP($E$8,Table1[[#All],[Lot]],Table1[[#All],[Common Services Cost Split per Unit Entitlement at P2P rate ($)]],0,0,1)</f>
        <v>7.9618</v>
      </c>
    </row>
    <row r="28" ht="30" customHeight="1" spans="1:7">
      <c r="A28" s="38" t="s">
        <v>996</v>
      </c>
      <c r="B28" s="33">
        <f>IFERROR(Invoice320[[#This Row],[Amount due ($ Inc. GST)]]/Invoice320[[#This Row],[Usage]],0)</f>
        <v>-0.22</v>
      </c>
      <c r="C28" s="34" cm="1">
        <f t="array" ref="C28">_xlfn.XLOOKUP($E$8,Table1[[#All],[Lot]],Table1[[#All],[Common Service based upon % total export to battery (kWh)]],0,0,1)</f>
        <v>40.7841339872781</v>
      </c>
      <c r="D28" s="34" t="s">
        <v>995</v>
      </c>
      <c r="E28" s="35" cm="1">
        <f t="array" ref="E28">_xlfn.XLOOKUP($E$8,Table1[[#All],[Lot]],Table1[[#All],[Common Service Earning based upon % total export to Load ($)]],0,0,1)</f>
        <v>-8.97250947720117</v>
      </c>
      <c r="G28" s="47"/>
    </row>
    <row r="29" ht="30" customHeight="1" spans="1:7">
      <c r="A29" s="38" t="s">
        <v>997</v>
      </c>
      <c r="B29" s="33">
        <f>IFERROR(Invoice320[[#This Row],[Amount due ($ Inc. GST)]]/Invoice320[[#This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IFERROR(Invoice320[[#This Row],[Amount due ($ Inc. GST)]]/Invoice320[[#This Row],[Usage]],0)</f>
        <v>-0.22</v>
      </c>
      <c r="C30" s="34" cm="1">
        <f t="array" ref="C30">_xlfn.XLOOKUP($E$8,Table1[[#All],[Lot]],Table1[[#All],[Axillary Battery Losses based upon Adjusted % total export (kWh)]],0,0,1)</f>
        <v>153.467349167934</v>
      </c>
      <c r="D30" s="34" t="s">
        <v>995</v>
      </c>
      <c r="E30" s="35" cm="1">
        <f t="array" ref="E30">_xlfn.XLOOKUP($E$8,Table1[[#All],[Lot]],Table1[[#All],[Axillary Battery Losses based upon % total export  ($)]],0,0,1)</f>
        <v>-33.7628168169455</v>
      </c>
    </row>
    <row r="31" ht="30" customHeight="1" spans="1:5">
      <c r="A31" s="38" t="s">
        <v>999</v>
      </c>
      <c r="B31" s="33">
        <f>IFERROR(Invoice320[[#This Row],[Amount due ($ Inc. GST)]]/Invoice320[[#This Row],[Usage]],0)</f>
        <v>0</v>
      </c>
      <c r="C31" s="34" cm="1">
        <f t="array" ref="C31">_xlfn.XLOOKUP("EV",Table1[[#All],[Lot]],Table1[[#All],[Total Consumption Import  (kWh)]],0,0,1)*E11</f>
        <v>145.035</v>
      </c>
      <c r="D31" s="34" t="s">
        <v>995</v>
      </c>
      <c r="E31" s="35" cm="1">
        <f t="array" ref="E31">_xlfn.XLOOKUP($E$8,Table1[[#All],[Lot]],Table1[[#All],[EV Charger Income from Sales Equitable Distribution on UE ($)]],0,0,1)</f>
        <v>0</v>
      </c>
    </row>
    <row r="32" ht="30" customHeight="1" spans="1:5">
      <c r="A32" s="38" t="s">
        <v>1000</v>
      </c>
      <c r="B32" s="33">
        <f>IFERROR(Invoice320[[#This Row],[Amount due ($ Inc. GST)]]/Invoice320[[#This Row],[Usage]],0)</f>
        <v>0.22</v>
      </c>
      <c r="C32" s="34" cm="1">
        <f t="array" ref="C32">_xlfn.XLOOKUP("EV",Table1[[#All],[Lot]],Table1[[#All],[Total Consumption Import  (kWh)]],0,0,1)*E11</f>
        <v>145.035</v>
      </c>
      <c r="D32" s="34" t="s">
        <v>995</v>
      </c>
      <c r="E32" s="35" cm="1">
        <f t="array" ref="E32">_xlfn.XLOOKUP($E$8,Table1[[#All],[Lot]],Table1[[#All],[EV Charger Cost of Electricity Supply at P2P Rates ($)]],0,0,1)</f>
        <v>31.9077</v>
      </c>
    </row>
    <row r="33" ht="30" customHeight="1" spans="1:5">
      <c r="A33" s="38" t="s">
        <v>1001</v>
      </c>
      <c r="B33" s="33">
        <f>IFERROR(Invoice320[[#This Row],[Amount due ($ Inc. GST)]]/Invoice320[[#This Row],[Usage]],0)</f>
        <v>-0.22</v>
      </c>
      <c r="C33" s="34" cm="1">
        <f t="array" ref="C33">_xlfn.XLOOKUP($E$8,Table1[[#All],[Lot]],Table1[[#All],[EV Charger based upon % total export to battery (kWh)]],0,0,1)</f>
        <v>163.446445781842</v>
      </c>
      <c r="D33" s="34" t="s">
        <v>995</v>
      </c>
      <c r="E33" s="35" cm="1">
        <f t="array" ref="E33">_xlfn.XLOOKUP($E$8,Table1[[#All],[Lot]],Table1[[#All],[EV Charger based upon % total export ($)]],0,0,1)</f>
        <v>-35.9582180720053</v>
      </c>
    </row>
    <row r="34" ht="30" customHeight="1" spans="1:5">
      <c r="A34" s="38" t="s">
        <v>1002</v>
      </c>
      <c r="B34" s="33">
        <f>IFERROR(Invoice320[[#This Row],[Amount due ($ Inc. GST)]]/Invoice320[[#This Row],[Usage]],0)</f>
        <v>0</v>
      </c>
      <c r="C34" s="34" cm="1">
        <f t="array" ref="C34">_xlfn.XLOOKUP("EV",Table1[[#All],[Lot]],Table1[[#All],[Total Consumption Import  (kWh)]],0,0,1)*E11</f>
        <v>145.035</v>
      </c>
      <c r="D34" s="34" t="s">
        <v>995</v>
      </c>
      <c r="E34" s="35" cm="1">
        <f t="array" ref="E34">_xlfn.XLOOKUP($E$8,Table1[[#All],[Lot]],Table1[[#All],[Chargefox Commission on EV Charge Consumption Sales Cost Split by Unit Entitlement ($)]],0,0,1)</f>
        <v>0</v>
      </c>
    </row>
    <row r="35" ht="30" customHeight="1" spans="1:5">
      <c r="A35" s="39" t="s">
        <v>1003</v>
      </c>
      <c r="B35" s="48">
        <f>Invoice320[[#This Row],[Amount due ($ Inc. GST)]]/Invoice320[[#This Row],[Usage]]</f>
        <v>-0.431378270735022</v>
      </c>
      <c r="C35" s="49">
        <f>C24</f>
        <v>90</v>
      </c>
      <c r="D35" s="49" t="s">
        <v>989</v>
      </c>
      <c r="E35" s="50">
        <f>SUM(E27:E34)</f>
        <v>-38.8240443661519</v>
      </c>
    </row>
    <row r="36" ht="30" customHeight="1" spans="1:5">
      <c r="A36" s="43" t="s">
        <v>1004</v>
      </c>
      <c r="B36" s="51"/>
      <c r="C36" s="52"/>
      <c r="D36" s="52"/>
      <c r="E36" s="53"/>
    </row>
    <row r="37" ht="30" customHeight="1" spans="1:5">
      <c r="A37" s="38" t="s">
        <v>1005</v>
      </c>
      <c r="B37" s="33">
        <f>IFERROR(Invoice320[[#This Row],[Amount due ($ Inc. GST)]]/Invoice320[[#This Row],[Usage]],0)</f>
        <v>0.22</v>
      </c>
      <c r="C37" s="34" cm="1">
        <f t="array" ref="C37">_xlfn.XLOOKUP($E$8,Table1[[#All],[Lot]],Table1[[#All],[Total P2P import (kWh)]],0,0,1)</f>
        <v>1690.97244363842</v>
      </c>
      <c r="D37" s="34" t="s">
        <v>995</v>
      </c>
      <c r="E37" s="35" cm="1">
        <f t="array" ref="E37">_xlfn.XLOOKUP($E$8,Table1[[#All],[Lot]],Table1[[#All],[P2P Import Cost ($)]],0,0,1)</f>
        <v>372.013937600452</v>
      </c>
    </row>
    <row r="38" ht="30" customHeight="1" spans="1:5">
      <c r="A38" s="38" t="s">
        <v>1006</v>
      </c>
      <c r="B38" s="33">
        <f>IFERROR(Invoice320[[#This Row],[Amount due ($ Inc. GST)]]/Invoice320[[#This Row],[Usage]],0)</f>
        <v>0.02</v>
      </c>
      <c r="C38" s="34" cm="1">
        <f t="array" ref="C38">_xlfn.XLOOKUP($E$8,Table1[[#All],[Lot]],Table1[[#All],[P2P Import Consumption over Battery Allowance based on Energy Exceeding Allowance % (kWh)]],0,0,1)</f>
        <v>537.622443638417</v>
      </c>
      <c r="D38" s="34" t="s">
        <v>995</v>
      </c>
      <c r="E38" s="35" cm="1">
        <f t="array" ref="E38">_xlfn.XLOOKUP($E$8,Table1[[#All],[Lot]],Table1[[#All],[Exceeding Battery Allowance P2P Fee ($)]],0,0,1)</f>
        <v>10.7524488727683</v>
      </c>
    </row>
    <row r="39" ht="30" customHeight="1" spans="1:5">
      <c r="A39" s="38" t="s">
        <v>1007</v>
      </c>
      <c r="B39" s="33">
        <f>IFERROR(Invoice320[[#This Row],[Amount due ($ Inc. GST)]]/Invoice320[[#This Row],[Usage]],0)</f>
        <v>0.3</v>
      </c>
      <c r="C39" s="34" cm="1">
        <f t="array" ref="C39">_xlfn.XLOOKUP($E$8,Table1[[#All],[Lot]],Table1[[#All],[Energy Import from Grid (kWh)]],0,0,1)</f>
        <v>55.0275563615828</v>
      </c>
      <c r="D39" s="34" t="s">
        <v>995</v>
      </c>
      <c r="E39" s="35" cm="1">
        <f t="array" ref="E39">_xlfn.XLOOKUP($E$8,Table1[[#All],[Lot]],Table1[[#All],[Import From Grid Cost ($)]],0,0,1)</f>
        <v>16.5082669084748</v>
      </c>
    </row>
    <row r="40" ht="30" customHeight="1" spans="1:5">
      <c r="A40" s="39" t="s">
        <v>1008</v>
      </c>
      <c r="B40" s="48">
        <f>Invoice320[[#This Row],[Amount due ($ Inc. GST)]]/Invoice320[[#This Row],[Usage]]</f>
        <v>4.43638503757439</v>
      </c>
      <c r="C40" s="49">
        <f>C35</f>
        <v>90</v>
      </c>
      <c r="D40" s="49" t="s">
        <v>989</v>
      </c>
      <c r="E40" s="50">
        <f>SUM(E37:E39)</f>
        <v>399.274653381695</v>
      </c>
    </row>
    <row r="41" ht="30" customHeight="1" spans="1:5">
      <c r="A41" s="43" t="s">
        <v>1009</v>
      </c>
      <c r="B41" s="33"/>
      <c r="C41" s="34"/>
      <c r="D41" s="34"/>
      <c r="E41" s="46"/>
    </row>
    <row r="42" ht="30" customHeight="1" spans="1:5">
      <c r="A42" s="54" t="s">
        <v>1010</v>
      </c>
      <c r="B42" s="33">
        <f>IFERROR(Invoice320[[#This Row],[Amount due ($ Inc. GST)]]/Invoice320[[#This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IFERROR(Invoice320[[#This Row],[Amount due ($ Inc. GST)]]/Invoice320[[#This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IFERROR(Invoice320[[#This Row],[Amount due ($ Inc. GST)]]/Invoice320[[#This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IFERROR(Invoice320[[#This Row],[Amount due ($ Inc. GST)]]/Invoice320[[#This Row],[Usage]],0)</f>
        <v>0</v>
      </c>
      <c r="C45" s="49">
        <f>C40</f>
        <v>90</v>
      </c>
      <c r="D45" s="49" t="s">
        <v>989</v>
      </c>
      <c r="E45" s="50" t="e">
        <f>SUBTOTAL(109,E42:E44)</f>
        <v>#N/A</v>
      </c>
    </row>
    <row r="46" ht="30" customHeight="1" spans="1:5">
      <c r="A46" s="55" t="s">
        <v>1014</v>
      </c>
      <c r="B46" s="56">
        <f>IFERROR(Invoice320[[#This Row],[Amount due ($ Inc. GST)]]/Invoice320[[#This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Weldon 1A17/0325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1A18/0325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18</v>
      </c>
    </row>
    <row r="9" ht="18" customHeight="1" spans="1:5">
      <c r="A9" s="14"/>
      <c r="B9" s="8" t="s">
        <v>974</v>
      </c>
      <c r="C9" s="15"/>
      <c r="D9" s="15"/>
      <c r="E9" s="16">
        <f>VLOOKUP(E8,'Energy billing Mastersheet'!5:38,MATCH('Energy billing Mastersheet'!C4,'Energy billing Mastersheet'!4:4,0),FALSE)</f>
        <v>0</v>
      </c>
    </row>
    <row r="10" spans="1:5">
      <c r="A10" s="17" t="s">
        <v>975</v>
      </c>
      <c r="B10" s="8" t="s">
        <v>976</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Liz Kirk</v>
      </c>
      <c r="B11" s="19" t="s">
        <v>977</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7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IFERROR(Invoice321[[#This Row],[Amount due ($ Inc. GST)]]/Invoice321[[#This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IFERROR(Invoice321[[#This Row],[Amount due ($ Inc. GST)]]/Invoice321[[#This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IFERROR(Invoice321[[#This Row],[Amount due ($ Inc. GST)]]/Invoice321[[#This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IFERROR(Invoice321[[#This Row],[Amount due ($ Inc. GST)]]/Invoice321[[#This Row],[Usage]],0)</f>
        <v>1.67222222222222</v>
      </c>
      <c r="C20" s="34">
        <v>1</v>
      </c>
      <c r="D20" s="34" t="s">
        <v>987</v>
      </c>
      <c r="E20" s="35" cm="1">
        <f t="array" ref="E20">_xlfn.XLOOKUP($E$8,Table1[[#All],[Lot]],Table1[[#All],[Amanda Energy Other fees ($)]],0,0,1)</f>
        <v>1.67222222222222</v>
      </c>
    </row>
    <row r="21" ht="30" customHeight="1" spans="1:5">
      <c r="A21" s="36" t="s">
        <v>859</v>
      </c>
      <c r="B21" s="33">
        <f>IFERROR(Invoice321[[#This Row],[Amount due ($ Inc. GST)]]/Invoice321[[#This Row],[Usage]],0)</f>
        <v>0</v>
      </c>
      <c r="C21" s="34">
        <f>'Energy billing Mastersheet'!N3</f>
        <v>90</v>
      </c>
      <c r="D21" s="34" t="s">
        <v>989</v>
      </c>
      <c r="E21" s="35" cm="1">
        <f t="array" ref="E21">_xlfn.XLOOKUP($E$8,Table1[[#All],[Lot]],Table1[[#All],[Element47 Embedded Network Daily Supply Charges]],0,0,1)</f>
        <v>0</v>
      </c>
    </row>
    <row r="22" ht="30" customHeight="1" spans="1:7">
      <c r="A22" s="36" t="s">
        <v>881</v>
      </c>
      <c r="B22" s="33">
        <f>IFERROR(Invoice321[[#This Row],[Amount due ($ Inc. GST)]]/Invoice321[[#This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IFERROR(Invoice321[[#This Row],[Amount due ($ Inc. GST)]]/Invoice321[[#This Row],[Usage]],0)</f>
        <v>0</v>
      </c>
      <c r="C23" s="34">
        <f>C21</f>
        <v>90</v>
      </c>
      <c r="D23" s="34" t="s">
        <v>989</v>
      </c>
      <c r="E23" s="35" cm="1">
        <f t="array" ref="E23">_xlfn.XLOOKUP($E$8,Table1[[#All],[Lot]],Table1[[#All],[Chargefox Daily Supply Charge ($)]],0,0,1)</f>
        <v>0</v>
      </c>
    </row>
    <row r="24" ht="30" customHeight="1" spans="1:5">
      <c r="A24" s="38" t="s">
        <v>991</v>
      </c>
      <c r="B24" s="33">
        <f>IFERROR(Invoice321[[#This Row],[Amount due ($ Inc. GST)]]/Invoice321[[#This Row],[Usage]],0)</f>
        <v>0</v>
      </c>
      <c r="C24" s="34">
        <f>C21</f>
        <v>90</v>
      </c>
      <c r="D24" s="34" t="s">
        <v>989</v>
      </c>
      <c r="E24" s="35" cm="1">
        <f t="array" ref="E24">_xlfn.XLOOKUP($E$8,Table1[[#All],[Lot]],Table1[[#All],[SwitchdIn Cost Daily Supply Charge ($)]],0,0,1)</f>
        <v>0</v>
      </c>
    </row>
    <row r="25" ht="30" customHeight="1" spans="1:5">
      <c r="A25" s="39" t="s">
        <v>992</v>
      </c>
      <c r="B25" s="40">
        <f>IFERROR(Invoice321[[#This Row],[Amount due ($ Inc. GST)]]/Invoice321[[#This Row],[Usage]],0)</f>
        <v>0.234506172839506</v>
      </c>
      <c r="C25" s="41">
        <f>C24</f>
        <v>90</v>
      </c>
      <c r="D25" s="41" t="s">
        <v>989</v>
      </c>
      <c r="E25" s="42">
        <f>SUM(E17:E24)</f>
        <v>21.1055555555556</v>
      </c>
    </row>
    <row r="26" ht="30" customHeight="1" spans="1:5">
      <c r="A26" s="43" t="s">
        <v>993</v>
      </c>
      <c r="B26" s="44"/>
      <c r="C26" s="45"/>
      <c r="D26" s="45"/>
      <c r="E26" s="46"/>
    </row>
    <row r="27" ht="30" customHeight="1" spans="1:5">
      <c r="A27" s="38" t="s">
        <v>994</v>
      </c>
      <c r="B27" s="33">
        <f>IFERROR(Invoice321[[#This Row],[Amount due ($ Inc. GST)]]/Invoice321[[#This Row],[Usage]],0)</f>
        <v>0.22</v>
      </c>
      <c r="C27" s="34" cm="1">
        <f t="array" ref="C27">_xlfn.XLOOKUP($E$8,Table1[[#All],[Lot]],Table1[[#All],[Common Services based on Split per Unit Entitlement % to battery (kWh)]],0,0,1)</f>
        <v>36.19</v>
      </c>
      <c r="D27" s="34" t="s">
        <v>995</v>
      </c>
      <c r="E27" s="35" cm="1">
        <f t="array" ref="E27">_xlfn.XLOOKUP($E$8,Table1[[#All],[Lot]],Table1[[#All],[Common Services Cost Split per Unit Entitlement at P2P rate ($)]],0,0,1)</f>
        <v>7.9618</v>
      </c>
    </row>
    <row r="28" ht="30" customHeight="1" spans="1:7">
      <c r="A28" s="38" t="s">
        <v>996</v>
      </c>
      <c r="B28" s="33">
        <f>IFERROR(Invoice321[[#This Row],[Amount due ($ Inc. GST)]]/Invoice321[[#This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IFERROR(Invoice321[[#This Row],[Amount due ($ Inc. GST)]]/Invoice321[[#This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IFERROR(Invoice321[[#This Row],[Amount due ($ Inc. GST)]]/Invoice321[[#This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IFERROR(Invoice321[[#This Row],[Amount due ($ Inc. GST)]]/Invoice321[[#This Row],[Usage]],0)</f>
        <v>0</v>
      </c>
      <c r="C31" s="34" cm="1">
        <f t="array" ref="C31">_xlfn.XLOOKUP("EV",Table1[[#All],[Lot]],Table1[[#All],[Total Consumption Import  (kWh)]],0,0,1)*E11</f>
        <v>145.035</v>
      </c>
      <c r="D31" s="34" t="s">
        <v>995</v>
      </c>
      <c r="E31" s="35" cm="1">
        <f t="array" ref="E31">_xlfn.XLOOKUP($E$8,Table1[[#All],[Lot]],Table1[[#All],[EV Charger Income from Sales Equitable Distribution on UE ($)]],0,0,1)</f>
        <v>0</v>
      </c>
    </row>
    <row r="32" ht="30" customHeight="1" spans="1:5">
      <c r="A32" s="38" t="s">
        <v>1000</v>
      </c>
      <c r="B32" s="33">
        <f>IFERROR(Invoice321[[#This Row],[Amount due ($ Inc. GST)]]/Invoice321[[#This Row],[Usage]],0)</f>
        <v>0.22</v>
      </c>
      <c r="C32" s="34" cm="1">
        <f t="array" ref="C32">_xlfn.XLOOKUP("EV",Table1[[#All],[Lot]],Table1[[#All],[Total Consumption Import  (kWh)]],0,0,1)*E11</f>
        <v>145.035</v>
      </c>
      <c r="D32" s="34" t="s">
        <v>995</v>
      </c>
      <c r="E32" s="35" cm="1">
        <f t="array" ref="E32">_xlfn.XLOOKUP($E$8,Table1[[#All],[Lot]],Table1[[#All],[EV Charger Cost of Electricity Supply at P2P Rates ($)]],0,0,1)</f>
        <v>31.9077</v>
      </c>
    </row>
    <row r="33" ht="30" customHeight="1" spans="1:5">
      <c r="A33" s="38" t="s">
        <v>1001</v>
      </c>
      <c r="B33" s="33">
        <f>IFERROR(Invoice321[[#This Row],[Amount due ($ Inc. GST)]]/Invoice321[[#This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IFERROR(Invoice321[[#This Row],[Amount due ($ Inc. GST)]]/Invoice321[[#This Row],[Usage]],0)</f>
        <v>0</v>
      </c>
      <c r="C34" s="34" cm="1">
        <f t="array" ref="C34">_xlfn.XLOOKUP("EV",Table1[[#All],[Lot]],Table1[[#All],[Total Consumption Import  (kWh)]],0,0,1)*E11</f>
        <v>145.035</v>
      </c>
      <c r="D34" s="34" t="s">
        <v>995</v>
      </c>
      <c r="E34" s="35" cm="1">
        <f t="array" ref="E34">_xlfn.XLOOKUP($E$8,Table1[[#All],[Lot]],Table1[[#All],[Chargefox Commission on EV Charge Consumption Sales Cost Split by Unit Entitlement ($)]],0,0,1)</f>
        <v>0</v>
      </c>
    </row>
    <row r="35" ht="30" customHeight="1" spans="1:5">
      <c r="A35" s="39" t="s">
        <v>1003</v>
      </c>
      <c r="B35" s="48">
        <f>Invoice321[[#This Row],[Amount due ($ Inc. GST)]]/Invoice321[[#This Row],[Usage]]</f>
        <v>0.442994444444444</v>
      </c>
      <c r="C35" s="49">
        <f>C24</f>
        <v>90</v>
      </c>
      <c r="D35" s="49" t="s">
        <v>989</v>
      </c>
      <c r="E35" s="50">
        <f>SUM(E27:E34)</f>
        <v>39.8695</v>
      </c>
    </row>
    <row r="36" ht="30" customHeight="1" spans="1:5">
      <c r="A36" s="43" t="s">
        <v>1004</v>
      </c>
      <c r="B36" s="51"/>
      <c r="C36" s="52"/>
      <c r="D36" s="52"/>
      <c r="E36" s="53"/>
    </row>
    <row r="37" ht="30" customHeight="1" spans="1:5">
      <c r="A37" s="38" t="s">
        <v>1005</v>
      </c>
      <c r="B37" s="33">
        <f>IFERROR(Invoice321[[#This Row],[Amount due ($ Inc. GST)]]/Invoice321[[#This Row],[Usage]],0)</f>
        <v>0</v>
      </c>
      <c r="C37" s="34" cm="1">
        <f t="array" ref="C37">_xlfn.XLOOKUP($E$8,Table1[[#All],[Lot]],Table1[[#All],[Total P2P import (kWh)]],0,0,1)</f>
        <v>0</v>
      </c>
      <c r="D37" s="34" t="s">
        <v>995</v>
      </c>
      <c r="E37" s="35" cm="1">
        <f t="array" ref="E37">_xlfn.XLOOKUP($E$8,Table1[[#All],[Lot]],Table1[[#All],[P2P Import Cost ($)]],0,0,1)</f>
        <v>0</v>
      </c>
    </row>
    <row r="38" ht="30" customHeight="1" spans="1:5">
      <c r="A38" s="38" t="s">
        <v>1006</v>
      </c>
      <c r="B38" s="33">
        <f>IFERROR(Invoice321[[#This Row],[Amount due ($ Inc. GST)]]/Invoice321[[#This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IFERROR(Invoice321[[#This Row],[Amount due ($ Inc. GST)]]/Invoice321[[#This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Invoice321[[#This Row],[Amount due ($ Inc. GST)]]/Invoice321[[#This Row],[Usage]]</f>
        <v>0</v>
      </c>
      <c r="C40" s="49">
        <f>C35</f>
        <v>90</v>
      </c>
      <c r="D40" s="49" t="s">
        <v>989</v>
      </c>
      <c r="E40" s="50">
        <f>SUM(E37:E39)</f>
        <v>0</v>
      </c>
    </row>
    <row r="41" ht="30" customHeight="1" spans="1:5">
      <c r="A41" s="43" t="s">
        <v>1009</v>
      </c>
      <c r="B41" s="33"/>
      <c r="C41" s="34"/>
      <c r="D41" s="34"/>
      <c r="E41" s="46"/>
    </row>
    <row r="42" ht="30" customHeight="1" spans="1:5">
      <c r="A42" s="54" t="s">
        <v>1010</v>
      </c>
      <c r="B42" s="33">
        <f>IFERROR(Invoice321[[#This Row],[Amount due ($ Inc. GST)]]/Invoice321[[#This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IFERROR(Invoice321[[#This Row],[Amount due ($ Inc. GST)]]/Invoice321[[#This Row],[Usage]],0)</f>
        <v>0</v>
      </c>
      <c r="C43" s="34" cm="1">
        <f t="array" ref="C43">_xlfn.XLOOKUP($E$8,Table1[[#All],[Lot]],Table1[[#All],[Borrowed Allowance Based on Unused Daily Allowance % (kWh)]],0,0,1)</f>
        <v>0</v>
      </c>
      <c r="D43" s="34" t="s">
        <v>995</v>
      </c>
      <c r="E43" s="35" cm="1">
        <f t="array" ref="E43">_xlfn.XLOOKUP($E$8,Table1[[#All],[Lot]],Table1[[#All],[Passive Compensation ($)]],0,0,1)</f>
        <v>0</v>
      </c>
    </row>
    <row r="44" ht="30" customHeight="1" spans="1:5">
      <c r="A44" s="32" t="s">
        <v>1012</v>
      </c>
      <c r="B44" s="33">
        <f>IFERROR(Invoice321[[#This Row],[Amount due ($ Inc. GST)]]/Invoice321[[#This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IFERROR(Invoice321[[#This Row],[Amount due ($ Inc. GST)]]/Invoice321[[#This Row],[Usage]],0)</f>
        <v>0</v>
      </c>
      <c r="C45" s="49">
        <f>C40</f>
        <v>90</v>
      </c>
      <c r="D45" s="49" t="s">
        <v>989</v>
      </c>
      <c r="E45" s="50" t="e">
        <f>SUBTOTAL(109,E42:E44)</f>
        <v>#N/A</v>
      </c>
    </row>
    <row r="46" ht="30" customHeight="1" spans="1:5">
      <c r="A46" s="55" t="s">
        <v>1014</v>
      </c>
      <c r="B46" s="56">
        <f>IFERROR(Invoice321[[#This Row],[Amount due ($ Inc. GST)]]/Invoice321[[#This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Kirk 1A18/0325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1A19/0325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19</v>
      </c>
    </row>
    <row r="9" ht="18" customHeight="1" spans="1:5">
      <c r="A9" s="14"/>
      <c r="B9" s="8" t="s">
        <v>974</v>
      </c>
      <c r="C9" s="15"/>
      <c r="D9" s="15"/>
      <c r="E9" s="16">
        <f>VLOOKUP(E8,'Energy billing Mastersheet'!5:38,MATCH('Energy billing Mastersheet'!C4,'Energy billing Mastersheet'!4:4,0),FALSE)</f>
        <v>50002864</v>
      </c>
    </row>
    <row r="10" spans="1:5">
      <c r="A10" s="17" t="s">
        <v>975</v>
      </c>
      <c r="B10" s="8" t="s">
        <v>976</v>
      </c>
      <c r="C10" s="15"/>
      <c r="D10" s="15"/>
      <c r="E10" s="18" cm="1">
        <f t="array" ref="E10">INDEX(Table_Household_Alloc[Unit Entitlement],MATCH(1,(Table_Household_Alloc[Lot]=E8)*(Table_Household_Alloc[cluster]=E7),0))</f>
        <v>55</v>
      </c>
    </row>
    <row r="11" ht="15" customHeight="1" spans="1:5">
      <c r="A11" t="str" cm="1">
        <f t="array" ref="A11">INDEX(Table_Household_Alloc[Owner],MATCH(1,(Table_Household_Alloc[Lot]=E8)*(Table_Household_Alloc[cluster]=E7),0))</f>
        <v>Lindy Dunlop</v>
      </c>
      <c r="B11" s="19" t="s">
        <v>977</v>
      </c>
      <c r="C11" s="3"/>
      <c r="D11" s="3"/>
      <c r="E11" s="20" cm="1">
        <f t="array" ref="E11">INDEX(Table_Household_Alloc[UE % over Cluster],MATCH(1,(Table_Household_Alloc[Lot]=E8)*(Table_Household_Alloc[cluster]=E7),0))</f>
        <v>0.055</v>
      </c>
    </row>
    <row r="12" ht="15" customHeight="1" spans="1:5">
      <c r="A12" t="str" cm="1">
        <f t="array" ref="A12">INDEX(Table_Household_Alloc[Street Address],MATCH(1,(Table_Household_Alloc[Lot]=E8)*(Table_Household_Alloc[cluster]=E7),0))</f>
        <v>9 Mannitj Place</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IFERROR(Invoice322[[#This Row],[Amount due ($ Inc. GST)]]/Invoice322[[#This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IFERROR(Invoice322[[#This Row],[Amount due ($ Inc. GST)]]/Invoice322[[#This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IFERROR(Invoice322[[#This Row],[Amount due ($ Inc. GST)]]/Invoice322[[#This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IFERROR(Invoice322[[#This Row],[Amount due ($ Inc. GST)]]/Invoice322[[#This Row],[Usage]],0)</f>
        <v>1.67222222222222</v>
      </c>
      <c r="C20" s="34">
        <v>1</v>
      </c>
      <c r="D20" s="34" t="s">
        <v>987</v>
      </c>
      <c r="E20" s="35" cm="1">
        <f t="array" ref="E20">_xlfn.XLOOKUP($E$8,Table1[[#All],[Lot]],Table1[[#All],[Amanda Energy Other fees ($)]],0,0,1)</f>
        <v>1.67222222222222</v>
      </c>
    </row>
    <row r="21" ht="30" customHeight="1" spans="1:5">
      <c r="A21" s="36" t="s">
        <v>859</v>
      </c>
      <c r="B21" s="33">
        <f>IFERROR(Invoice322[[#This Row],[Amount due ($ Inc. GST)]]/Invoice322[[#This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IFERROR(Invoice322[[#This Row],[Amount due ($ Inc. GST)]]/Invoice322[[#This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IFERROR(Invoice322[[#This Row],[Amount due ($ Inc. GST)]]/Invoice322[[#This Row],[Usage]],0)</f>
        <v>0</v>
      </c>
      <c r="C23" s="34">
        <f>C21</f>
        <v>90</v>
      </c>
      <c r="D23" s="34" t="s">
        <v>989</v>
      </c>
      <c r="E23" s="35" cm="1">
        <f t="array" ref="E23">_xlfn.XLOOKUP($E$8,Table1[[#All],[Lot]],Table1[[#All],[Chargefox Daily Supply Charge ($)]],0,0,1)</f>
        <v>0</v>
      </c>
    </row>
    <row r="24" ht="30" customHeight="1" spans="1:5">
      <c r="A24" s="38" t="s">
        <v>991</v>
      </c>
      <c r="B24" s="33">
        <f>IFERROR(Invoice322[[#This Row],[Amount due ($ Inc. GST)]]/Invoice322[[#This Row],[Usage]],0)</f>
        <v>0</v>
      </c>
      <c r="C24" s="34">
        <f>C21</f>
        <v>90</v>
      </c>
      <c r="D24" s="34" t="s">
        <v>989</v>
      </c>
      <c r="E24" s="35" cm="1">
        <f t="array" ref="E24">_xlfn.XLOOKUP($E$8,Table1[[#All],[Lot]],Table1[[#All],[SwitchdIn Cost Daily Supply Charge ($)]],0,0,1)</f>
        <v>0</v>
      </c>
    </row>
    <row r="25" ht="30" customHeight="1" spans="1:5">
      <c r="A25" s="39" t="s">
        <v>992</v>
      </c>
      <c r="B25" s="40">
        <f>IFERROR(Invoice322[[#This Row],[Amount due ($ Inc. GST)]]/Invoice322[[#This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IFERROR(Invoice322[[#This Row],[Amount due ($ Inc. GST)]]/Invoice322[[#This Row],[Usage]],0)</f>
        <v>0.22</v>
      </c>
      <c r="C27" s="34" cm="1">
        <f t="array" ref="C27">_xlfn.XLOOKUP($E$8,Table1[[#All],[Lot]],Table1[[#All],[Common Services based on Split per Unit Entitlement % to battery (kWh)]],0,0,1)</f>
        <v>36.19</v>
      </c>
      <c r="D27" s="34" t="s">
        <v>995</v>
      </c>
      <c r="E27" s="35" cm="1">
        <f t="array" ref="E27">_xlfn.XLOOKUP($E$8,Table1[[#All],[Lot]],Table1[[#All],[Common Services Cost Split per Unit Entitlement at P2P rate ($)]],0,0,1)</f>
        <v>7.9618</v>
      </c>
    </row>
    <row r="28" ht="30" customHeight="1" spans="1:7">
      <c r="A28" s="38" t="s">
        <v>996</v>
      </c>
      <c r="B28" s="33">
        <f>IFERROR(Invoice322[[#This Row],[Amount due ($ Inc. GST)]]/Invoice322[[#This Row],[Usage]],0)</f>
        <v>-0.22</v>
      </c>
      <c r="C28" s="34" cm="1">
        <f t="array" ref="C28">_xlfn.XLOOKUP($E$8,Table1[[#All],[Lot]],Table1[[#All],[Common Service based upon % total export to battery (kWh)]],0,0,1)</f>
        <v>76.4244501081579</v>
      </c>
      <c r="D28" s="34" t="s">
        <v>995</v>
      </c>
      <c r="E28" s="35" cm="1">
        <f t="array" ref="E28">_xlfn.XLOOKUP($E$8,Table1[[#All],[Lot]],Table1[[#All],[Common Service Earning based upon % total export to Load ($)]],0,0,1)</f>
        <v>-16.8133790237947</v>
      </c>
      <c r="G28" s="47"/>
    </row>
    <row r="29" ht="30" customHeight="1" spans="1:7">
      <c r="A29" s="38" t="s">
        <v>997</v>
      </c>
      <c r="B29" s="33">
        <f>IFERROR(Invoice322[[#This Row],[Amount due ($ Inc. GST)]]/Invoice322[[#This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IFERROR(Invoice322[[#This Row],[Amount due ($ Inc. GST)]]/Invoice322[[#This Row],[Usage]],0)</f>
        <v>-0.22</v>
      </c>
      <c r="C30" s="34" cm="1">
        <f t="array" ref="C30">_xlfn.XLOOKUP($E$8,Table1[[#All],[Lot]],Table1[[#All],[Axillary Battery Losses based upon Adjusted % total export (kWh)]],0,0,1)</f>
        <v>287.57893384164</v>
      </c>
      <c r="D30" s="34" t="s">
        <v>995</v>
      </c>
      <c r="E30" s="35" cm="1">
        <f t="array" ref="E30">_xlfn.XLOOKUP($E$8,Table1[[#All],[Lot]],Table1[[#All],[Axillary Battery Losses based upon % total export  ($)]],0,0,1)</f>
        <v>-63.2673654451607</v>
      </c>
    </row>
    <row r="31" ht="30" customHeight="1" spans="1:5">
      <c r="A31" s="38" t="s">
        <v>999</v>
      </c>
      <c r="B31" s="33">
        <f>IFERROR(Invoice322[[#This Row],[Amount due ($ Inc. GST)]]/Invoice322[[#This Row],[Usage]],0)</f>
        <v>0</v>
      </c>
      <c r="C31" s="34" cm="1">
        <f t="array" ref="C31">_xlfn.XLOOKUP("EV",Table1[[#All],[Lot]],Table1[[#All],[Total Consumption Import  (kWh)]],0,0,1)*E11</f>
        <v>145.035</v>
      </c>
      <c r="D31" s="34" t="s">
        <v>995</v>
      </c>
      <c r="E31" s="35" cm="1">
        <f t="array" ref="E31">_xlfn.XLOOKUP($E$8,Table1[[#All],[Lot]],Table1[[#All],[EV Charger Income from Sales Equitable Distribution on UE ($)]],0,0,1)</f>
        <v>0</v>
      </c>
    </row>
    <row r="32" ht="30" customHeight="1" spans="1:5">
      <c r="A32" s="38" t="s">
        <v>1000</v>
      </c>
      <c r="B32" s="33">
        <f>IFERROR(Invoice322[[#This Row],[Amount due ($ Inc. GST)]]/Invoice322[[#This Row],[Usage]],0)</f>
        <v>0.22</v>
      </c>
      <c r="C32" s="34" cm="1">
        <f t="array" ref="C32">_xlfn.XLOOKUP("EV",Table1[[#All],[Lot]],Table1[[#All],[Total Consumption Import  (kWh)]],0,0,1)*E11</f>
        <v>145.035</v>
      </c>
      <c r="D32" s="34" t="s">
        <v>995</v>
      </c>
      <c r="E32" s="35" cm="1">
        <f t="array" ref="E32">_xlfn.XLOOKUP($E$8,Table1[[#All],[Lot]],Table1[[#All],[EV Charger Cost of Electricity Supply at P2P Rates ($)]],0,0,1)</f>
        <v>31.9077</v>
      </c>
    </row>
    <row r="33" ht="30" customHeight="1" spans="1:5">
      <c r="A33" s="38" t="s">
        <v>1001</v>
      </c>
      <c r="B33" s="33">
        <f>IFERROR(Invoice322[[#This Row],[Amount due ($ Inc. GST)]]/Invoice322[[#This Row],[Usage]],0)</f>
        <v>-0.22</v>
      </c>
      <c r="C33" s="34" cm="1">
        <f t="array" ref="C33">_xlfn.XLOOKUP($E$8,Table1[[#All],[Lot]],Table1[[#All],[EV Charger based upon % total export to battery (kWh)]],0,0,1)</f>
        <v>306.278533336189</v>
      </c>
      <c r="D33" s="34" t="s">
        <v>995</v>
      </c>
      <c r="E33" s="35" cm="1">
        <f t="array" ref="E33">_xlfn.XLOOKUP($E$8,Table1[[#All],[Lot]],Table1[[#All],[EV Charger based upon % total export ($)]],0,0,1)</f>
        <v>-67.3812773339616</v>
      </c>
    </row>
    <row r="34" ht="30" customHeight="1" spans="1:5">
      <c r="A34" s="38" t="s">
        <v>1002</v>
      </c>
      <c r="B34" s="33">
        <f>IFERROR(Invoice322[[#This Row],[Amount due ($ Inc. GST)]]/Invoice322[[#This Row],[Usage]],0)</f>
        <v>0</v>
      </c>
      <c r="C34" s="34" cm="1">
        <f t="array" ref="C34">_xlfn.XLOOKUP("EV",Table1[[#All],[Lot]],Table1[[#All],[Total Consumption Import  (kWh)]],0,0,1)*E11</f>
        <v>145.035</v>
      </c>
      <c r="D34" s="34" t="s">
        <v>995</v>
      </c>
      <c r="E34" s="35" cm="1">
        <f t="array" ref="E34">_xlfn.XLOOKUP($E$8,Table1[[#All],[Lot]],Table1[[#All],[Chargefox Commission on EV Charge Consumption Sales Cost Split by Unit Entitlement ($)]],0,0,1)</f>
        <v>0</v>
      </c>
    </row>
    <row r="35" ht="30" customHeight="1" spans="1:5">
      <c r="A35" s="39" t="s">
        <v>1003</v>
      </c>
      <c r="B35" s="48">
        <f>Invoice322[[#This Row],[Amount due ($ Inc. GST)]]/Invoice322[[#This Row],[Usage]]</f>
        <v>-1.19547246447686</v>
      </c>
      <c r="C35" s="49">
        <f>C24</f>
        <v>90</v>
      </c>
      <c r="D35" s="49" t="s">
        <v>989</v>
      </c>
      <c r="E35" s="50">
        <f>SUM(E27:E34)</f>
        <v>-107.592521802917</v>
      </c>
    </row>
    <row r="36" ht="30" customHeight="1" spans="1:5">
      <c r="A36" s="43" t="s">
        <v>1004</v>
      </c>
      <c r="B36" s="51"/>
      <c r="C36" s="52"/>
      <c r="D36" s="52"/>
      <c r="E36" s="53"/>
    </row>
    <row r="37" ht="30" customHeight="1" spans="1:5">
      <c r="A37" s="38" t="s">
        <v>1005</v>
      </c>
      <c r="B37" s="33">
        <f>IFERROR(Invoice322[[#This Row],[Amount due ($ Inc. GST)]]/Invoice322[[#This Row],[Usage]],0)</f>
        <v>0.22</v>
      </c>
      <c r="C37" s="34" cm="1">
        <f t="array" ref="C37">_xlfn.XLOOKUP($E$8,Table1[[#All],[Lot]],Table1[[#All],[Total P2P import (kWh)]],0,0,1)</f>
        <v>212</v>
      </c>
      <c r="D37" s="34" t="s">
        <v>995</v>
      </c>
      <c r="E37" s="35" cm="1">
        <f t="array" ref="E37">_xlfn.XLOOKUP($E$8,Table1[[#All],[Lot]],Table1[[#All],[P2P Import Cost ($)]],0,0,1)</f>
        <v>46.64</v>
      </c>
    </row>
    <row r="38" ht="30" customHeight="1" spans="1:5">
      <c r="A38" s="38" t="s">
        <v>1006</v>
      </c>
      <c r="B38" s="33">
        <f>IFERROR(Invoice322[[#This Row],[Amount due ($ Inc. GST)]]/Invoice322[[#This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IFERROR(Invoice322[[#This Row],[Amount due ($ Inc. GST)]]/Invoice322[[#This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Invoice322[[#This Row],[Amount due ($ Inc. GST)]]/Invoice322[[#This Row],[Usage]]</f>
        <v>0.518222222222222</v>
      </c>
      <c r="C40" s="49">
        <f>C35</f>
        <v>90</v>
      </c>
      <c r="D40" s="49" t="s">
        <v>989</v>
      </c>
      <c r="E40" s="50">
        <f>SUM(E37:E39)</f>
        <v>46.64</v>
      </c>
    </row>
    <row r="41" ht="30" customHeight="1" spans="1:5">
      <c r="A41" s="43" t="s">
        <v>1009</v>
      </c>
      <c r="B41" s="33"/>
      <c r="C41" s="34"/>
      <c r="D41" s="34"/>
      <c r="E41" s="46"/>
    </row>
    <row r="42" ht="30" customHeight="1" spans="1:5">
      <c r="A42" s="54" t="s">
        <v>1010</v>
      </c>
      <c r="B42" s="33">
        <f>IFERROR(Invoice322[[#This Row],[Amount due ($ Inc. GST)]]/Invoice322[[#This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IFERROR(Invoice322[[#This Row],[Amount due ($ Inc. GST)]]/Invoice322[[#This Row],[Usage]],0)</f>
        <v>-0.02</v>
      </c>
      <c r="C43" s="34" cm="1">
        <f t="array" ref="C43">_xlfn.XLOOKUP($E$8,Table1[[#All],[Lot]],Table1[[#All],[Borrowed Allowance Based on Unused Daily Allowance % (kWh)]],0,0,1)</f>
        <v>66.8350667078039</v>
      </c>
      <c r="D43" s="34" t="s">
        <v>995</v>
      </c>
      <c r="E43" s="35" cm="1">
        <f t="array" ref="E43">_xlfn.XLOOKUP($E$8,Table1[[#All],[Lot]],Table1[[#All],[Passive Compensation ($)]],0,0,1)</f>
        <v>-1.33670133415608</v>
      </c>
    </row>
    <row r="44" ht="30" customHeight="1" spans="1:5">
      <c r="A44" s="32" t="s">
        <v>1012</v>
      </c>
      <c r="B44" s="33">
        <f>IFERROR(Invoice322[[#This Row],[Amount due ($ Inc. GST)]]/Invoice322[[#This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IFERROR(Invoice322[[#This Row],[Amount due ($ Inc. GST)]]/Invoice322[[#This Row],[Usage]],0)</f>
        <v>0</v>
      </c>
      <c r="C45" s="49">
        <f>C40</f>
        <v>90</v>
      </c>
      <c r="D45" s="49" t="s">
        <v>989</v>
      </c>
      <c r="E45" s="50" t="e">
        <f>SUBTOTAL(109,E42:E44)</f>
        <v>#N/A</v>
      </c>
    </row>
    <row r="46" ht="30" customHeight="1" spans="1:5">
      <c r="A46" s="55" t="s">
        <v>1014</v>
      </c>
      <c r="B46" s="56">
        <f>IFERROR(Invoice322[[#This Row],[Amount due ($ Inc. GST)]]/Invoice322[[#This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Dunlop 1A19/0325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1A20/0325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20</v>
      </c>
    </row>
    <row r="9" ht="18" customHeight="1" spans="1:5">
      <c r="A9" s="14"/>
      <c r="B9" s="8" t="s">
        <v>974</v>
      </c>
      <c r="C9" s="15"/>
      <c r="D9" s="15"/>
      <c r="E9" s="16">
        <f>VLOOKUP(E8,'Energy billing Mastersheet'!5:38,MATCH('Energy billing Mastersheet'!C4,'Energy billing Mastersheet'!4:4,0),FALSE)</f>
        <v>50002710</v>
      </c>
    </row>
    <row r="10" spans="1:5">
      <c r="A10" s="17" t="s">
        <v>975</v>
      </c>
      <c r="B10" s="8" t="s">
        <v>976</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Elke Light</v>
      </c>
      <c r="B11" s="19" t="s">
        <v>977</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30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IFERROR(Invoice323[[#This Row],[Amount due ($ Inc. GST)]]/Invoice323[[#This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IFERROR(Invoice323[[#This Row],[Amount due ($ Inc. GST)]]/Invoice323[[#This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IFERROR(Invoice323[[#This Row],[Amount due ($ Inc. GST)]]/Invoice323[[#This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IFERROR(Invoice323[[#This Row],[Amount due ($ Inc. GST)]]/Invoice323[[#This Row],[Usage]],0)</f>
        <v>1.67222222222222</v>
      </c>
      <c r="C20" s="34">
        <v>1</v>
      </c>
      <c r="D20" s="34" t="s">
        <v>987</v>
      </c>
      <c r="E20" s="35" cm="1">
        <f t="array" ref="E20">_xlfn.XLOOKUP($E$8,Table1[[#All],[Lot]],Table1[[#All],[Amanda Energy Other fees ($)]],0,0,1)</f>
        <v>1.67222222222222</v>
      </c>
    </row>
    <row r="21" ht="30" customHeight="1" spans="1:5">
      <c r="A21" s="36" t="s">
        <v>859</v>
      </c>
      <c r="B21" s="33">
        <f>IFERROR(Invoice323[[#This Row],[Amount due ($ Inc. GST)]]/Invoice323[[#This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IFERROR(Invoice323[[#This Row],[Amount due ($ Inc. GST)]]/Invoice323[[#This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IFERROR(Invoice323[[#This Row],[Amount due ($ Inc. GST)]]/Invoice323[[#This Row],[Usage]],0)</f>
        <v>0</v>
      </c>
      <c r="C23" s="34">
        <f>C21</f>
        <v>90</v>
      </c>
      <c r="D23" s="34" t="s">
        <v>989</v>
      </c>
      <c r="E23" s="35" cm="1">
        <f t="array" ref="E23">_xlfn.XLOOKUP($E$8,Table1[[#All],[Lot]],Table1[[#All],[Chargefox Daily Supply Charge ($)]],0,0,1)</f>
        <v>0</v>
      </c>
    </row>
    <row r="24" ht="30" customHeight="1" spans="1:5">
      <c r="A24" s="38" t="s">
        <v>991</v>
      </c>
      <c r="B24" s="33">
        <f>IFERROR(Invoice323[[#This Row],[Amount due ($ Inc. GST)]]/Invoice323[[#This Row],[Usage]],0)</f>
        <v>0</v>
      </c>
      <c r="C24" s="34">
        <f>C21</f>
        <v>90</v>
      </c>
      <c r="D24" s="34" t="s">
        <v>989</v>
      </c>
      <c r="E24" s="35" cm="1">
        <f t="array" ref="E24">_xlfn.XLOOKUP($E$8,Table1[[#All],[Lot]],Table1[[#All],[SwitchdIn Cost Daily Supply Charge ($)]],0,0,1)</f>
        <v>0</v>
      </c>
    </row>
    <row r="25" ht="30" customHeight="1" spans="1:5">
      <c r="A25" s="39" t="s">
        <v>992</v>
      </c>
      <c r="B25" s="40">
        <f>IFERROR(Invoice323[[#This Row],[Amount due ($ Inc. GST)]]/Invoice323[[#This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IFERROR(Invoice323[[#This Row],[Amount due ($ Inc. GST)]]/Invoice323[[#This Row],[Usage]],0)</f>
        <v>0.22</v>
      </c>
      <c r="C27" s="34" cm="1">
        <f t="array" ref="C27">_xlfn.XLOOKUP($E$8,Table1[[#All],[Lot]],Table1[[#All],[Common Services based on Split per Unit Entitlement % to battery (kWh)]],0,0,1)</f>
        <v>17.108</v>
      </c>
      <c r="D27" s="34" t="s">
        <v>995</v>
      </c>
      <c r="E27" s="35" cm="1">
        <f t="array" ref="E27">_xlfn.XLOOKUP($E$8,Table1[[#All],[Lot]],Table1[[#All],[Common Services Cost Split per Unit Entitlement at P2P rate ($)]],0,0,1)</f>
        <v>3.76376</v>
      </c>
    </row>
    <row r="28" ht="30" customHeight="1" spans="1:7">
      <c r="A28" s="38" t="s">
        <v>996</v>
      </c>
      <c r="B28" s="33">
        <f>IFERROR(Invoice323[[#This Row],[Amount due ($ Inc. GST)]]/Invoice323[[#This Row],[Usage]],0)</f>
        <v>-0.22</v>
      </c>
      <c r="C28" s="34" cm="1">
        <f t="array" ref="C28">_xlfn.XLOOKUP($E$8,Table1[[#All],[Lot]],Table1[[#All],[Common Service based upon % total export to battery (kWh)]],0,0,1)</f>
        <v>37.3596196269088</v>
      </c>
      <c r="D28" s="34" t="s">
        <v>995</v>
      </c>
      <c r="E28" s="35" cm="1">
        <f t="array" ref="E28">_xlfn.XLOOKUP($E$8,Table1[[#All],[Lot]],Table1[[#All],[Common Service Earning based upon % total export to Load ($)]],0,0,1)</f>
        <v>-8.21911631791994</v>
      </c>
      <c r="G28" s="47"/>
    </row>
    <row r="29" ht="30" customHeight="1" spans="1:7">
      <c r="A29" s="38" t="s">
        <v>997</v>
      </c>
      <c r="B29" s="33">
        <f>IFERROR(Invoice323[[#This Row],[Amount due ($ Inc. GST)]]/Invoice323[[#This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IFERROR(Invoice323[[#This Row],[Amount due ($ Inc. GST)]]/Invoice323[[#This Row],[Usage]],0)</f>
        <v>-0.22</v>
      </c>
      <c r="C30" s="34" cm="1">
        <f t="array" ref="C30">_xlfn.XLOOKUP($E$8,Table1[[#All],[Lot]],Table1[[#All],[Axillary Battery Losses based upon Adjusted % total export (kWh)]],0,0,1)</f>
        <v>140.581182669037</v>
      </c>
      <c r="D30" s="34" t="s">
        <v>995</v>
      </c>
      <c r="E30" s="35" cm="1">
        <f t="array" ref="E30">_xlfn.XLOOKUP($E$8,Table1[[#All],[Lot]],Table1[[#All],[Axillary Battery Losses based upon % total export  ($)]],0,0,1)</f>
        <v>-30.9278601871881</v>
      </c>
    </row>
    <row r="31" ht="30" customHeight="1" spans="1:5">
      <c r="A31" s="38" t="s">
        <v>999</v>
      </c>
      <c r="B31" s="33">
        <f>IFERROR(Invoice323[[#This Row],[Amount due ($ Inc. GST)]]/Invoice323[[#This Row],[Usage]],0)</f>
        <v>0</v>
      </c>
      <c r="C31" s="34" cm="1">
        <f t="array" ref="C31">_xlfn.XLOOKUP("EV",Table1[[#All],[Lot]],Table1[[#All],[Total Consumption Import  (kWh)]],0,0,1)*E11</f>
        <v>68.562</v>
      </c>
      <c r="D31" s="34" t="s">
        <v>995</v>
      </c>
      <c r="E31" s="35" cm="1">
        <f t="array" ref="E31">_xlfn.XLOOKUP($E$8,Table1[[#All],[Lot]],Table1[[#All],[EV Charger Income from Sales Equitable Distribution on UE ($)]],0,0,1)</f>
        <v>0</v>
      </c>
    </row>
    <row r="32" ht="30" customHeight="1" spans="1:5">
      <c r="A32" s="38" t="s">
        <v>1000</v>
      </c>
      <c r="B32" s="33">
        <f>IFERROR(Invoice323[[#This Row],[Amount due ($ Inc. GST)]]/Invoice323[[#This Row],[Usage]],0)</f>
        <v>0.22</v>
      </c>
      <c r="C32" s="34" cm="1">
        <f t="array" ref="C32">_xlfn.XLOOKUP("EV",Table1[[#All],[Lot]],Table1[[#All],[Total Consumption Import  (kWh)]],0,0,1)*E11</f>
        <v>68.562</v>
      </c>
      <c r="D32" s="34" t="s">
        <v>995</v>
      </c>
      <c r="E32" s="35" cm="1">
        <f t="array" ref="E32">_xlfn.XLOOKUP($E$8,Table1[[#All],[Lot]],Table1[[#All],[EV Charger Cost of Electricity Supply at P2P Rates ($)]],0,0,1)</f>
        <v>15.08364</v>
      </c>
    </row>
    <row r="33" ht="30" customHeight="1" spans="1:5">
      <c r="A33" s="38" t="s">
        <v>1001</v>
      </c>
      <c r="B33" s="33">
        <f>IFERROR(Invoice323[[#This Row],[Amount due ($ Inc. GST)]]/Invoice323[[#This Row],[Usage]],0)</f>
        <v>-0.22</v>
      </c>
      <c r="C33" s="34" cm="1">
        <f t="array" ref="C33">_xlfn.XLOOKUP($E$8,Table1[[#All],[Lot]],Table1[[#All],[EV Charger based upon % total export to battery (kWh)]],0,0,1)</f>
        <v>149.72236619477</v>
      </c>
      <c r="D33" s="34" t="s">
        <v>995</v>
      </c>
      <c r="E33" s="35" cm="1">
        <f t="array" ref="E33">_xlfn.XLOOKUP($E$8,Table1[[#All],[Lot]],Table1[[#All],[EV Charger based upon % total export ($)]],0,0,1)</f>
        <v>-32.9389205628494</v>
      </c>
    </row>
    <row r="34" ht="30" customHeight="1" spans="1:5">
      <c r="A34" s="38" t="s">
        <v>1002</v>
      </c>
      <c r="B34" s="33">
        <f>IFERROR(Invoice323[[#This Row],[Amount due ($ Inc. GST)]]/Invoice323[[#This Row],[Usage]],0)</f>
        <v>0</v>
      </c>
      <c r="C34" s="34" cm="1">
        <f t="array" ref="C34">_xlfn.XLOOKUP("EV",Table1[[#All],[Lot]],Table1[[#All],[Total Consumption Import  (kWh)]],0,0,1)*E11</f>
        <v>68.562</v>
      </c>
      <c r="D34" s="34" t="s">
        <v>995</v>
      </c>
      <c r="E34" s="35" cm="1">
        <f t="array" ref="E34">_xlfn.XLOOKUP($E$8,Table1[[#All],[Lot]],Table1[[#All],[Chargefox Commission on EV Charge Consumption Sales Cost Split by Unit Entitlement ($)]],0,0,1)</f>
        <v>0</v>
      </c>
    </row>
    <row r="35" ht="30" customHeight="1" spans="1:5">
      <c r="A35" s="39" t="s">
        <v>1003</v>
      </c>
      <c r="B35" s="48">
        <f>Invoice323[[#This Row],[Amount due ($ Inc. GST)]]/Invoice323[[#This Row],[Usage]]</f>
        <v>-0.591538856310638</v>
      </c>
      <c r="C35" s="49">
        <f>C24</f>
        <v>90</v>
      </c>
      <c r="D35" s="49" t="s">
        <v>989</v>
      </c>
      <c r="E35" s="50">
        <f>SUM(E27:E34)</f>
        <v>-53.2384970679574</v>
      </c>
    </row>
    <row r="36" ht="30" customHeight="1" spans="1:5">
      <c r="A36" s="43" t="s">
        <v>1004</v>
      </c>
      <c r="B36" s="51"/>
      <c r="C36" s="52"/>
      <c r="D36" s="52"/>
      <c r="E36" s="53"/>
    </row>
    <row r="37" ht="30" customHeight="1" spans="1:5">
      <c r="A37" s="38" t="s">
        <v>1005</v>
      </c>
      <c r="B37" s="33">
        <f>IFERROR(Invoice323[[#This Row],[Amount due ($ Inc. GST)]]/Invoice323[[#This Row],[Usage]],0)</f>
        <v>0.22</v>
      </c>
      <c r="C37" s="34" cm="1">
        <f t="array" ref="C37">_xlfn.XLOOKUP($E$8,Table1[[#All],[Lot]],Table1[[#All],[Total P2P import (kWh)]],0,0,1)</f>
        <v>208</v>
      </c>
      <c r="D37" s="34" t="s">
        <v>995</v>
      </c>
      <c r="E37" s="35" cm="1">
        <f t="array" ref="E37">_xlfn.XLOOKUP($E$8,Table1[[#All],[Lot]],Table1[[#All],[P2P Import Cost ($)]],0,0,1)</f>
        <v>45.76</v>
      </c>
    </row>
    <row r="38" ht="30" customHeight="1" spans="1:5">
      <c r="A38" s="38" t="s">
        <v>1006</v>
      </c>
      <c r="B38" s="33">
        <f>IFERROR(Invoice323[[#This Row],[Amount due ($ Inc. GST)]]/Invoice323[[#This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IFERROR(Invoice323[[#This Row],[Amount due ($ Inc. GST)]]/Invoice323[[#This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Invoice323[[#This Row],[Amount due ($ Inc. GST)]]/Invoice323[[#This Row],[Usage]]</f>
        <v>0.508444444444444</v>
      </c>
      <c r="C40" s="49">
        <f>C35</f>
        <v>90</v>
      </c>
      <c r="D40" s="49" t="s">
        <v>989</v>
      </c>
      <c r="E40" s="50">
        <f>SUM(E37:E39)</f>
        <v>45.76</v>
      </c>
    </row>
    <row r="41" ht="30" customHeight="1" spans="1:5">
      <c r="A41" s="43" t="s">
        <v>1009</v>
      </c>
      <c r="B41" s="33"/>
      <c r="C41" s="34"/>
      <c r="D41" s="34"/>
      <c r="E41" s="46"/>
    </row>
    <row r="42" ht="30" customHeight="1" spans="1:5">
      <c r="A42" s="54" t="s">
        <v>1010</v>
      </c>
      <c r="B42" s="33">
        <f>IFERROR(Invoice323[[#This Row],[Amount due ($ Inc. GST)]]/Invoice323[[#This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IFERROR(Invoice323[[#This Row],[Amount due ($ Inc. GST)]]/Invoice323[[#This Row],[Usage]],0)</f>
        <v>-0.02</v>
      </c>
      <c r="C43" s="34" cm="1">
        <f t="array" ref="C43">_xlfn.XLOOKUP($E$8,Table1[[#All],[Lot]],Table1[[#All],[Borrowed Allowance Based on Unused Daily Allowance % (kWh)]],0,0,1)</f>
        <v>23.9423394010789</v>
      </c>
      <c r="D43" s="34" t="s">
        <v>995</v>
      </c>
      <c r="E43" s="35" cm="1">
        <f t="array" ref="E43">_xlfn.XLOOKUP($E$8,Table1[[#All],[Lot]],Table1[[#All],[Passive Compensation ($)]],0,0,1)</f>
        <v>-0.478846788021578</v>
      </c>
    </row>
    <row r="44" ht="30" customHeight="1" spans="1:5">
      <c r="A44" s="32" t="s">
        <v>1012</v>
      </c>
      <c r="B44" s="33">
        <f>IFERROR(Invoice323[[#This Row],[Amount due ($ Inc. GST)]]/Invoice323[[#This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IFERROR(Invoice323[[#This Row],[Amount due ($ Inc. GST)]]/Invoice323[[#This Row],[Usage]],0)</f>
        <v>0</v>
      </c>
      <c r="C45" s="49">
        <f>C40</f>
        <v>90</v>
      </c>
      <c r="D45" s="49" t="s">
        <v>989</v>
      </c>
      <c r="E45" s="50" t="e">
        <f>SUBTOTAL(109,E42:E44)</f>
        <v>#N/A</v>
      </c>
    </row>
    <row r="46" ht="30" customHeight="1" spans="1:5">
      <c r="A46" s="55" t="s">
        <v>1014</v>
      </c>
      <c r="B46" s="56">
        <f>IFERROR(Invoice323[[#This Row],[Amount due ($ Inc. GST)]]/Invoice323[[#This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Light 1A20/0325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1A21/0325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21</v>
      </c>
    </row>
    <row r="9" ht="18" customHeight="1" spans="1:5">
      <c r="A9" s="14"/>
      <c r="B9" s="8" t="s">
        <v>974</v>
      </c>
      <c r="C9" s="15"/>
      <c r="D9" s="15"/>
      <c r="E9" s="16">
        <f>VLOOKUP(E8,'Energy billing Mastersheet'!5:38,MATCH('Energy billing Mastersheet'!C4,'Energy billing Mastersheet'!4:4,0),FALSE)</f>
        <v>50002719</v>
      </c>
    </row>
    <row r="10" spans="1:5">
      <c r="A10" s="17" t="s">
        <v>975</v>
      </c>
      <c r="B10" s="8" t="s">
        <v>976</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Deborah Woodman</v>
      </c>
      <c r="B11" s="19" t="s">
        <v>977</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28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IFERROR(Invoice324[[#This Row],[Amount due ($ Inc. GST)]]/Invoice324[[#This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IFERROR(Invoice324[[#This Row],[Amount due ($ Inc. GST)]]/Invoice324[[#This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IFERROR(Invoice324[[#This Row],[Amount due ($ Inc. GST)]]/Invoice324[[#This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IFERROR(Invoice324[[#This Row],[Amount due ($ Inc. GST)]]/Invoice324[[#This Row],[Usage]],0)</f>
        <v>1.67222222222222</v>
      </c>
      <c r="C20" s="34">
        <v>1</v>
      </c>
      <c r="D20" s="34" t="s">
        <v>987</v>
      </c>
      <c r="E20" s="35" cm="1">
        <f t="array" ref="E20">_xlfn.XLOOKUP($E$8,Table1[[#All],[Lot]],Table1[[#All],[Amanda Energy Other fees ($)]],0,0,1)</f>
        <v>1.67222222222222</v>
      </c>
    </row>
    <row r="21" ht="30" customHeight="1" spans="1:5">
      <c r="A21" s="36" t="s">
        <v>859</v>
      </c>
      <c r="B21" s="33">
        <f>IFERROR(Invoice324[[#This Row],[Amount due ($ Inc. GST)]]/Invoice324[[#This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IFERROR(Invoice324[[#This Row],[Amount due ($ Inc. GST)]]/Invoice324[[#This Row],[Usage]],0)</f>
        <v>1.1</v>
      </c>
      <c r="C22" s="34">
        <v>1</v>
      </c>
      <c r="D22" s="34" t="s">
        <v>987</v>
      </c>
      <c r="E22" s="35" cm="1">
        <f t="array" ref="E22">_xlfn.XLOOKUP($E$8,Table1[[#All],[Lot]],Table1[[#All],[Element47 Embedded Network Invoicing Fees]],0,0,1)</f>
        <v>1.1</v>
      </c>
      <c r="G22" s="37"/>
    </row>
    <row r="23" ht="30" customHeight="1" spans="1:5">
      <c r="A23" s="38" t="s">
        <v>990</v>
      </c>
      <c r="B23" s="33">
        <f>IFERROR(Invoice324[[#This Row],[Amount due ($ Inc. GST)]]/Invoice324[[#This Row],[Usage]],0)</f>
        <v>0</v>
      </c>
      <c r="C23" s="34">
        <f>C21</f>
        <v>90</v>
      </c>
      <c r="D23" s="34" t="s">
        <v>989</v>
      </c>
      <c r="E23" s="35" cm="1">
        <f t="array" ref="E23">_xlfn.XLOOKUP($E$8,Table1[[#All],[Lot]],Table1[[#All],[Chargefox Daily Supply Charge ($)]],0,0,1)</f>
        <v>0</v>
      </c>
    </row>
    <row r="24" ht="30" customHeight="1" spans="1:5">
      <c r="A24" s="38" t="s">
        <v>991</v>
      </c>
      <c r="B24" s="33">
        <f>IFERROR(Invoice324[[#This Row],[Amount due ($ Inc. GST)]]/Invoice324[[#This Row],[Usage]],0)</f>
        <v>0</v>
      </c>
      <c r="C24" s="34">
        <f>C21</f>
        <v>90</v>
      </c>
      <c r="D24" s="34" t="s">
        <v>989</v>
      </c>
      <c r="E24" s="35" cm="1">
        <f t="array" ref="E24">_xlfn.XLOOKUP($E$8,Table1[[#All],[Lot]],Table1[[#All],[SwitchdIn Cost Daily Supply Charge ($)]],0,0,1)</f>
        <v>0</v>
      </c>
    </row>
    <row r="25" ht="30" customHeight="1" spans="1:5">
      <c r="A25" s="39" t="s">
        <v>992</v>
      </c>
      <c r="B25" s="40">
        <f>IFERROR(Invoice324[[#This Row],[Amount due ($ Inc. GST)]]/Invoice324[[#This Row],[Usage]],0)</f>
        <v>0.454506172839506</v>
      </c>
      <c r="C25" s="41">
        <f>C24</f>
        <v>90</v>
      </c>
      <c r="D25" s="41" t="s">
        <v>989</v>
      </c>
      <c r="E25" s="42">
        <f>SUM(E17:E24)</f>
        <v>40.9055555555556</v>
      </c>
    </row>
    <row r="26" ht="30" customHeight="1" spans="1:5">
      <c r="A26" s="43" t="s">
        <v>993</v>
      </c>
      <c r="B26" s="44"/>
      <c r="C26" s="45"/>
      <c r="D26" s="45"/>
      <c r="E26" s="46"/>
    </row>
    <row r="27" ht="30" customHeight="1" spans="1:5">
      <c r="A27" s="38" t="s">
        <v>994</v>
      </c>
      <c r="B27" s="33">
        <f>IFERROR(Invoice324[[#This Row],[Amount due ($ Inc. GST)]]/Invoice324[[#This Row],[Usage]],0)</f>
        <v>0.22</v>
      </c>
      <c r="C27" s="34" cm="1">
        <f t="array" ref="C27">_xlfn.XLOOKUP($E$8,Table1[[#All],[Lot]],Table1[[#All],[Common Services based on Split per Unit Entitlement % to battery (kWh)]],0,0,1)</f>
        <v>17.108</v>
      </c>
      <c r="D27" s="34" t="s">
        <v>995</v>
      </c>
      <c r="E27" s="35" cm="1">
        <f t="array" ref="E27">_xlfn.XLOOKUP($E$8,Table1[[#All],[Lot]],Table1[[#All],[Common Services Cost Split per Unit Entitlement at P2P rate ($)]],0,0,1)</f>
        <v>3.76376</v>
      </c>
    </row>
    <row r="28" ht="30" customHeight="1" spans="1:7">
      <c r="A28" s="38" t="s">
        <v>996</v>
      </c>
      <c r="B28" s="33">
        <f>IFERROR(Invoice324[[#This Row],[Amount due ($ Inc. GST)]]/Invoice324[[#This Row],[Usage]],0)</f>
        <v>-0.22</v>
      </c>
      <c r="C28" s="34" cm="1">
        <f t="array" ref="C28">_xlfn.XLOOKUP($E$8,Table1[[#All],[Lot]],Table1[[#All],[Common Service based upon % total export to battery (kWh)]],0,0,1)</f>
        <v>38.6984215373412</v>
      </c>
      <c r="D28" s="34" t="s">
        <v>995</v>
      </c>
      <c r="E28" s="35" cm="1">
        <f t="array" ref="E28">_xlfn.XLOOKUP($E$8,Table1[[#All],[Lot]],Table1[[#All],[Common Service Earning based upon % total export to Load ($)]],0,0,1)</f>
        <v>-8.51365273821507</v>
      </c>
      <c r="G28" s="47"/>
    </row>
    <row r="29" ht="30" customHeight="1" spans="1:7">
      <c r="A29" s="38" t="s">
        <v>997</v>
      </c>
      <c r="B29" s="33">
        <f>IFERROR(Invoice324[[#This Row],[Amount due ($ Inc. GST)]]/Invoice324[[#This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IFERROR(Invoice324[[#This Row],[Amount due ($ Inc. GST)]]/Invoice324[[#This Row],[Usage]],0)</f>
        <v>-0.22</v>
      </c>
      <c r="C30" s="34" cm="1">
        <f t="array" ref="C30">_xlfn.XLOOKUP($E$8,Table1[[#All],[Lot]],Table1[[#All],[Axillary Battery Losses based upon Adjusted % total export (kWh)]],0,0,1)</f>
        <v>145.618984386713</v>
      </c>
      <c r="D30" s="34" t="s">
        <v>995</v>
      </c>
      <c r="E30" s="35" cm="1">
        <f t="array" ref="E30">_xlfn.XLOOKUP($E$8,Table1[[#All],[Lot]],Table1[[#All],[Axillary Battery Losses based upon % total export  ($)]],0,0,1)</f>
        <v>-32.0361765650768</v>
      </c>
    </row>
    <row r="31" ht="30" customHeight="1" spans="1:5">
      <c r="A31" s="38" t="s">
        <v>999</v>
      </c>
      <c r="B31" s="33">
        <f>IFERROR(Invoice324[[#This Row],[Amount due ($ Inc. GST)]]/Invoice324[[#This Row],[Usage]],0)</f>
        <v>0</v>
      </c>
      <c r="C31" s="34" cm="1">
        <f t="array" ref="C31">_xlfn.XLOOKUP("EV",Table1[[#All],[Lot]],Table1[[#All],[Total Consumption Import  (kWh)]],0,0,1)*E11</f>
        <v>68.562</v>
      </c>
      <c r="D31" s="34" t="s">
        <v>995</v>
      </c>
      <c r="E31" s="35" cm="1">
        <f t="array" ref="E31">_xlfn.XLOOKUP($E$8,Table1[[#All],[Lot]],Table1[[#All],[EV Charger Income from Sales Equitable Distribution on UE ($)]],0,0,1)</f>
        <v>0</v>
      </c>
    </row>
    <row r="32" ht="30" customHeight="1" spans="1:5">
      <c r="A32" s="38" t="s">
        <v>1000</v>
      </c>
      <c r="B32" s="33">
        <f>IFERROR(Invoice324[[#This Row],[Amount due ($ Inc. GST)]]/Invoice324[[#This Row],[Usage]],0)</f>
        <v>0.22</v>
      </c>
      <c r="C32" s="34" cm="1">
        <f t="array" ref="C32">_xlfn.XLOOKUP("EV",Table1[[#All],[Lot]],Table1[[#All],[Total Consumption Import  (kWh)]],0,0,1)*E11</f>
        <v>68.562</v>
      </c>
      <c r="D32" s="34" t="s">
        <v>995</v>
      </c>
      <c r="E32" s="35" cm="1">
        <f t="array" ref="E32">_xlfn.XLOOKUP($E$8,Table1[[#All],[Lot]],Table1[[#All],[EV Charger Cost of Electricity Supply at P2P Rates ($)]],0,0,1)</f>
        <v>15.08364</v>
      </c>
    </row>
    <row r="33" ht="30" customHeight="1" spans="1:5">
      <c r="A33" s="38" t="s">
        <v>1001</v>
      </c>
      <c r="B33" s="33">
        <f>IFERROR(Invoice324[[#This Row],[Amount due ($ Inc. GST)]]/Invoice324[[#This Row],[Usage]],0)</f>
        <v>-0.22</v>
      </c>
      <c r="C33" s="34" cm="1">
        <f t="array" ref="C33">_xlfn.XLOOKUP($E$8,Table1[[#All],[Lot]],Table1[[#All],[EV Charger based upon % total export to battery (kWh)]],0,0,1)</f>
        <v>155.087747103296</v>
      </c>
      <c r="D33" s="34" t="s">
        <v>995</v>
      </c>
      <c r="E33" s="35" cm="1">
        <f t="array" ref="E33">_xlfn.XLOOKUP($E$8,Table1[[#All],[Lot]],Table1[[#All],[EV Charger based upon % total export ($)]],0,0,1)</f>
        <v>-34.1193043627251</v>
      </c>
    </row>
    <row r="34" ht="30" customHeight="1" spans="1:5">
      <c r="A34" s="38" t="s">
        <v>1002</v>
      </c>
      <c r="B34" s="33">
        <f>IFERROR(Invoice324[[#This Row],[Amount due ($ Inc. GST)]]/Invoice324[[#This Row],[Usage]],0)</f>
        <v>0</v>
      </c>
      <c r="C34" s="34" cm="1">
        <f t="array" ref="C34">_xlfn.XLOOKUP("EV",Table1[[#All],[Lot]],Table1[[#All],[Total Consumption Import  (kWh)]],0,0,1)*E11</f>
        <v>68.562</v>
      </c>
      <c r="D34" s="34" t="s">
        <v>995</v>
      </c>
      <c r="E34" s="35" cm="1">
        <f t="array" ref="E34">_xlfn.XLOOKUP($E$8,Table1[[#All],[Lot]],Table1[[#All],[Chargefox Commission on EV Charge Consumption Sales Cost Split by Unit Entitlement ($)]],0,0,1)</f>
        <v>0</v>
      </c>
    </row>
    <row r="35" ht="30" customHeight="1" spans="1:5">
      <c r="A35" s="39" t="s">
        <v>1003</v>
      </c>
      <c r="B35" s="48">
        <f>Invoice324[[#This Row],[Amount due ($ Inc. GST)]]/Invoice324[[#This Row],[Usage]]</f>
        <v>-0.620241485177967</v>
      </c>
      <c r="C35" s="49">
        <f>C24</f>
        <v>90</v>
      </c>
      <c r="D35" s="49" t="s">
        <v>989</v>
      </c>
      <c r="E35" s="50">
        <f>SUM(E27:E34)</f>
        <v>-55.821733666017</v>
      </c>
    </row>
    <row r="36" ht="30" customHeight="1" spans="1:5">
      <c r="A36" s="43" t="s">
        <v>1004</v>
      </c>
      <c r="B36" s="51"/>
      <c r="C36" s="52"/>
      <c r="D36" s="52"/>
      <c r="E36" s="53"/>
    </row>
    <row r="37" ht="30" customHeight="1" spans="1:5">
      <c r="A37" s="38" t="s">
        <v>1005</v>
      </c>
      <c r="B37" s="33">
        <f>IFERROR(Invoice324[[#This Row],[Amount due ($ Inc. GST)]]/Invoice324[[#This Row],[Usage]],0)</f>
        <v>0.22</v>
      </c>
      <c r="C37" s="34" cm="1">
        <f t="array" ref="C37">_xlfn.XLOOKUP($E$8,Table1[[#All],[Lot]],Table1[[#All],[Total P2P import (kWh)]],0,0,1)</f>
        <v>92</v>
      </c>
      <c r="D37" s="34" t="s">
        <v>995</v>
      </c>
      <c r="E37" s="35" cm="1">
        <f t="array" ref="E37">_xlfn.XLOOKUP($E$8,Table1[[#All],[Lot]],Table1[[#All],[P2P Import Cost ($)]],0,0,1)</f>
        <v>20.24</v>
      </c>
    </row>
    <row r="38" ht="30" customHeight="1" spans="1:5">
      <c r="A38" s="38" t="s">
        <v>1006</v>
      </c>
      <c r="B38" s="33">
        <f>IFERROR(Invoice324[[#This Row],[Amount due ($ Inc. GST)]]/Invoice324[[#This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IFERROR(Invoice324[[#This Row],[Amount due ($ Inc. GST)]]/Invoice324[[#This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Invoice324[[#This Row],[Amount due ($ Inc. GST)]]/Invoice324[[#This Row],[Usage]]</f>
        <v>0.224888888888889</v>
      </c>
      <c r="C40" s="49">
        <f>C35</f>
        <v>90</v>
      </c>
      <c r="D40" s="49" t="s">
        <v>989</v>
      </c>
      <c r="E40" s="50">
        <f>SUM(E37:E39)</f>
        <v>20.24</v>
      </c>
    </row>
    <row r="41" ht="30" customHeight="1" spans="1:5">
      <c r="A41" s="43" t="s">
        <v>1009</v>
      </c>
      <c r="B41" s="33"/>
      <c r="C41" s="34"/>
      <c r="D41" s="34"/>
      <c r="E41" s="46"/>
    </row>
    <row r="42" ht="30" customHeight="1" spans="1:5">
      <c r="A42" s="54" t="s">
        <v>1010</v>
      </c>
      <c r="B42" s="33">
        <f>IFERROR(Invoice324[[#This Row],[Amount due ($ Inc. GST)]]/Invoice324[[#This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IFERROR(Invoice324[[#This Row],[Amount due ($ Inc. GST)]]/Invoice324[[#This Row],[Usage]],0)</f>
        <v>-0.02</v>
      </c>
      <c r="C43" s="34" cm="1">
        <f t="array" ref="C43">_xlfn.XLOOKUP($E$8,Table1[[#All],[Lot]],Table1[[#All],[Borrowed Allowance Based on Unused Daily Allowance % (kWh)]],0,0,1)</f>
        <v>32.1782428781122</v>
      </c>
      <c r="D43" s="34" t="s">
        <v>995</v>
      </c>
      <c r="E43" s="35" cm="1">
        <f t="array" ref="E43">_xlfn.XLOOKUP($E$8,Table1[[#All],[Lot]],Table1[[#All],[Passive Compensation ($)]],0,0,1)</f>
        <v>-0.643564857562244</v>
      </c>
    </row>
    <row r="44" ht="30" customHeight="1" spans="1:5">
      <c r="A44" s="32" t="s">
        <v>1012</v>
      </c>
      <c r="B44" s="33">
        <f>IFERROR(Invoice324[[#This Row],[Amount due ($ Inc. GST)]]/Invoice324[[#This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IFERROR(Invoice324[[#This Row],[Amount due ($ Inc. GST)]]/Invoice324[[#This Row],[Usage]],0)</f>
        <v>0</v>
      </c>
      <c r="C45" s="49">
        <f>C40</f>
        <v>90</v>
      </c>
      <c r="D45" s="49" t="s">
        <v>989</v>
      </c>
      <c r="E45" s="50" t="e">
        <f>SUBTOTAL(109,E42:E44)</f>
        <v>#N/A</v>
      </c>
    </row>
    <row r="46" ht="30" customHeight="1" spans="1:5">
      <c r="A46" s="55" t="s">
        <v>1014</v>
      </c>
      <c r="B46" s="56">
        <f>IFERROR(Invoice324[[#This Row],[Amount due ($ Inc. GST)]]/Invoice324[[#This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Woodman 1A21/0325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1A22/0325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22</v>
      </c>
    </row>
    <row r="9" ht="18" customHeight="1" spans="1:5">
      <c r="A9" s="14"/>
      <c r="B9" s="8" t="s">
        <v>974</v>
      </c>
      <c r="C9" s="15"/>
      <c r="D9" s="15"/>
      <c r="E9" s="16">
        <f>VLOOKUP(E8,'Energy billing Mastersheet'!5:38,MATCH('Energy billing Mastersheet'!C4,'Energy billing Mastersheet'!4:4,0),FALSE)</f>
        <v>50002876</v>
      </c>
    </row>
    <row r="10" spans="1:5">
      <c r="A10" s="17" t="s">
        <v>975</v>
      </c>
      <c r="B10" s="8" t="s">
        <v>976</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Carrie &amp; Warrick Goldsmith</v>
      </c>
      <c r="B11" s="19" t="s">
        <v>977</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26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IFERROR(Invoice325[[#This Row],[Amount due ($ Inc. GST)]]/Invoice325[[#This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IFERROR(Invoice325[[#This Row],[Amount due ($ Inc. GST)]]/Invoice325[[#This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IFERROR(Invoice325[[#This Row],[Amount due ($ Inc. GST)]]/Invoice325[[#This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IFERROR(Invoice325[[#This Row],[Amount due ($ Inc. GST)]]/Invoice325[[#This Row],[Usage]],0)</f>
        <v>1.67222222222222</v>
      </c>
      <c r="C20" s="34">
        <v>1</v>
      </c>
      <c r="D20" s="34" t="s">
        <v>987</v>
      </c>
      <c r="E20" s="35" cm="1">
        <f t="array" ref="E20">_xlfn.XLOOKUP($E$8,Table1[[#All],[Lot]],Table1[[#All],[Amanda Energy Other fees ($)]],0,0,1)</f>
        <v>1.67222222222222</v>
      </c>
    </row>
    <row r="21" ht="30" customHeight="1" spans="1:5">
      <c r="A21" s="36" t="s">
        <v>859</v>
      </c>
      <c r="B21" s="33">
        <f>IFERROR(Invoice325[[#This Row],[Amount due ($ Inc. GST)]]/Invoice325[[#This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IFERROR(Invoice325[[#This Row],[Amount due ($ Inc. GST)]]/Invoice325[[#This Row],[Usage]],0)</f>
        <v>2.1</v>
      </c>
      <c r="C22" s="34">
        <v>1</v>
      </c>
      <c r="D22" s="34" t="s">
        <v>987</v>
      </c>
      <c r="E22" s="35" cm="1">
        <f t="array" ref="E22">_xlfn.XLOOKUP($E$8,Table1[[#All],[Lot]],Table1[[#All],[Element47 Embedded Network Invoicing Fees]],0,0,1)</f>
        <v>2.1</v>
      </c>
      <c r="G22" s="37"/>
    </row>
    <row r="23" ht="30" customHeight="1" spans="1:5">
      <c r="A23" s="38" t="s">
        <v>990</v>
      </c>
      <c r="B23" s="33">
        <f>IFERROR(Invoice325[[#This Row],[Amount due ($ Inc. GST)]]/Invoice325[[#This Row],[Usage]],0)</f>
        <v>0</v>
      </c>
      <c r="C23" s="34">
        <f>C21</f>
        <v>90</v>
      </c>
      <c r="D23" s="34" t="s">
        <v>989</v>
      </c>
      <c r="E23" s="35" cm="1">
        <f t="array" ref="E23">_xlfn.XLOOKUP($E$8,Table1[[#All],[Lot]],Table1[[#All],[Chargefox Daily Supply Charge ($)]],0,0,1)</f>
        <v>0</v>
      </c>
    </row>
    <row r="24" ht="30" customHeight="1" spans="1:5">
      <c r="A24" s="38" t="s">
        <v>991</v>
      </c>
      <c r="B24" s="33">
        <f>IFERROR(Invoice325[[#This Row],[Amount due ($ Inc. GST)]]/Invoice325[[#This Row],[Usage]],0)</f>
        <v>0</v>
      </c>
      <c r="C24" s="34">
        <f>C21</f>
        <v>90</v>
      </c>
      <c r="D24" s="34" t="s">
        <v>989</v>
      </c>
      <c r="E24" s="35" cm="1">
        <f t="array" ref="E24">_xlfn.XLOOKUP($E$8,Table1[[#All],[Lot]],Table1[[#All],[SwitchdIn Cost Daily Supply Charge ($)]],0,0,1)</f>
        <v>0</v>
      </c>
    </row>
    <row r="25" ht="30" customHeight="1" spans="1:5">
      <c r="A25" s="39" t="s">
        <v>992</v>
      </c>
      <c r="B25" s="40">
        <f>IFERROR(Invoice325[[#This Row],[Amount due ($ Inc. GST)]]/Invoice325[[#This Row],[Usage]],0)</f>
        <v>0.465617283950617</v>
      </c>
      <c r="C25" s="41">
        <f>C24</f>
        <v>90</v>
      </c>
      <c r="D25" s="41" t="s">
        <v>989</v>
      </c>
      <c r="E25" s="42">
        <f>SUM(E17:E24)</f>
        <v>41.9055555555556</v>
      </c>
    </row>
    <row r="26" ht="30" customHeight="1" spans="1:5">
      <c r="A26" s="43" t="s">
        <v>993</v>
      </c>
      <c r="B26" s="44"/>
      <c r="C26" s="45"/>
      <c r="D26" s="45"/>
      <c r="E26" s="46"/>
    </row>
    <row r="27" ht="30" customHeight="1" spans="1:5">
      <c r="A27" s="38" t="s">
        <v>994</v>
      </c>
      <c r="B27" s="33">
        <f>IFERROR(Invoice325[[#This Row],[Amount due ($ Inc. GST)]]/Invoice325[[#This Row],[Usage]],0)</f>
        <v>0.22</v>
      </c>
      <c r="C27" s="34" cm="1">
        <f t="array" ref="C27">_xlfn.XLOOKUP($E$8,Table1[[#All],[Lot]],Table1[[#All],[Common Services based on Split per Unit Entitlement % to battery (kWh)]],0,0,1)</f>
        <v>17.108</v>
      </c>
      <c r="D27" s="34" t="s">
        <v>995</v>
      </c>
      <c r="E27" s="35" cm="1">
        <f t="array" ref="E27">_xlfn.XLOOKUP($E$8,Table1[[#All],[Lot]],Table1[[#All],[Common Services Cost Split per Unit Entitlement at P2P rate ($)]],0,0,1)</f>
        <v>3.76376</v>
      </c>
    </row>
    <row r="28" ht="30" customHeight="1" spans="1:7">
      <c r="A28" s="38" t="s">
        <v>996</v>
      </c>
      <c r="B28" s="33">
        <f>IFERROR(Invoice325[[#This Row],[Amount due ($ Inc. GST)]]/Invoice325[[#This Row],[Usage]],0)</f>
        <v>-0.22</v>
      </c>
      <c r="C28" s="34" cm="1">
        <f t="array" ref="C28">_xlfn.XLOOKUP($E$8,Table1[[#All],[Lot]],Table1[[#All],[Common Service based upon % total export to battery (kWh)]],0,0,1)</f>
        <v>36.1194662782977</v>
      </c>
      <c r="D28" s="34" t="s">
        <v>995</v>
      </c>
      <c r="E28" s="35" cm="1">
        <f t="array" ref="E28">_xlfn.XLOOKUP($E$8,Table1[[#All],[Lot]],Table1[[#All],[Common Service Earning based upon % total export to Load ($)]],0,0,1)</f>
        <v>-7.9462825812255</v>
      </c>
      <c r="G28" s="47"/>
    </row>
    <row r="29" ht="30" customHeight="1" spans="1:7">
      <c r="A29" s="38" t="s">
        <v>997</v>
      </c>
      <c r="B29" s="33">
        <f>IFERROR(Invoice325[[#This Row],[Amount due ($ Inc. GST)]]/Invoice325[[#This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IFERROR(Invoice325[[#This Row],[Amount due ($ Inc. GST)]]/Invoice325[[#This Row],[Usage]],0)</f>
        <v>-0.22</v>
      </c>
      <c r="C30" s="34" cm="1">
        <f t="array" ref="C30">_xlfn.XLOOKUP($E$8,Table1[[#All],[Lot]],Table1[[#All],[Axillary Battery Losses based upon Adjusted % total export (kWh)]],0,0,1)</f>
        <v>135.914587393716</v>
      </c>
      <c r="D30" s="34" t="s">
        <v>995</v>
      </c>
      <c r="E30" s="35" cm="1">
        <f t="array" ref="E30">_xlfn.XLOOKUP($E$8,Table1[[#All],[Lot]],Table1[[#All],[Axillary Battery Losses based upon % total export  ($)]],0,0,1)</f>
        <v>-29.9012092266176</v>
      </c>
    </row>
    <row r="31" ht="30" customHeight="1" spans="1:5">
      <c r="A31" s="38" t="s">
        <v>999</v>
      </c>
      <c r="B31" s="33">
        <f>IFERROR(Invoice325[[#This Row],[Amount due ($ Inc. GST)]]/Invoice325[[#This Row],[Usage]],0)</f>
        <v>0</v>
      </c>
      <c r="C31" s="34" cm="1">
        <f t="array" ref="C31">_xlfn.XLOOKUP("EV",Table1[[#All],[Lot]],Table1[[#All],[Total Consumption Import  (kWh)]],0,0,1)*E11</f>
        <v>68.562</v>
      </c>
      <c r="D31" s="34" t="s">
        <v>995</v>
      </c>
      <c r="E31" s="35" cm="1">
        <f t="array" ref="E31">_xlfn.XLOOKUP($E$8,Table1[[#All],[Lot]],Table1[[#All],[EV Charger Income from Sales Equitable Distribution on UE ($)]],0,0,1)</f>
        <v>0</v>
      </c>
    </row>
    <row r="32" ht="30" customHeight="1" spans="1:5">
      <c r="A32" s="38" t="s">
        <v>1000</v>
      </c>
      <c r="B32" s="33">
        <f>IFERROR(Invoice325[[#This Row],[Amount due ($ Inc. GST)]]/Invoice325[[#This Row],[Usage]],0)</f>
        <v>0.22</v>
      </c>
      <c r="C32" s="34" cm="1">
        <f t="array" ref="C32">_xlfn.XLOOKUP("EV",Table1[[#All],[Lot]],Table1[[#All],[Total Consumption Import  (kWh)]],0,0,1)*E11</f>
        <v>68.562</v>
      </c>
      <c r="D32" s="34" t="s">
        <v>995</v>
      </c>
      <c r="E32" s="35" cm="1">
        <f t="array" ref="E32">_xlfn.XLOOKUP($E$8,Table1[[#All],[Lot]],Table1[[#All],[EV Charger Cost of Electricity Supply at P2P Rates ($)]],0,0,1)</f>
        <v>15.08364</v>
      </c>
    </row>
    <row r="33" ht="30" customHeight="1" spans="1:5">
      <c r="A33" s="38" t="s">
        <v>1001</v>
      </c>
      <c r="B33" s="33">
        <f>IFERROR(Invoice325[[#This Row],[Amount due ($ Inc. GST)]]/Invoice325[[#This Row],[Usage]],0)</f>
        <v>-0.22</v>
      </c>
      <c r="C33" s="34" cm="1">
        <f t="array" ref="C33">_xlfn.XLOOKUP($E$8,Table1[[#All],[Lot]],Table1[[#All],[EV Charger based upon % total export to battery (kWh)]],0,0,1)</f>
        <v>144.752329142661</v>
      </c>
      <c r="D33" s="34" t="s">
        <v>995</v>
      </c>
      <c r="E33" s="35" cm="1">
        <f t="array" ref="E33">_xlfn.XLOOKUP($E$8,Table1[[#All],[Lot]],Table1[[#All],[EV Charger based upon % total export ($)]],0,0,1)</f>
        <v>-31.8455124113855</v>
      </c>
    </row>
    <row r="34" ht="30" customHeight="1" spans="1:5">
      <c r="A34" s="38" t="s">
        <v>1002</v>
      </c>
      <c r="B34" s="33">
        <f>IFERROR(Invoice325[[#This Row],[Amount due ($ Inc. GST)]]/Invoice325[[#This Row],[Usage]],0)</f>
        <v>0</v>
      </c>
      <c r="C34" s="34" cm="1">
        <f t="array" ref="C34">_xlfn.XLOOKUP("EV",Table1[[#All],[Lot]],Table1[[#All],[Total Consumption Import  (kWh)]],0,0,1)*E11</f>
        <v>68.562</v>
      </c>
      <c r="D34" s="34" t="s">
        <v>995</v>
      </c>
      <c r="E34" s="35" cm="1">
        <f t="array" ref="E34">_xlfn.XLOOKUP($E$8,Table1[[#All],[Lot]],Table1[[#All],[Chargefox Commission on EV Charge Consumption Sales Cost Split by Unit Entitlement ($)]],0,0,1)</f>
        <v>0</v>
      </c>
    </row>
    <row r="35" ht="30" customHeight="1" spans="1:5">
      <c r="A35" s="39" t="s">
        <v>1003</v>
      </c>
      <c r="B35" s="48">
        <f>Invoice325[[#This Row],[Amount due ($ Inc. GST)]]/Invoice325[[#This Row],[Usage]]</f>
        <v>-0.564951157991428</v>
      </c>
      <c r="C35" s="49">
        <f>C24</f>
        <v>90</v>
      </c>
      <c r="D35" s="49" t="s">
        <v>989</v>
      </c>
      <c r="E35" s="50">
        <f>SUM(E27:E34)</f>
        <v>-50.8456042192285</v>
      </c>
    </row>
    <row r="36" ht="30" customHeight="1" spans="1:5">
      <c r="A36" s="43" t="s">
        <v>1004</v>
      </c>
      <c r="B36" s="51"/>
      <c r="C36" s="52"/>
      <c r="D36" s="52"/>
      <c r="E36" s="53"/>
    </row>
    <row r="37" ht="30" customHeight="1" spans="1:5">
      <c r="A37" s="38" t="s">
        <v>1005</v>
      </c>
      <c r="B37" s="33">
        <f>IFERROR(Invoice325[[#This Row],[Amount due ($ Inc. GST)]]/Invoice325[[#This Row],[Usage]],0)</f>
        <v>0.22</v>
      </c>
      <c r="C37" s="34" cm="1">
        <f t="array" ref="C37">_xlfn.XLOOKUP($E$8,Table1[[#All],[Lot]],Table1[[#All],[Total P2P import (kWh)]],0,0,1)</f>
        <v>194</v>
      </c>
      <c r="D37" s="34" t="s">
        <v>995</v>
      </c>
      <c r="E37" s="35" cm="1">
        <f t="array" ref="E37">_xlfn.XLOOKUP($E$8,Table1[[#All],[Lot]],Table1[[#All],[P2P Import Cost ($)]],0,0,1)</f>
        <v>42.68</v>
      </c>
    </row>
    <row r="38" ht="30" customHeight="1" spans="1:5">
      <c r="A38" s="38" t="s">
        <v>1006</v>
      </c>
      <c r="B38" s="33">
        <f>IFERROR(Invoice325[[#This Row],[Amount due ($ Inc. GST)]]/Invoice325[[#This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IFERROR(Invoice325[[#This Row],[Amount due ($ Inc. GST)]]/Invoice325[[#This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Invoice325[[#This Row],[Amount due ($ Inc. GST)]]/Invoice325[[#This Row],[Usage]]</f>
        <v>0.474222222222222</v>
      </c>
      <c r="C40" s="49">
        <f>C35</f>
        <v>90</v>
      </c>
      <c r="D40" s="49" t="s">
        <v>989</v>
      </c>
      <c r="E40" s="50">
        <f>SUM(E37:E39)</f>
        <v>42.68</v>
      </c>
    </row>
    <row r="41" ht="30" customHeight="1" spans="1:5">
      <c r="A41" s="43" t="s">
        <v>1009</v>
      </c>
      <c r="B41" s="33"/>
      <c r="C41" s="34"/>
      <c r="D41" s="34"/>
      <c r="E41" s="46"/>
    </row>
    <row r="42" ht="30" customHeight="1" spans="1:5">
      <c r="A42" s="54" t="s">
        <v>1010</v>
      </c>
      <c r="B42" s="33">
        <f>IFERROR(Invoice325[[#This Row],[Amount due ($ Inc. GST)]]/Invoice325[[#This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IFERROR(Invoice325[[#This Row],[Amount due ($ Inc. GST)]]/Invoice325[[#This Row],[Usage]],0)</f>
        <v>-0.02</v>
      </c>
      <c r="C43" s="34" cm="1">
        <f t="array" ref="C43">_xlfn.XLOOKUP($E$8,Table1[[#All],[Lot]],Table1[[#All],[Borrowed Allowance Based on Unused Daily Allowance % (kWh)]],0,0,1)</f>
        <v>24.9363277517553</v>
      </c>
      <c r="D43" s="34" t="s">
        <v>995</v>
      </c>
      <c r="E43" s="35" cm="1">
        <f t="array" ref="E43">_xlfn.XLOOKUP($E$8,Table1[[#All],[Lot]],Table1[[#All],[Passive Compensation ($)]],0,0,1)</f>
        <v>-0.498726555035107</v>
      </c>
    </row>
    <row r="44" ht="30" customHeight="1" spans="1:5">
      <c r="A44" s="32" t="s">
        <v>1012</v>
      </c>
      <c r="B44" s="33">
        <f>IFERROR(Invoice325[[#This Row],[Amount due ($ Inc. GST)]]/Invoice325[[#This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IFERROR(Invoice325[[#This Row],[Amount due ($ Inc. GST)]]/Invoice325[[#This Row],[Usage]],0)</f>
        <v>0</v>
      </c>
      <c r="C45" s="49">
        <f>C40</f>
        <v>90</v>
      </c>
      <c r="D45" s="49" t="s">
        <v>989</v>
      </c>
      <c r="E45" s="50" t="e">
        <f>SUBTOTAL(109,E42:E44)</f>
        <v>#N/A</v>
      </c>
    </row>
    <row r="46" ht="30" customHeight="1" spans="1:5">
      <c r="A46" s="55" t="s">
        <v>1014</v>
      </c>
      <c r="B46" s="56">
        <f>IFERROR(Invoice325[[#This Row],[Amount due ($ Inc. GST)]]/Invoice325[[#This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Goldsmith 1A22/0325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1A23/0325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23</v>
      </c>
    </row>
    <row r="9" ht="18" customHeight="1" spans="1:5">
      <c r="A9" s="14"/>
      <c r="B9" s="8" t="s">
        <v>974</v>
      </c>
      <c r="C9" s="15"/>
      <c r="D9" s="15"/>
      <c r="E9" s="16">
        <f>VLOOKUP(E8,'Energy billing Mastersheet'!5:38,MATCH('Energy billing Mastersheet'!C4,'Energy billing Mastersheet'!4:4,0),FALSE)</f>
        <v>50002860</v>
      </c>
    </row>
    <row r="10" spans="1:5">
      <c r="A10" s="17" t="s">
        <v>975</v>
      </c>
      <c r="B10" s="8" t="s">
        <v>976</v>
      </c>
      <c r="C10" s="15"/>
      <c r="D10" s="15"/>
      <c r="E10" s="18" cm="1">
        <f t="array" ref="E10">INDEX(Table_Household_Alloc[Unit Entitlement],MATCH(1,(Table_Household_Alloc[Lot]=E8)*(Table_Household_Alloc[cluster]=E7),0))</f>
        <v>26</v>
      </c>
    </row>
    <row r="11" ht="15" customHeight="1" spans="1:5">
      <c r="A11" t="str" cm="1">
        <f t="array" ref="A11">INDEX(Table_Household_Alloc[Owner],MATCH(1,(Table_Household_Alloc[Lot]=E8)*(Table_Household_Alloc[cluster]=E7),0))</f>
        <v>Clyde Huxtable</v>
      </c>
      <c r="B11" s="19" t="s">
        <v>977</v>
      </c>
      <c r="C11" s="3"/>
      <c r="D11" s="3"/>
      <c r="E11" s="20" cm="1">
        <f t="array" ref="E11">INDEX(Table_Household_Alloc[UE % over Cluster],MATCH(1,(Table_Household_Alloc[Lot]=E8)*(Table_Household_Alloc[cluster]=E7),0))</f>
        <v>0.026</v>
      </c>
    </row>
    <row r="12" ht="15" customHeight="1" spans="1:5">
      <c r="A12" t="str" cm="1">
        <f t="array" ref="A12">INDEX(Table_Household_Alloc[Street Address],MATCH(1,(Table_Household_Alloc[Lot]=E8)*(Table_Household_Alloc[cluster]=E7),0))</f>
        <v>24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IFERROR(Invoice330[[#This Row],[Amount due ($ Inc. GST)]]/Invoice330[[#This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IFERROR(Invoice330[[#This Row],[Amount due ($ Inc. GST)]]/Invoice330[[#This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IFERROR(Invoice330[[#This Row],[Amount due ($ Inc. GST)]]/Invoice330[[#This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IFERROR(Invoice330[[#This Row],[Amount due ($ Inc. GST)]]/Invoice330[[#This Row],[Usage]],0)</f>
        <v>1.67222222222222</v>
      </c>
      <c r="C20" s="34">
        <v>1</v>
      </c>
      <c r="D20" s="34" t="s">
        <v>987</v>
      </c>
      <c r="E20" s="35" cm="1">
        <f t="array" ref="E20">_xlfn.XLOOKUP($E$8,Table1[[#All],[Lot]],Table1[[#All],[Amanda Energy Other fees ($)]],0,0,1)</f>
        <v>1.67222222222222</v>
      </c>
    </row>
    <row r="21" ht="30" customHeight="1" spans="1:5">
      <c r="A21" s="36" t="s">
        <v>859</v>
      </c>
      <c r="B21" s="33">
        <f>IFERROR(Invoice330[[#This Row],[Amount due ($ Inc. GST)]]/Invoice330[[#This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IFERROR(Invoice330[[#This Row],[Amount due ($ Inc. GST)]]/Invoice330[[#This Row],[Usage]],0)</f>
        <v>3.1</v>
      </c>
      <c r="C22" s="34">
        <v>1</v>
      </c>
      <c r="D22" s="34" t="s">
        <v>987</v>
      </c>
      <c r="E22" s="35" cm="1">
        <f t="array" ref="E22">_xlfn.XLOOKUP($E$8,Table1[[#All],[Lot]],Table1[[#All],[Element47 Embedded Network Invoicing Fees]],0,0,1)</f>
        <v>3.1</v>
      </c>
      <c r="G22" s="37"/>
    </row>
    <row r="23" ht="30" customHeight="1" spans="1:5">
      <c r="A23" s="38" t="s">
        <v>990</v>
      </c>
      <c r="B23" s="33">
        <f>IFERROR(Invoice330[[#This Row],[Amount due ($ Inc. GST)]]/Invoice330[[#This Row],[Usage]],0)</f>
        <v>0</v>
      </c>
      <c r="C23" s="34">
        <f>C21</f>
        <v>90</v>
      </c>
      <c r="D23" s="34" t="s">
        <v>989</v>
      </c>
      <c r="E23" s="35" cm="1">
        <f t="array" ref="E23">_xlfn.XLOOKUP($E$8,Table1[[#All],[Lot]],Table1[[#All],[Chargefox Daily Supply Charge ($)]],0,0,1)</f>
        <v>0</v>
      </c>
    </row>
    <row r="24" ht="30" customHeight="1" spans="1:5">
      <c r="A24" s="38" t="s">
        <v>991</v>
      </c>
      <c r="B24" s="33">
        <f>IFERROR(Invoice330[[#This Row],[Amount due ($ Inc. GST)]]/Invoice330[[#This Row],[Usage]],0)</f>
        <v>0</v>
      </c>
      <c r="C24" s="34">
        <f>C21</f>
        <v>90</v>
      </c>
      <c r="D24" s="34" t="s">
        <v>989</v>
      </c>
      <c r="E24" s="35" cm="1">
        <f t="array" ref="E24">_xlfn.XLOOKUP($E$8,Table1[[#All],[Lot]],Table1[[#All],[SwitchdIn Cost Daily Supply Charge ($)]],0,0,1)</f>
        <v>0</v>
      </c>
    </row>
    <row r="25" ht="30" customHeight="1" spans="1:5">
      <c r="A25" s="39" t="s">
        <v>992</v>
      </c>
      <c r="B25" s="40">
        <f>IFERROR(Invoice330[[#This Row],[Amount due ($ Inc. GST)]]/Invoice330[[#This Row],[Usage]],0)</f>
        <v>0.476728395061728</v>
      </c>
      <c r="C25" s="41">
        <f>C24</f>
        <v>90</v>
      </c>
      <c r="D25" s="41" t="s">
        <v>989</v>
      </c>
      <c r="E25" s="42">
        <f>SUM(E17:E24)</f>
        <v>42.9055555555556</v>
      </c>
    </row>
    <row r="26" ht="30" customHeight="1" spans="1:5">
      <c r="A26" s="43" t="s">
        <v>993</v>
      </c>
      <c r="B26" s="44"/>
      <c r="C26" s="45"/>
      <c r="D26" s="45"/>
      <c r="E26" s="46"/>
    </row>
    <row r="27" ht="30" customHeight="1" spans="1:5">
      <c r="A27" s="38" t="s">
        <v>994</v>
      </c>
      <c r="B27" s="33">
        <f>IFERROR(Invoice330[[#This Row],[Amount due ($ Inc. GST)]]/Invoice330[[#This Row],[Usage]],0)</f>
        <v>0.22</v>
      </c>
      <c r="C27" s="34" cm="1">
        <f t="array" ref="C27">_xlfn.XLOOKUP($E$8,Table1[[#All],[Lot]],Table1[[#All],[Common Services based on Split per Unit Entitlement % to battery (kWh)]],0,0,1)</f>
        <v>17.108</v>
      </c>
      <c r="D27" s="34" t="s">
        <v>995</v>
      </c>
      <c r="E27" s="35" cm="1">
        <f t="array" ref="E27">_xlfn.XLOOKUP($E$8,Table1[[#All],[Lot]],Table1[[#All],[Common Services Cost Split per Unit Entitlement at P2P rate ($)]],0,0,1)</f>
        <v>3.76376</v>
      </c>
    </row>
    <row r="28" ht="30" customHeight="1" spans="1:7">
      <c r="A28" s="38" t="s">
        <v>996</v>
      </c>
      <c r="B28" s="33">
        <f>IFERROR(Invoice330[[#This Row],[Amount due ($ Inc. GST)]]/Invoice330[[#This Row],[Usage]],0)</f>
        <v>-0.22</v>
      </c>
      <c r="C28" s="34" cm="1">
        <f t="array" ref="C28">_xlfn.XLOOKUP($E$8,Table1[[#All],[Lot]],Table1[[#All],[Common Service based upon % total export to battery (kWh)]],0,0,1)</f>
        <v>36.6268017390932</v>
      </c>
      <c r="D28" s="34" t="s">
        <v>995</v>
      </c>
      <c r="E28" s="35" cm="1">
        <f t="array" ref="E28">_xlfn.XLOOKUP($E$8,Table1[[#All],[Lot]],Table1[[#All],[Common Service Earning based upon % total export to Load ($)]],0,0,1)</f>
        <v>-8.0578963826005</v>
      </c>
      <c r="G28" s="47"/>
    </row>
    <row r="29" ht="30" customHeight="1" spans="1:7">
      <c r="A29" s="38" t="s">
        <v>997</v>
      </c>
      <c r="B29" s="33">
        <f>IFERROR(Invoice330[[#This Row],[Amount due ($ Inc. GST)]]/Invoice330[[#This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IFERROR(Invoice330[[#This Row],[Amount due ($ Inc. GST)]]/Invoice330[[#This Row],[Usage]],0)</f>
        <v>-0.22</v>
      </c>
      <c r="C30" s="34" cm="1">
        <f t="array" ref="C30">_xlfn.XLOOKUP($E$8,Table1[[#All],[Lot]],Table1[[#All],[Axillary Battery Losses based upon Adjusted % total export (kWh)]],0,0,1)</f>
        <v>137.823649097256</v>
      </c>
      <c r="D30" s="34" t="s">
        <v>995</v>
      </c>
      <c r="E30" s="35" cm="1">
        <f t="array" ref="E30">_xlfn.XLOOKUP($E$8,Table1[[#All],[Lot]],Table1[[#All],[Axillary Battery Losses based upon % total export  ($)]],0,0,1)</f>
        <v>-30.3212028013964</v>
      </c>
    </row>
    <row r="31" ht="30" customHeight="1" spans="1:5">
      <c r="A31" s="38" t="s">
        <v>999</v>
      </c>
      <c r="B31" s="33">
        <f>IFERROR(Invoice330[[#This Row],[Amount due ($ Inc. GST)]]/Invoice330[[#This Row],[Usage]],0)</f>
        <v>0</v>
      </c>
      <c r="C31" s="34" cm="1">
        <f t="array" ref="C31">_xlfn.XLOOKUP("EV",Table1[[#All],[Lot]],Table1[[#All],[Total Consumption Import  (kWh)]],0,0,1)*E11</f>
        <v>68.562</v>
      </c>
      <c r="D31" s="34" t="s">
        <v>995</v>
      </c>
      <c r="E31" s="35" cm="1">
        <f t="array" ref="E31">_xlfn.XLOOKUP($E$8,Table1[[#All],[Lot]],Table1[[#All],[EV Charger Income from Sales Equitable Distribution on UE ($)]],0,0,1)</f>
        <v>0</v>
      </c>
    </row>
    <row r="32" ht="30" customHeight="1" spans="1:5">
      <c r="A32" s="38" t="s">
        <v>1000</v>
      </c>
      <c r="B32" s="33">
        <f>IFERROR(Invoice330[[#This Row],[Amount due ($ Inc. GST)]]/Invoice330[[#This Row],[Usage]],0)</f>
        <v>0.22</v>
      </c>
      <c r="C32" s="34" cm="1">
        <f t="array" ref="C32">_xlfn.XLOOKUP("EV",Table1[[#All],[Lot]],Table1[[#All],[Total Consumption Import  (kWh)]],0,0,1)*E11</f>
        <v>68.562</v>
      </c>
      <c r="D32" s="34" t="s">
        <v>995</v>
      </c>
      <c r="E32" s="35" cm="1">
        <f t="array" ref="E32">_xlfn.XLOOKUP($E$8,Table1[[#All],[Lot]],Table1[[#All],[EV Charger Cost of Electricity Supply at P2P Rates ($)]],0,0,1)</f>
        <v>15.08364</v>
      </c>
    </row>
    <row r="33" ht="30" customHeight="1" spans="1:5">
      <c r="A33" s="38" t="s">
        <v>1001</v>
      </c>
      <c r="B33" s="33">
        <f>IFERROR(Invoice330[[#This Row],[Amount due ($ Inc. GST)]]/Invoice330[[#This Row],[Usage]],0)</f>
        <v>-0.22</v>
      </c>
      <c r="C33" s="34" cm="1">
        <f t="array" ref="C33">_xlfn.XLOOKUP($E$8,Table1[[#All],[Lot]],Table1[[#All],[EV Charger based upon % total export to battery (kWh)]],0,0,1)</f>
        <v>146.785526118524</v>
      </c>
      <c r="D33" s="34" t="s">
        <v>995</v>
      </c>
      <c r="E33" s="35" cm="1">
        <f t="array" ref="E33">_xlfn.XLOOKUP($E$8,Table1[[#All],[Lot]],Table1[[#All],[EV Charger based upon % total export ($)]],0,0,1)</f>
        <v>-32.2928157460753</v>
      </c>
    </row>
    <row r="34" ht="30" customHeight="1" spans="1:5">
      <c r="A34" s="38" t="s">
        <v>1002</v>
      </c>
      <c r="B34" s="33">
        <f>IFERROR(Invoice330[[#This Row],[Amount due ($ Inc. GST)]]/Invoice330[[#This Row],[Usage]],0)</f>
        <v>0</v>
      </c>
      <c r="C34" s="34" cm="1">
        <f t="array" ref="C34">_xlfn.XLOOKUP("EV",Table1[[#All],[Lot]],Table1[[#All],[Total Consumption Import  (kWh)]],0,0,1)*E11</f>
        <v>68.562</v>
      </c>
      <c r="D34" s="34" t="s">
        <v>995</v>
      </c>
      <c r="E34" s="35" cm="1">
        <f t="array" ref="E34">_xlfn.XLOOKUP($E$8,Table1[[#All],[Lot]],Table1[[#All],[Chargefox Commission on EV Charge Consumption Sales Cost Split by Unit Entitlement ($)]],0,0,1)</f>
        <v>0</v>
      </c>
    </row>
    <row r="35" ht="30" customHeight="1" spans="1:5">
      <c r="A35" s="39" t="s">
        <v>1003</v>
      </c>
      <c r="B35" s="48">
        <f>Invoice330[[#This Row],[Amount due ($ Inc. GST)]]/Invoice330[[#This Row],[Usage]]</f>
        <v>-0.575827943667469</v>
      </c>
      <c r="C35" s="49">
        <f>C24</f>
        <v>90</v>
      </c>
      <c r="D35" s="49" t="s">
        <v>989</v>
      </c>
      <c r="E35" s="50">
        <f>SUM(E27:E34)</f>
        <v>-51.8245149300722</v>
      </c>
    </row>
    <row r="36" ht="30" customHeight="1" spans="1:5">
      <c r="A36" s="43" t="s">
        <v>1004</v>
      </c>
      <c r="B36" s="51"/>
      <c r="C36" s="52"/>
      <c r="D36" s="52"/>
      <c r="E36" s="53"/>
    </row>
    <row r="37" ht="30" customHeight="1" spans="1:5">
      <c r="A37" s="38" t="s">
        <v>1005</v>
      </c>
      <c r="B37" s="33">
        <f>IFERROR(Invoice330[[#This Row],[Amount due ($ Inc. GST)]]/Invoice330[[#This Row],[Usage]],0)</f>
        <v>0.22</v>
      </c>
      <c r="C37" s="34" cm="1">
        <f t="array" ref="C37">_xlfn.XLOOKUP($E$8,Table1[[#All],[Lot]],Table1[[#All],[Total P2P import (kWh)]],0,0,1)</f>
        <v>131</v>
      </c>
      <c r="D37" s="34" t="s">
        <v>995</v>
      </c>
      <c r="E37" s="35" cm="1">
        <f t="array" ref="E37">_xlfn.XLOOKUP($E$8,Table1[[#All],[Lot]],Table1[[#All],[P2P Import Cost ($)]],0,0,1)</f>
        <v>28.82</v>
      </c>
    </row>
    <row r="38" ht="30" customHeight="1" spans="1:5">
      <c r="A38" s="38" t="s">
        <v>1006</v>
      </c>
      <c r="B38" s="33">
        <f>IFERROR(Invoice330[[#This Row],[Amount due ($ Inc. GST)]]/Invoice330[[#This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IFERROR(Invoice330[[#This Row],[Amount due ($ Inc. GST)]]/Invoice330[[#This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Invoice330[[#This Row],[Amount due ($ Inc. GST)]]/Invoice330[[#This Row],[Usage]]</f>
        <v>0.320222222222222</v>
      </c>
      <c r="C40" s="49">
        <f>C35</f>
        <v>90</v>
      </c>
      <c r="D40" s="49" t="s">
        <v>989</v>
      </c>
      <c r="E40" s="50">
        <f>SUM(E37:E39)</f>
        <v>28.82</v>
      </c>
    </row>
    <row r="41" ht="30" customHeight="1" spans="1:5">
      <c r="A41" s="43" t="s">
        <v>1009</v>
      </c>
      <c r="B41" s="33"/>
      <c r="C41" s="34"/>
      <c r="D41" s="34"/>
      <c r="E41" s="46"/>
    </row>
    <row r="42" ht="30" customHeight="1" spans="1:5">
      <c r="A42" s="54" t="s">
        <v>1010</v>
      </c>
      <c r="B42" s="33">
        <f>IFERROR(Invoice330[[#This Row],[Amount due ($ Inc. GST)]]/Invoice330[[#This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IFERROR(Invoice330[[#This Row],[Amount due ($ Inc. GST)]]/Invoice330[[#This Row],[Usage]],0)</f>
        <v>-0.02</v>
      </c>
      <c r="C43" s="34" cm="1">
        <f t="array" ref="C43">_xlfn.XLOOKUP($E$8,Table1[[#All],[Lot]],Table1[[#All],[Borrowed Allowance Based on Unused Daily Allowance % (kWh)]],0,0,1)</f>
        <v>29.4092753297993</v>
      </c>
      <c r="D43" s="34" t="s">
        <v>995</v>
      </c>
      <c r="E43" s="35" cm="1">
        <f t="array" ref="E43">_xlfn.XLOOKUP($E$8,Table1[[#All],[Lot]],Table1[[#All],[Passive Compensation ($)]],0,0,1)</f>
        <v>-0.588185506595985</v>
      </c>
    </row>
    <row r="44" ht="30" customHeight="1" spans="1:5">
      <c r="A44" s="32" t="s">
        <v>1012</v>
      </c>
      <c r="B44" s="33">
        <f>IFERROR(Invoice330[[#This Row],[Amount due ($ Inc. GST)]]/Invoice330[[#This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IFERROR(Invoice330[[#This Row],[Amount due ($ Inc. GST)]]/Invoice330[[#This Row],[Usage]],0)</f>
        <v>0</v>
      </c>
      <c r="C45" s="49">
        <f>C40</f>
        <v>90</v>
      </c>
      <c r="D45" s="49" t="s">
        <v>989</v>
      </c>
      <c r="E45" s="50" t="e">
        <f>SUBTOTAL(109,E42:E44)</f>
        <v>#N/A</v>
      </c>
    </row>
    <row r="46" ht="30" customHeight="1" spans="1:5">
      <c r="A46" s="55" t="s">
        <v>1014</v>
      </c>
      <c r="B46" s="56">
        <f>IFERROR(Invoice330[[#This Row],[Amount due ($ Inc. GST)]]/Invoice330[[#This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Huxtable 1A23/0325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G54"/>
  <sheetViews>
    <sheetView showGridLines="0" zoomScale="90" zoomScaleNormal="90" zoomScalePageLayoutView="75" zoomScaleSheetLayoutView="50" topLeftCell="A39" workbookViewId="0">
      <selection activeCell="E48" sqref="E4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tr">
        <f>VLOOKUP(E7,Rep_table[],2,FALSE)</f>
        <v>The Owners of Cluster 1A Witchcliffe Ecovillage Survey Strata 77784</v>
      </c>
      <c r="B2" s="5" t="s">
        <v>968</v>
      </c>
      <c r="C2" s="5"/>
      <c r="D2" s="5"/>
      <c r="E2" s="5"/>
    </row>
    <row r="3" ht="20.25" customHeight="1" spans="1:4">
      <c r="A3" s="6" t="str">
        <f>VLOOKUP(E7,Rep_table[],3,FALSE)</f>
        <v>ABN: 29 857 461 927</v>
      </c>
      <c r="B3" s="2"/>
      <c r="C3" s="3"/>
      <c r="D3" s="3"/>
    </row>
    <row r="4" ht="10.05" customHeight="1" spans="1:4">
      <c r="A4" s="6"/>
      <c r="B4" s="2"/>
      <c r="C4" s="3"/>
      <c r="D4" s="3"/>
    </row>
    <row r="5" ht="24" customHeight="1" spans="1:5">
      <c r="A5" s="7" t="str">
        <f>CONCATENATE("C/- Cluster ",E7," Strata")</f>
        <v>C/- Cluster 1A Strata</v>
      </c>
      <c r="B5" s="8" t="s">
        <v>969</v>
      </c>
      <c r="C5" s="9"/>
      <c r="D5" s="9"/>
      <c r="E5" s="10">
        <f ca="1">TODAY()</f>
        <v>45804</v>
      </c>
    </row>
    <row r="6" ht="18" customHeight="1" spans="1:5">
      <c r="A6" t="s">
        <v>970</v>
      </c>
      <c r="B6" s="8" t="s">
        <v>971</v>
      </c>
      <c r="C6" s="9"/>
      <c r="D6" s="9"/>
      <c r="E6" s="11" t="str">
        <f>CONCATENATE(E7,E8,"/",TEXT(E12,"mm"),TEXT(E12,"yy"))</f>
        <v>1A24/0325</v>
      </c>
    </row>
    <row r="7" ht="18" customHeight="1" spans="1:5">
      <c r="A7" t="s">
        <v>972</v>
      </c>
      <c r="B7" s="8" t="s">
        <v>34</v>
      </c>
      <c r="C7" s="3"/>
      <c r="D7" s="3"/>
      <c r="E7" s="12" t="str">
        <f>'Energy billing Mastersheet'!B1</f>
        <v>1A</v>
      </c>
    </row>
    <row r="8" ht="18" customHeight="1" spans="1:5">
      <c r="A8" s="13" t="str">
        <f>CONCATENATE("Email: ",VLOOKUP(E7,Rep_table[],8,FALSE))</f>
        <v>Email: wevcluster1a@gmail.com</v>
      </c>
      <c r="B8" s="8" t="s">
        <v>973</v>
      </c>
      <c r="C8" s="3"/>
      <c r="D8" s="3"/>
      <c r="E8">
        <v>24</v>
      </c>
    </row>
    <row r="9" ht="18" customHeight="1" spans="1:5">
      <c r="A9" s="14"/>
      <c r="B9" s="8" t="s">
        <v>974</v>
      </c>
      <c r="C9" s="15"/>
      <c r="D9" s="15"/>
      <c r="E9" s="16">
        <f>VLOOKUP(E8,'Energy billing Mastersheet'!5:38,MATCH('Energy billing Mastersheet'!C4,'Energy billing Mastersheet'!4:4,0),FALSE)</f>
        <v>50002649</v>
      </c>
    </row>
    <row r="10" spans="1:5">
      <c r="A10" s="17" t="s">
        <v>975</v>
      </c>
      <c r="B10" s="8" t="s">
        <v>976</v>
      </c>
      <c r="C10" s="15"/>
      <c r="D10" s="15"/>
      <c r="E10" s="18" cm="1">
        <f t="array" ref="E10">INDEX(Table_Household_Alloc[Unit Entitlement],MATCH(1,(Table_Household_Alloc[Lot]=E8)*(Table_Household_Alloc[cluster]=E7),0))</f>
        <v>28</v>
      </c>
    </row>
    <row r="11" ht="15" customHeight="1" spans="1:5">
      <c r="A11" t="str" cm="1">
        <f t="array" ref="A11">INDEX(Table_Household_Alloc[Owner],MATCH(1,(Table_Household_Alloc[Lot]=E8)*(Table_Household_Alloc[cluster]=E7),0))</f>
        <v>Helen Rose</v>
      </c>
      <c r="B11" s="19" t="s">
        <v>977</v>
      </c>
      <c r="C11" s="3"/>
      <c r="D11" s="3"/>
      <c r="E11" s="20" cm="1">
        <f t="array" ref="E11">INDEX(Table_Household_Alloc[UE % over Cluster],MATCH(1,(Table_Household_Alloc[Lot]=E8)*(Table_Household_Alloc[cluster]=E7),0))</f>
        <v>0.028</v>
      </c>
    </row>
    <row r="12" ht="15" customHeight="1" spans="1:5">
      <c r="A12" t="str" cm="1">
        <f t="array" ref="A12">INDEX(Table_Household_Alloc[Street Address],MATCH(1,(Table_Household_Alloc[Lot]=E8)*(Table_Household_Alloc[cluster]=E7),0))</f>
        <v>22 Kulbardi Way</v>
      </c>
      <c r="B12" s="8" t="s">
        <v>978</v>
      </c>
      <c r="C12" s="21">
        <f>'Energy billing Mastersheet'!F1</f>
        <v>45658</v>
      </c>
      <c r="D12" s="21"/>
      <c r="E12" s="21">
        <f>'Energy billing Mastersheet'!H1</f>
        <v>45747</v>
      </c>
    </row>
    <row r="13" ht="15" customHeight="1" spans="1:5">
      <c r="A13" t="s">
        <v>979</v>
      </c>
      <c r="B13" s="8" t="s">
        <v>980</v>
      </c>
      <c r="C13" s="3"/>
      <c r="D13" s="3"/>
      <c r="E13" s="22">
        <f>'Energy billing Mastersheet'!N3</f>
        <v>90</v>
      </c>
    </row>
    <row r="14" ht="15" customHeight="1" spans="2:4">
      <c r="B14" s="2"/>
      <c r="C14" s="3"/>
      <c r="D14" s="3"/>
    </row>
    <row r="15" ht="51" customHeight="1" spans="1:5">
      <c r="A15" s="23" t="s">
        <v>981</v>
      </c>
      <c r="B15" s="24" t="s">
        <v>982</v>
      </c>
      <c r="C15" s="25" t="s">
        <v>983</v>
      </c>
      <c r="D15" s="26" t="s">
        <v>984</v>
      </c>
      <c r="E15" s="27" t="s">
        <v>985</v>
      </c>
    </row>
    <row r="16" ht="30" customHeight="1" spans="1:5">
      <c r="A16" s="28" t="s">
        <v>986</v>
      </c>
      <c r="B16" s="29"/>
      <c r="C16" s="30"/>
      <c r="D16" s="30"/>
      <c r="E16" s="31"/>
    </row>
    <row r="17" ht="30" customHeight="1" spans="1:5">
      <c r="A17" s="32" t="str">
        <f>"Amanda Energy Daily Supply Charge 1/"&amp;'Energy billing Mastersheet'!F2&amp;"/25 - "&amp;DAY(DATE(2025,'Energy billing Mastersheet'!F2+1,0))&amp;"/"&amp;'Energy billing Mastersheet'!F2&amp;"/25"</f>
        <v>Amanda Energy Daily Supply Charge 1/01/25 - 31/01/25</v>
      </c>
      <c r="B17" s="33">
        <f>IFERROR(Invoice331[[#This Row],[Amount due ($ Inc. GST)]]/Invoice331[[#This Row],[Usage]],0)</f>
        <v>6.31481481481481</v>
      </c>
      <c r="C17" s="34">
        <v>1</v>
      </c>
      <c r="D17" s="34" t="s">
        <v>987</v>
      </c>
      <c r="E17" s="35" cm="1">
        <f t="array" ref="E17">_xlfn.XLOOKUP($E$8,Table1[[#All],[Lot]],Table1[[#All],[Amanda Energy Daily Supply Charge ($)]],0,0,1)</f>
        <v>6.31481481481481</v>
      </c>
    </row>
    <row r="18" ht="30" customHeight="1" spans="1:5">
      <c r="A18" s="32" t="str">
        <f>"Amanda Energy Daily Supply Charge 1/"&amp;'Energy billing Mastersheet'!G2&amp;"/25 - "&amp;DAY(DATE(2025,'Energy billing Mastersheet'!G2+1,0))&amp;"/"&amp;'Energy billing Mastersheet'!G2&amp;"/25"</f>
        <v>Amanda Energy Daily Supply Charge 1/02/25 - 28/02/25</v>
      </c>
      <c r="B18" s="33">
        <f>IFERROR(Invoice331[[#This Row],[Amount due ($ Inc. GST)]]/Invoice331[[#This Row],[Usage]],0)</f>
        <v>5.7037037037037</v>
      </c>
      <c r="C18" s="34">
        <v>1</v>
      </c>
      <c r="D18" s="34" t="s">
        <v>987</v>
      </c>
      <c r="E18" s="35" cm="1">
        <f t="array" ref="E18">_xlfn.XLOOKUP($E$8,Table1[[#All],[Lot]],Table1[[#All],[Amanda Energy Daily Supply Charge ($)2]],0,0,1)</f>
        <v>5.7037037037037</v>
      </c>
    </row>
    <row r="19" ht="30" customHeight="1" spans="1:5">
      <c r="A19" s="32" t="str">
        <f>"Amanda Energy Daily Supply Charge 1/"&amp;'Energy billing Mastersheet'!H2&amp;"/25 - "&amp;DAY(DATE(2025,'Energy billing Mastersheet'!H2+1,0))&amp;"/"&amp;'Energy billing Mastersheet'!H2&amp;"/25"</f>
        <v>Amanda Energy Daily Supply Charge 1/03/25 - 31/03/25</v>
      </c>
      <c r="B19" s="33">
        <f>IFERROR(Invoice331[[#This Row],[Amount due ($ Inc. GST)]]/Invoice331[[#This Row],[Usage]],0)</f>
        <v>6.31481481481481</v>
      </c>
      <c r="C19" s="34">
        <v>1</v>
      </c>
      <c r="D19" s="34" t="s">
        <v>987</v>
      </c>
      <c r="E19" s="35" cm="1">
        <f t="array" ref="E19">_xlfn.XLOOKUP($E$8,Table1[[#All],[Lot]],Table1[[#All],[Amanda Energy Daily Supply Charge ($)3]],0,0,1)</f>
        <v>6.31481481481481</v>
      </c>
    </row>
    <row r="20" ht="30" customHeight="1" spans="1:5">
      <c r="A20" s="32" t="s">
        <v>988</v>
      </c>
      <c r="B20" s="33">
        <f>IFERROR(Invoice331[[#This Row],[Amount due ($ Inc. GST)]]/Invoice331[[#This Row],[Usage]],0)</f>
        <v>1.67222222222222</v>
      </c>
      <c r="C20" s="34">
        <v>1</v>
      </c>
      <c r="D20" s="34" t="s">
        <v>987</v>
      </c>
      <c r="E20" s="35" cm="1">
        <f t="array" ref="E20">_xlfn.XLOOKUP($E$8,Table1[[#All],[Lot]],Table1[[#All],[Amanda Energy Other fees ($)]],0,0,1)</f>
        <v>1.67222222222222</v>
      </c>
    </row>
    <row r="21" ht="30" customHeight="1" spans="1:5">
      <c r="A21" s="36" t="s">
        <v>859</v>
      </c>
      <c r="B21" s="33">
        <f>IFERROR(Invoice331[[#This Row],[Amount due ($ Inc. GST)]]/Invoice331[[#This Row],[Usage]],0)</f>
        <v>0.22</v>
      </c>
      <c r="C21" s="34">
        <f>'Energy billing Mastersheet'!N3</f>
        <v>90</v>
      </c>
      <c r="D21" s="34" t="s">
        <v>989</v>
      </c>
      <c r="E21" s="35" cm="1">
        <f t="array" ref="E21">_xlfn.XLOOKUP($E$8,Table1[[#All],[Lot]],Table1[[#All],[Element47 Embedded Network Daily Supply Charges]],0,0,1)</f>
        <v>19.8</v>
      </c>
    </row>
    <row r="22" ht="30" customHeight="1" spans="1:7">
      <c r="A22" s="36" t="s">
        <v>881</v>
      </c>
      <c r="B22" s="33">
        <f>IFERROR(Invoice331[[#This Row],[Amount due ($ Inc. GST)]]/Invoice331[[#This Row],[Usage]],0)</f>
        <v>4.1</v>
      </c>
      <c r="C22" s="34">
        <v>1</v>
      </c>
      <c r="D22" s="34" t="s">
        <v>987</v>
      </c>
      <c r="E22" s="35" cm="1">
        <f t="array" ref="E22">_xlfn.XLOOKUP($E$8,Table1[[#All],[Lot]],Table1[[#All],[Element47 Embedded Network Invoicing Fees]],0,0,1)</f>
        <v>4.1</v>
      </c>
      <c r="G22" s="37"/>
    </row>
    <row r="23" ht="30" customHeight="1" spans="1:5">
      <c r="A23" s="38" t="s">
        <v>990</v>
      </c>
      <c r="B23" s="33">
        <f>IFERROR(Invoice331[[#This Row],[Amount due ($ Inc. GST)]]/Invoice331[[#This Row],[Usage]],0)</f>
        <v>0</v>
      </c>
      <c r="C23" s="34">
        <f>C21</f>
        <v>90</v>
      </c>
      <c r="D23" s="34" t="s">
        <v>989</v>
      </c>
      <c r="E23" s="35" cm="1">
        <f t="array" ref="E23">_xlfn.XLOOKUP($E$8,Table1[[#All],[Lot]],Table1[[#All],[Chargefox Daily Supply Charge ($)]],0,0,1)</f>
        <v>0</v>
      </c>
    </row>
    <row r="24" ht="30" customHeight="1" spans="1:5">
      <c r="A24" s="38" t="s">
        <v>991</v>
      </c>
      <c r="B24" s="33">
        <f>IFERROR(Invoice331[[#This Row],[Amount due ($ Inc. GST)]]/Invoice331[[#This Row],[Usage]],0)</f>
        <v>0</v>
      </c>
      <c r="C24" s="34">
        <f>C21</f>
        <v>90</v>
      </c>
      <c r="D24" s="34" t="s">
        <v>989</v>
      </c>
      <c r="E24" s="35" cm="1">
        <f t="array" ref="E24">_xlfn.XLOOKUP($E$8,Table1[[#All],[Lot]],Table1[[#All],[SwitchdIn Cost Daily Supply Charge ($)]],0,0,1)</f>
        <v>0</v>
      </c>
    </row>
    <row r="25" ht="30" customHeight="1" spans="1:5">
      <c r="A25" s="39" t="s">
        <v>992</v>
      </c>
      <c r="B25" s="40">
        <f>IFERROR(Invoice331[[#This Row],[Amount due ($ Inc. GST)]]/Invoice331[[#This Row],[Usage]],0)</f>
        <v>0.48783950617284</v>
      </c>
      <c r="C25" s="41">
        <f>C24</f>
        <v>90</v>
      </c>
      <c r="D25" s="41" t="s">
        <v>989</v>
      </c>
      <c r="E25" s="42">
        <f>SUM(E17:E24)</f>
        <v>43.9055555555556</v>
      </c>
    </row>
    <row r="26" ht="30" customHeight="1" spans="1:5">
      <c r="A26" s="43" t="s">
        <v>993</v>
      </c>
      <c r="B26" s="44"/>
      <c r="C26" s="45"/>
      <c r="D26" s="45"/>
      <c r="E26" s="46"/>
    </row>
    <row r="27" ht="30" customHeight="1" spans="1:5">
      <c r="A27" s="38" t="s">
        <v>994</v>
      </c>
      <c r="B27" s="33">
        <f>IFERROR(Invoice331[[#This Row],[Amount due ($ Inc. GST)]]/Invoice331[[#This Row],[Usage]],0)</f>
        <v>0.22</v>
      </c>
      <c r="C27" s="34" cm="1">
        <f t="array" ref="C27">_xlfn.XLOOKUP($E$8,Table1[[#All],[Lot]],Table1[[#All],[Common Services based on Split per Unit Entitlement % to battery (kWh)]],0,0,1)</f>
        <v>18.424</v>
      </c>
      <c r="D27" s="34" t="s">
        <v>995</v>
      </c>
      <c r="E27" s="35" cm="1">
        <f t="array" ref="E27">_xlfn.XLOOKUP($E$8,Table1[[#All],[Lot]],Table1[[#All],[Common Services Cost Split per Unit Entitlement at P2P rate ($)]],0,0,1)</f>
        <v>4.05328</v>
      </c>
    </row>
    <row r="28" ht="30" customHeight="1" spans="1:7">
      <c r="A28" s="38" t="s">
        <v>996</v>
      </c>
      <c r="B28" s="33">
        <f>IFERROR(Invoice331[[#This Row],[Amount due ($ Inc. GST)]]/Invoice331[[#This Row],[Usage]],0)</f>
        <v>0</v>
      </c>
      <c r="C28" s="34" cm="1">
        <f t="array" ref="C28">_xlfn.XLOOKUP($E$8,Table1[[#All],[Lot]],Table1[[#All],[Common Service based upon % total export to battery (kWh)]],0,0,1)</f>
        <v>0</v>
      </c>
      <c r="D28" s="34" t="s">
        <v>995</v>
      </c>
      <c r="E28" s="35" cm="1">
        <f t="array" ref="E28">_xlfn.XLOOKUP($E$8,Table1[[#All],[Lot]],Table1[[#All],[Common Service Earning based upon % total export to Load ($)]],0,0,1)</f>
        <v>0</v>
      </c>
      <c r="G28" s="47"/>
    </row>
    <row r="29" ht="30" customHeight="1" spans="1:7">
      <c r="A29" s="38" t="s">
        <v>997</v>
      </c>
      <c r="B29" s="33">
        <f>IFERROR(Invoice331[[#This Row],[Amount due ($ Inc. GST)]]/Invoice331[[#This Row],[Usage]],0)</f>
        <v>0</v>
      </c>
      <c r="C29" s="34" cm="1">
        <f t="array" ref="C29">_xlfn.XLOOKUP($E$8,Table1[[#All],[Lot]],Table1[[#All],[Axillary Battery Losses based upon P2P import % (kWh)]],0,0,1)</f>
        <v>0</v>
      </c>
      <c r="D29" s="34" t="s">
        <v>995</v>
      </c>
      <c r="E29" s="35" cm="1">
        <f t="array" ref="E29">_xlfn.XLOOKUP($E$8,Table1[[#All],[Lot]],Table1[[#All],[Axillary Battery Loss Charges at P2P Rates based upon P2P import % ($)]],0,0,1)</f>
        <v>0</v>
      </c>
      <c r="G29" s="47"/>
    </row>
    <row r="30" ht="30" customHeight="1" spans="1:5">
      <c r="A30" s="38" t="s">
        <v>998</v>
      </c>
      <c r="B30" s="33">
        <f>IFERROR(Invoice331[[#This Row],[Amount due ($ Inc. GST)]]/Invoice331[[#This Row],[Usage]],0)</f>
        <v>0</v>
      </c>
      <c r="C30" s="34" cm="1">
        <f t="array" ref="C30">_xlfn.XLOOKUP($E$8,Table1[[#All],[Lot]],Table1[[#All],[Axillary Battery Losses based upon Adjusted % total export (kWh)]],0,0,1)</f>
        <v>0</v>
      </c>
      <c r="D30" s="34" t="s">
        <v>995</v>
      </c>
      <c r="E30" s="35" cm="1">
        <f t="array" ref="E30">_xlfn.XLOOKUP($E$8,Table1[[#All],[Lot]],Table1[[#All],[Axillary Battery Losses based upon % total export  ($)]],0,0,1)</f>
        <v>0</v>
      </c>
    </row>
    <row r="31" ht="30" customHeight="1" spans="1:5">
      <c r="A31" s="38" t="s">
        <v>999</v>
      </c>
      <c r="B31" s="33">
        <f>IFERROR(Invoice331[[#This Row],[Amount due ($ Inc. GST)]]/Invoice331[[#This Row],[Usage]],0)</f>
        <v>0</v>
      </c>
      <c r="C31" s="34" cm="1">
        <f t="array" ref="C31">_xlfn.XLOOKUP("EV",Table1[[#All],[Lot]],Table1[[#All],[Total Consumption Import  (kWh)]],0,0,1)*E11</f>
        <v>73.836</v>
      </c>
      <c r="D31" s="34" t="s">
        <v>995</v>
      </c>
      <c r="E31" s="35" cm="1">
        <f t="array" ref="E31">_xlfn.XLOOKUP($E$8,Table1[[#All],[Lot]],Table1[[#All],[EV Charger Income from Sales Equitable Distribution on UE ($)]],0,0,1)</f>
        <v>0</v>
      </c>
    </row>
    <row r="32" ht="30" customHeight="1" spans="1:5">
      <c r="A32" s="38" t="s">
        <v>1000</v>
      </c>
      <c r="B32" s="33">
        <f>IFERROR(Invoice331[[#This Row],[Amount due ($ Inc. GST)]]/Invoice331[[#This Row],[Usage]],0)</f>
        <v>0.22</v>
      </c>
      <c r="C32" s="34" cm="1">
        <f t="array" ref="C32">_xlfn.XLOOKUP("EV",Table1[[#All],[Lot]],Table1[[#All],[Total Consumption Import  (kWh)]],0,0,1)*E11</f>
        <v>73.836</v>
      </c>
      <c r="D32" s="34" t="s">
        <v>995</v>
      </c>
      <c r="E32" s="35" cm="1">
        <f t="array" ref="E32">_xlfn.XLOOKUP($E$8,Table1[[#All],[Lot]],Table1[[#All],[EV Charger Cost of Electricity Supply at P2P Rates ($)]],0,0,1)</f>
        <v>16.24392</v>
      </c>
    </row>
    <row r="33" ht="30" customHeight="1" spans="1:5">
      <c r="A33" s="38" t="s">
        <v>1001</v>
      </c>
      <c r="B33" s="33">
        <f>IFERROR(Invoice331[[#This Row],[Amount due ($ Inc. GST)]]/Invoice331[[#This Row],[Usage]],0)</f>
        <v>0</v>
      </c>
      <c r="C33" s="34" cm="1">
        <f t="array" ref="C33">_xlfn.XLOOKUP($E$8,Table1[[#All],[Lot]],Table1[[#All],[EV Charger based upon % total export to battery (kWh)]],0,0,1)</f>
        <v>0</v>
      </c>
      <c r="D33" s="34" t="s">
        <v>995</v>
      </c>
      <c r="E33" s="35" cm="1">
        <f t="array" ref="E33">_xlfn.XLOOKUP($E$8,Table1[[#All],[Lot]],Table1[[#All],[EV Charger based upon % total export ($)]],0,0,1)</f>
        <v>0</v>
      </c>
    </row>
    <row r="34" ht="30" customHeight="1" spans="1:5">
      <c r="A34" s="38" t="s">
        <v>1002</v>
      </c>
      <c r="B34" s="33">
        <f>IFERROR(Invoice331[[#This Row],[Amount due ($ Inc. GST)]]/Invoice331[[#This Row],[Usage]],0)</f>
        <v>0</v>
      </c>
      <c r="C34" s="34" cm="1">
        <f t="array" ref="C34">_xlfn.XLOOKUP("EV",Table1[[#All],[Lot]],Table1[[#All],[Total Consumption Import  (kWh)]],0,0,1)*E11</f>
        <v>73.836</v>
      </c>
      <c r="D34" s="34" t="s">
        <v>995</v>
      </c>
      <c r="E34" s="35" cm="1">
        <f t="array" ref="E34">_xlfn.XLOOKUP($E$8,Table1[[#All],[Lot]],Table1[[#All],[Chargefox Commission on EV Charge Consumption Sales Cost Split by Unit Entitlement ($)]],0,0,1)</f>
        <v>0</v>
      </c>
    </row>
    <row r="35" ht="30" customHeight="1" spans="1:5">
      <c r="A35" s="39" t="s">
        <v>1003</v>
      </c>
      <c r="B35" s="48">
        <f>Invoice331[[#This Row],[Amount due ($ Inc. GST)]]/Invoice331[[#This Row],[Usage]]</f>
        <v>0.225524444444444</v>
      </c>
      <c r="C35" s="49">
        <f>C24</f>
        <v>90</v>
      </c>
      <c r="D35" s="49" t="s">
        <v>989</v>
      </c>
      <c r="E35" s="50">
        <f>SUM(E27:E34)</f>
        <v>20.2972</v>
      </c>
    </row>
    <row r="36" ht="30" customHeight="1" spans="1:5">
      <c r="A36" s="43" t="s">
        <v>1004</v>
      </c>
      <c r="B36" s="51"/>
      <c r="C36" s="52"/>
      <c r="D36" s="52"/>
      <c r="E36" s="53"/>
    </row>
    <row r="37" ht="30" customHeight="1" spans="1:5">
      <c r="A37" s="38" t="s">
        <v>1005</v>
      </c>
      <c r="B37" s="33">
        <f>IFERROR(Invoice331[[#This Row],[Amount due ($ Inc. GST)]]/Invoice331[[#This Row],[Usage]],0)</f>
        <v>0.36</v>
      </c>
      <c r="C37" s="34" cm="1">
        <f t="array" ref="C37">_xlfn.XLOOKUP($E$8,Table1[[#All],[Lot]],Table1[[#All],[Total P2P import (kWh)]],0,0,1)</f>
        <v>14</v>
      </c>
      <c r="D37" s="34" t="s">
        <v>995</v>
      </c>
      <c r="E37" s="35" cm="1">
        <f t="array" ref="E37">_xlfn.XLOOKUP($E$8,Table1[[#All],[Lot]],Table1[[#All],[P2P Import Cost ($)]],0,0,1)</f>
        <v>5.04</v>
      </c>
    </row>
    <row r="38" ht="30" customHeight="1" spans="1:5">
      <c r="A38" s="38" t="s">
        <v>1006</v>
      </c>
      <c r="B38" s="33">
        <f>IFERROR(Invoice331[[#This Row],[Amount due ($ Inc. GST)]]/Invoice331[[#This Row],[Usage]],0)</f>
        <v>0</v>
      </c>
      <c r="C38" s="34" cm="1">
        <f t="array" ref="C38">_xlfn.XLOOKUP($E$8,Table1[[#All],[Lot]],Table1[[#All],[P2P Import Consumption over Battery Allowance based on Energy Exceeding Allowance % (kWh)]],0,0,1)</f>
        <v>0</v>
      </c>
      <c r="D38" s="34" t="s">
        <v>995</v>
      </c>
      <c r="E38" s="35" cm="1">
        <f t="array" ref="E38">_xlfn.XLOOKUP($E$8,Table1[[#All],[Lot]],Table1[[#All],[Exceeding Battery Allowance P2P Fee ($)]],0,0,1)</f>
        <v>0</v>
      </c>
    </row>
    <row r="39" ht="30" customHeight="1" spans="1:5">
      <c r="A39" s="38" t="s">
        <v>1007</v>
      </c>
      <c r="B39" s="33">
        <f>IFERROR(Invoice331[[#This Row],[Amount due ($ Inc. GST)]]/Invoice331[[#This Row],[Usage]],0)</f>
        <v>0</v>
      </c>
      <c r="C39" s="34" cm="1">
        <f t="array" ref="C39">_xlfn.XLOOKUP($E$8,Table1[[#All],[Lot]],Table1[[#All],[Energy Import from Grid (kWh)]],0,0,1)</f>
        <v>0</v>
      </c>
      <c r="D39" s="34" t="s">
        <v>995</v>
      </c>
      <c r="E39" s="35" cm="1">
        <f t="array" ref="E39">_xlfn.XLOOKUP($E$8,Table1[[#All],[Lot]],Table1[[#All],[Import From Grid Cost ($)]],0,0,1)</f>
        <v>0</v>
      </c>
    </row>
    <row r="40" ht="30" customHeight="1" spans="1:5">
      <c r="A40" s="39" t="s">
        <v>1008</v>
      </c>
      <c r="B40" s="48">
        <f>Invoice331[[#This Row],[Amount due ($ Inc. GST)]]/Invoice331[[#This Row],[Usage]]</f>
        <v>0.056</v>
      </c>
      <c r="C40" s="49">
        <f>C35</f>
        <v>90</v>
      </c>
      <c r="D40" s="49" t="s">
        <v>989</v>
      </c>
      <c r="E40" s="50">
        <f>SUM(E37:E39)</f>
        <v>5.04</v>
      </c>
    </row>
    <row r="41" ht="30" customHeight="1" spans="1:5">
      <c r="A41" s="43" t="s">
        <v>1009</v>
      </c>
      <c r="B41" s="33"/>
      <c r="C41" s="34"/>
      <c r="D41" s="34"/>
      <c r="E41" s="46"/>
    </row>
    <row r="42" ht="30" customHeight="1" spans="1:5">
      <c r="A42" s="54" t="s">
        <v>1010</v>
      </c>
      <c r="B42" s="33">
        <f>IFERROR(Invoice331[[#This Row],[Amount due ($ Inc. GST)]]/Invoice331[[#This Row],[Usage]],0)</f>
        <v>0</v>
      </c>
      <c r="C42" s="34" t="e" cm="1">
        <f t="array" ref="C42">_xlfn.XLOOKUP($E$8,Table1[[#All],[Lot]],Table1[[#All],[Total Energy Export P2P to battery (kWh)]],0,0,1)</f>
        <v>#N/A</v>
      </c>
      <c r="D42" s="34" t="s">
        <v>995</v>
      </c>
      <c r="E42" s="35" t="e" cm="1">
        <f t="array" ref="E42">_xlfn.XLOOKUP($E$8,Table1[[#All],[Lot]],Table1[[#All],[P2P Export Earnings ($)]],0,0,1)</f>
        <v>#N/A</v>
      </c>
    </row>
    <row r="43" ht="30" customHeight="1" spans="1:5">
      <c r="A43" s="32" t="s">
        <v>1011</v>
      </c>
      <c r="B43" s="33">
        <f>IFERROR(Invoice331[[#This Row],[Amount due ($ Inc. GST)]]/Invoice331[[#This Row],[Usage]],0)</f>
        <v>-0.02</v>
      </c>
      <c r="C43" s="34" cm="1">
        <f t="array" ref="C43">_xlfn.XLOOKUP($E$8,Table1[[#All],[Lot]],Table1[[#All],[Borrowed Allowance Based on Unused Daily Allowance % (kWh)]],0,0,1)</f>
        <v>40.6938830766929</v>
      </c>
      <c r="D43" s="34" t="s">
        <v>995</v>
      </c>
      <c r="E43" s="35" cm="1">
        <f t="array" ref="E43">_xlfn.XLOOKUP($E$8,Table1[[#All],[Lot]],Table1[[#All],[Passive Compensation ($)]],0,0,1)</f>
        <v>-0.813877661533859</v>
      </c>
    </row>
    <row r="44" ht="30" customHeight="1" spans="1:5">
      <c r="A44" s="32" t="s">
        <v>1012</v>
      </c>
      <c r="B44" s="33">
        <f>IFERROR(Invoice331[[#This Row],[Amount due ($ Inc. GST)]]/Invoice331[[#This Row],[Usage]],0)</f>
        <v>0</v>
      </c>
      <c r="C44" s="34" t="e" cm="1">
        <f t="array" ref="C44">_xlfn.XLOOKUP($E$8,Table1[[#All],[Lot]],Table1[[#All],[Energy Export to Grid after Losses (kWh)]],0,0,1)</f>
        <v>#N/A</v>
      </c>
      <c r="D44" s="34" t="s">
        <v>995</v>
      </c>
      <c r="E44" s="35" t="e" cm="1">
        <f t="array" ref="E44">_xlfn.XLOOKUP($E$8,Table1[[#All],[Lot]],Table1[[#All],[Grid Export Earnings ($)]],0,0,1)</f>
        <v>#N/A</v>
      </c>
    </row>
    <row r="45" ht="34.05" customHeight="1" spans="1:5">
      <c r="A45" s="39" t="s">
        <v>1013</v>
      </c>
      <c r="B45" s="33">
        <f>IFERROR(Invoice331[[#This Row],[Amount due ($ Inc. GST)]]/Invoice331[[#This Row],[Usage]],0)</f>
        <v>0</v>
      </c>
      <c r="C45" s="49">
        <f>C40</f>
        <v>90</v>
      </c>
      <c r="D45" s="49" t="s">
        <v>989</v>
      </c>
      <c r="E45" s="50" t="e">
        <f>SUBTOTAL(109,E42:E44)</f>
        <v>#N/A</v>
      </c>
    </row>
    <row r="46" ht="30" customHeight="1" spans="1:5">
      <c r="A46" s="55" t="s">
        <v>1014</v>
      </c>
      <c r="B46" s="56">
        <f>IFERROR(Invoice331[[#This Row],[Amount due ($ Inc. GST)]]/Invoice331[[#This Row],[Usage]],0)</f>
        <v>0</v>
      </c>
      <c r="C46" s="57">
        <f>C45</f>
        <v>90</v>
      </c>
      <c r="D46" s="57" t="s">
        <v>989</v>
      </c>
      <c r="E46" s="58" t="e">
        <f>E25+E45+E35+E40</f>
        <v>#N/A</v>
      </c>
    </row>
    <row r="47" s="1" customFormat="1" ht="31.95" customHeight="1" spans="1:5">
      <c r="A47" s="59" t="s">
        <v>1015</v>
      </c>
      <c r="B47" s="60"/>
      <c r="C47" s="61"/>
      <c r="D47" s="61"/>
      <c r="E47" s="62"/>
    </row>
    <row r="48" spans="1:5">
      <c r="A48" s="63" t="e">
        <f ca="1">IF(E48&gt;0,"Payment due "&amp;TEXT(EOMONTH(TODAY(),0)+15,"dd/mm/yy"),"REFUND due "&amp;TEXT(EOMONTH(TODAY(),0)+15,"dd/mm/yy"))</f>
        <v>#N/A</v>
      </c>
      <c r="B48" s="64" t="s">
        <v>1016</v>
      </c>
      <c r="C48" s="65"/>
      <c r="D48" s="65"/>
      <c r="E48" s="66" t="e">
        <f>E46-E47</f>
        <v>#N/A</v>
      </c>
    </row>
    <row r="49" spans="2:4">
      <c r="B49" s="2"/>
      <c r="C49" s="3"/>
      <c r="D49" s="3"/>
    </row>
    <row r="50" ht="13.95" customHeight="1" spans="1:4">
      <c r="A50" s="67" t="str">
        <f>CONCATENATE("Bank Details/Account Name:",VLOOKUP(E7,Rep_table[],13,FALSE))</f>
        <v>Bank Details/Account Name:Owners Cluster 1A</v>
      </c>
      <c r="B50" s="68"/>
      <c r="C50" s="3"/>
      <c r="D50" s="3"/>
    </row>
    <row r="51" spans="1:2">
      <c r="A51" s="67" t="str">
        <f>CONCATENATE("BSB:",VLOOKUP(E7,Rep_table[],14,FALSE))</f>
        <v>BSB:633-000</v>
      </c>
      <c r="B51" s="68"/>
    </row>
    <row r="52" spans="1:4">
      <c r="A52" s="67" t="str">
        <f>CONCATENATE("Account:",VLOOKUP(E7,Rep_table[],15,FALSE))</f>
        <v>Account:209 071 927</v>
      </c>
      <c r="B52" s="69"/>
      <c r="C52" s="3"/>
      <c r="D52" s="3"/>
    </row>
    <row r="53" spans="2:4">
      <c r="B53" s="2"/>
      <c r="C53" s="3"/>
      <c r="D53" s="3"/>
    </row>
    <row r="54" ht="15" spans="1:5">
      <c r="A54" s="70" t="str">
        <f>CONCATENATE("Please use payment reference: Surname Inv No i.e. ",IF(ISNUMBER(SEARCH("trust",A11)),_xlfn.TEXTBEFORE(A11," ",1),_xlfn.TEXTAFTER(A11," ",-1))," ",E6)</f>
        <v>Please use payment reference: Surname Inv No i.e. Rose 1A24/0325</v>
      </c>
      <c r="B54" s="70"/>
      <c r="C54" s="70"/>
      <c r="D54" s="70"/>
      <c r="E54" s="70"/>
    </row>
  </sheetData>
  <mergeCells count="2">
    <mergeCell ref="B2:E2"/>
    <mergeCell ref="A54:E54"/>
  </mergeCells>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Insutrcution for whole process</vt:lpstr>
      <vt:lpstr>strata rep contacts</vt:lpstr>
      <vt:lpstr>strata roll</vt:lpstr>
      <vt:lpstr>Amanda Energy</vt:lpstr>
      <vt:lpstr>reading-import</vt:lpstr>
      <vt:lpstr>reading-export</vt:lpstr>
      <vt:lpstr>Tariff Rates</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lpstr>Lot 20</vt:lpstr>
      <vt:lpstr>Lot 21</vt:lpstr>
      <vt:lpstr>Lot 22</vt:lpstr>
      <vt:lpstr>Lot 23</vt:lpstr>
      <vt:lpstr>Lot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google1583261904</cp:lastModifiedBy>
  <dcterms:created xsi:type="dcterms:W3CDTF">2017-05-01T05:13:00Z</dcterms:created>
  <cp:lastPrinted>2024-12-17T13:06:00Z</cp:lastPrinted>
  <dcterms:modified xsi:type="dcterms:W3CDTF">2025-05-27T04:10:11Z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F6404EF2CF5940639534B30DB75A75F2_13</vt:lpwstr>
  </property>
  <property fmtid="{D5CDD505-2E9C-101B-9397-08002B2CF9AE}" pid="3" name="KSOProductBuildVer">
    <vt:lpwstr>1033-12.2.0.21179</vt:lpwstr>
  </property>
</Properties>
</file>