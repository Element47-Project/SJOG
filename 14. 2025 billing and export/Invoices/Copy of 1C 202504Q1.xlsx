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6175" windowHeight="9000" tabRatio="902" firstSheet="8" activeTab="8"/>
  </bookViews>
  <sheets>
    <sheet name="Insutrcution for whole process" sheetId="78" state="hidden" r:id="rId1"/>
    <sheet name="strata rep contacts" sheetId="34" state="hidden" r:id="rId2"/>
    <sheet name="strata roll" sheetId="28" state="hidden" r:id="rId3"/>
    <sheet name="Amanda Energy" sheetId="75" state="hidden" r:id="rId4"/>
    <sheet name="reading-import" sheetId="76" state="hidden" r:id="rId5"/>
    <sheet name="reading-export" sheetId="77" state="hidden" r:id="rId6"/>
    <sheet name="Tariff Rates" sheetId="33" state="hidden" r:id="rId7"/>
    <sheet name="Energy billing Mastersheet_fml" sheetId="32" state="hidden" r:id="rId8"/>
    <sheet name="Energy billing Mastersheet" sheetId="138" r:id="rId9"/>
    <sheet name="Lot 1" sheetId="2" r:id="rId10"/>
    <sheet name="Lot 2" sheetId="120" r:id="rId11"/>
    <sheet name="Lot 3" sheetId="121" r:id="rId12"/>
    <sheet name="Lot 4" sheetId="122" r:id="rId13"/>
    <sheet name="Lot 5" sheetId="123" r:id="rId14"/>
    <sheet name="Lot 6" sheetId="124" r:id="rId15"/>
    <sheet name="Lot 7" sheetId="125" r:id="rId16"/>
    <sheet name="Lot 8" sheetId="126" r:id="rId17"/>
    <sheet name="Lot 9" sheetId="127" r:id="rId18"/>
    <sheet name="Lot 10" sheetId="128" r:id="rId19"/>
    <sheet name="Lot 11" sheetId="129" r:id="rId20"/>
    <sheet name="Lot 12" sheetId="130" r:id="rId21"/>
    <sheet name="Lot 13" sheetId="131" r:id="rId22"/>
    <sheet name="Lot 14" sheetId="132" r:id="rId23"/>
    <sheet name="Lot 15" sheetId="133" r:id="rId24"/>
    <sheet name="Lot 16" sheetId="134" r:id="rId25"/>
    <sheet name="Lot 17" sheetId="135" r:id="rId26"/>
    <sheet name="Lot 18" sheetId="136" r:id="rId27"/>
    <sheet name="Lot 19" sheetId="137" r:id="rId28"/>
  </sheets>
  <definedNames>
    <definedName name="ColumnTitle1" localSheetId="7">#REF!</definedName>
    <definedName name="ColumnTitleRegion1..B11.1" localSheetId="7">#REF!</definedName>
    <definedName name="Company_Name" localSheetId="7">#REF!</definedName>
    <definedName name="Profit_table">#REF!</definedName>
    <definedName name="RowTitleRegion1..D5">#REF!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Qi Jiang</author>
  </authors>
  <commentList>
    <comment ref="C68" authorId="0">
      <text>
        <r>
          <rPr>
            <b/>
            <sz val="10"/>
            <color rgb="FF000000"/>
            <rFont val="Tahoma"/>
            <charset val="134"/>
          </rPr>
          <t>Qi Jiang:</t>
        </r>
        <r>
          <rPr>
            <sz val="10"/>
            <color rgb="FF000000"/>
            <rFont val="Tahoma"/>
            <charset val="134"/>
          </rPr>
          <t xml:space="preserve">
50002944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<sst xmlns="http://schemas.openxmlformats.org/spreadsheetml/2006/main" count="5761" uniqueCount="1424">
  <si>
    <t>check box</t>
  </si>
  <si>
    <t>Instruction for whole process</t>
  </si>
  <si>
    <t>0. save as a new file</t>
  </si>
  <si>
    <t>1. check detail for strata rep contacts, update if necessary</t>
  </si>
  <si>
    <t>2. check detail for strata roll contacts, update if neccssary</t>
  </si>
  <si>
    <t>3. update Amanda Energy bills using python code</t>
  </si>
  <si>
    <t>get invoice pdf from amanda energy</t>
  </si>
  <si>
    <t>get_Amanda_inovice.py</t>
  </si>
  <si>
    <t>output.csv</t>
  </si>
  <si>
    <t>4. update auto meter reading (SwitchDin)</t>
  </si>
  <si>
    <t>download data from billing dashboard</t>
  </si>
  <si>
    <t>process_meter_data.py</t>
  </si>
  <si>
    <t>formatted data</t>
  </si>
  <si>
    <t xml:space="preserve">5. update manual meter reading </t>
  </si>
  <si>
    <t xml:space="preserve">request manual meter reading ahead of time </t>
  </si>
  <si>
    <t>January 1st</t>
  </si>
  <si>
    <t>April 1st</t>
  </si>
  <si>
    <t>July 1st</t>
  </si>
  <si>
    <t>October 1st</t>
  </si>
  <si>
    <t>6. check Tariff Rates, update if necessary</t>
  </si>
  <si>
    <t xml:space="preserve">7. update master billing sheet to current billing cycle: </t>
  </si>
  <si>
    <t>cluster name and billing month</t>
  </si>
  <si>
    <t>8. check supply table as follow, remove supply charge as request. </t>
  </si>
  <si>
    <t>9. run VB code </t>
  </si>
  <si>
    <t>10. Hide sensitve info sheet</t>
  </si>
  <si>
    <t>Instruction for VB code:</t>
  </si>
  <si>
    <t>1. open tab 'Developer'</t>
  </si>
  <si>
    <t>2. choose 'Visual Basic' </t>
  </si>
  <si>
    <t>3. add module</t>
  </si>
  <si>
    <t>4. copy and paste VB code</t>
  </si>
  <si>
    <t>Sub GenerateDynamicLotSheets()
    Dim wsTemplate As Worksheet
    Dim newSheet As Worksheet
    Dim strataRoll As Worksheet
    Dim clusterValue As String
    Dim maxLotNo As Long
    Dim rng As Range
    Dim cell As Range
    Dim i As Long
    ' Define the template sheet and reference sheet
    Set wsTemplate = ThisWorkbook.Sheets("Lot 1")
    Set strataRoll = ThisWorkbook.Sheets("Strata Roll")
    ' Get the Cluster value from D7 of the template sheet
    clusterValue = wsTemplate.Range("E7").Value
    ' Initialize the maximum Lot No
    maxLotNo = 0
    ' Search "Strata Roll" for the maximum Lot No matching the Cluster value
    With strataRoll
        Set rng = .Range("A2", .Cells(.Rows.Count, "A").End(xlUp)) ' Assume data starts from A2
        For Each cell In rng
            ' Check if the corresponding row's Cluster matches the target Cluster
            If .Cells(cell.Row, "B").Value = clusterValue Then
                ' Ensure the cell value in column A is numeric before comparing
                If IsNumeric(cell.Value) Then
                    ' Compare the numeric Lot No directly
                    If CLng(cell.Value) &gt; maxLotNo Then
                        maxLotNo = CLng(cell.Value)
                    End If
                End If
            End If
        Next cell
    End With
    ' Check if any Lot No was found for the given Cluster
    If maxLotNo = 0 Then
        MsgBox "No Lot No found for Cluster value " &amp; clusterValue &amp; "!", vbExclamation
        Exit Sub
    End If
    ' Generate worksheets for Lot 2 to maxLotNo
    For i = 2 To maxLotNo
        ' Copy the template sheet
        wsTemplate.Copy After:=ThisWorkbook.Sheets(ThisWorkbook.Sheets.Count)
        Set newSheet = ThisWorkbook.Sheets(ThisWorkbook.Sheets.Count)
        ' Rename the new sheet
        newSheet.Name = "Lot " &amp; i
        ' Update the Lot No in the new sheet (e.g., D8 cell)
        newSheet.Range("E8").Value = i
    Next i
    MsgBox "Successfully created Lot 2 to Lot " &amp; maxLotNo &amp; " worksheets!", vbInformation
End Sub</t>
  </si>
  <si>
    <t>5. run </t>
  </si>
  <si>
    <t>6. remove VB code </t>
  </si>
  <si>
    <t>Invoicing table</t>
  </si>
  <si>
    <t>Cluster</t>
  </si>
  <si>
    <t>Account setup fee</t>
  </si>
  <si>
    <t>Q1</t>
  </si>
  <si>
    <t>Q2</t>
  </si>
  <si>
    <t>Q3</t>
  </si>
  <si>
    <t>Q4</t>
  </si>
  <si>
    <t>Jan-Feb</t>
  </si>
  <si>
    <t>Mar</t>
  </si>
  <si>
    <t>Redundant Invoices</t>
  </si>
  <si>
    <t>Contract Update</t>
  </si>
  <si>
    <t>1A</t>
  </si>
  <si>
    <t>self- issued</t>
  </si>
  <si>
    <t xml:space="preserve">1039 for Q1-Q3 </t>
  </si>
  <si>
    <t>Signed</t>
  </si>
  <si>
    <t>1B</t>
  </si>
  <si>
    <t>1043 for Q1-Q3</t>
  </si>
  <si>
    <t>Weekend</t>
  </si>
  <si>
    <t>paid</t>
  </si>
  <si>
    <t>1C</t>
  </si>
  <si>
    <t>not paid</t>
  </si>
  <si>
    <t>2A</t>
  </si>
  <si>
    <t>1045 for Q2-Q3</t>
  </si>
  <si>
    <t xml:space="preserve">Holiday </t>
  </si>
  <si>
    <t>Credit Note allocated</t>
  </si>
  <si>
    <t>2B</t>
  </si>
  <si>
    <t>3A</t>
  </si>
  <si>
    <t>3B</t>
  </si>
  <si>
    <t>1048 for Q2-Q3</t>
  </si>
  <si>
    <t>FIFO working</t>
  </si>
  <si>
    <t>Supply charge table</t>
  </si>
  <si>
    <t xml:space="preserve">Amanda energy supply charge </t>
  </si>
  <si>
    <t xml:space="preserve">SwitchDin </t>
  </si>
  <si>
    <t>ChargeFox</t>
  </si>
  <si>
    <t xml:space="preserve">EV charger cost of electricy @P2P rate </t>
  </si>
  <si>
    <t>P2P trade rate for lots with export</t>
  </si>
  <si>
    <t>P2P rate for lots with no export</t>
  </si>
  <si>
    <t>Agreement and action items</t>
  </si>
  <si>
    <t>BESS status</t>
  </si>
  <si>
    <t>billing cycle</t>
  </si>
  <si>
    <t>P2P borrow/lend</t>
  </si>
  <si>
    <t>Included</t>
  </si>
  <si>
    <t>Not included</t>
  </si>
  <si>
    <t xml:space="preserve">Not included </t>
  </si>
  <si>
    <t>0.22$/kwh</t>
  </si>
  <si>
    <t>0.36$/kwh</t>
  </si>
  <si>
    <t>July 1st 2025</t>
  </si>
  <si>
    <t>ON</t>
  </si>
  <si>
    <t xml:space="preserve">quarterly </t>
  </si>
  <si>
    <t>Not included Till May 2025</t>
  </si>
  <si>
    <t xml:space="preserve">Cluster </t>
  </si>
  <si>
    <t>Strata company name</t>
  </si>
  <si>
    <t>ABN</t>
  </si>
  <si>
    <t>Parcel Address</t>
  </si>
  <si>
    <t>Energy Representative</t>
  </si>
  <si>
    <t>Energy Representative email</t>
  </si>
  <si>
    <t>Strata Council Chair</t>
  </si>
  <si>
    <t>Strata Council Email</t>
  </si>
  <si>
    <t>Energy supply charge incl in strata fees</t>
  </si>
  <si>
    <t>Cluster battery</t>
  </si>
  <si>
    <t>Invividual lot battery</t>
  </si>
  <si>
    <t>number of lots</t>
  </si>
  <si>
    <t>Account Name</t>
  </si>
  <si>
    <t>BSB</t>
  </si>
  <si>
    <t>Account #</t>
  </si>
  <si>
    <t>The Owners of Cluster 1A Witchcliffe Ecovillage Survey Strata 77784</t>
  </si>
  <si>
    <t>ABN: 29 857 461 927</t>
  </si>
  <si>
    <t>Lot 10, 10347 Bussell Hwy Witchcliffe WA</t>
  </si>
  <si>
    <t>Peter Froehlich (lot 13)</t>
  </si>
  <si>
    <t>froehlich.fp@gmail.com</t>
  </si>
  <si>
    <t>to be confirmed by strata</t>
  </si>
  <si>
    <t>wevcluster1a@gmail.com</t>
  </si>
  <si>
    <t>✓</t>
  </si>
  <si>
    <t>Owners Cluster 1A</t>
  </si>
  <si>
    <t>633-000</t>
  </si>
  <si>
    <t>209 071 927</t>
  </si>
  <si>
    <t>24 Lots</t>
  </si>
  <si>
    <t>Lindy Dunlop</t>
  </si>
  <si>
    <t>lindyjdunlop@hotmail.com</t>
  </si>
  <si>
    <t>The Owners of Cluster 1B Witchcliffe Ecovillage Survey Strata 77785</t>
  </si>
  <si>
    <t>ABN: 31 962 028 201</t>
  </si>
  <si>
    <t>Lot 17, 10347 Bussell Hwy Witchcliffe WA</t>
  </si>
  <si>
    <t>Paul Wilkinson (lot 12)</t>
  </si>
  <si>
    <t xml:space="preserve">mail2paul07@gmail.com </t>
  </si>
  <si>
    <t>wevcluster1b@gmail.com</t>
  </si>
  <si>
    <t>1B Admin Fund</t>
  </si>
  <si>
    <t>208 200 014</t>
  </si>
  <si>
    <t>21 Lots</t>
  </si>
  <si>
    <t>The Owners of Cluster 1C Witchcliffe Ecovillage Survey Strata 77786</t>
  </si>
  <si>
    <t>ABN: 80 608 251 481</t>
  </si>
  <si>
    <t>Lot 11, 10347 Bussell Hwy Witchcliffe WA</t>
  </si>
  <si>
    <t>Laurence Hansen (Lot 19)</t>
  </si>
  <si>
    <t>logs1@iinet.net.au</t>
  </si>
  <si>
    <t>wevcluster1c@gmail.com</t>
  </si>
  <si>
    <t>WEV Cluster 1C Strata Account</t>
  </si>
  <si>
    <t>633 000</t>
  </si>
  <si>
    <t>216 423 913</t>
  </si>
  <si>
    <t>19 Lots</t>
  </si>
  <si>
    <t>The Owners of Cluster 2A Witchcliffe Ecovillage Survey Strata 77787</t>
  </si>
  <si>
    <t>ABN: 38 248 842 277</t>
  </si>
  <si>
    <t>Lot 7 10347 Bussell Hwy Witchcliffe WA</t>
  </si>
  <si>
    <t>Bouwe Hamersma (Lot 5)</t>
  </si>
  <si>
    <t xml:space="preserve">bouwe.hamersma@gmail.com </t>
  </si>
  <si>
    <t>wevcluster2a@gmail.com</t>
  </si>
  <si>
    <t>2A ADMIN FUND</t>
  </si>
  <si>
    <t>306-188</t>
  </si>
  <si>
    <t>23 Lots</t>
  </si>
  <si>
    <t>The Owners of Cluster 2B Witchcliffe Ecovillage Survey Strata 77788</t>
  </si>
  <si>
    <t>ABN: 64 989 501 940</t>
  </si>
  <si>
    <t>Lot 8, 10347 Bussell Hwy Witchcliffe WA</t>
  </si>
  <si>
    <t>Alison Askew (Lot 10)</t>
  </si>
  <si>
    <t xml:space="preserve">alisonaskew123@gmail.com </t>
  </si>
  <si>
    <t>wevcluster2b@gmail.com</t>
  </si>
  <si>
    <t>The Owners of Cluster 2B Witchcliffe</t>
  </si>
  <si>
    <t>209 181 437</t>
  </si>
  <si>
    <t>22 Lots</t>
  </si>
  <si>
    <t xml:space="preserve">The Owners of Cluster 3A Witchcliffe Ecovillage Survey Strata 77790                                     </t>
  </si>
  <si>
    <t>ABN: 22315195710</t>
  </si>
  <si>
    <t>2 Karrack Crescent, Witchcliffe WA</t>
  </si>
  <si>
    <t>Elaine Clocherty (Lot 15)</t>
  </si>
  <si>
    <t>elaineclocherty@gmail.com</t>
  </si>
  <si>
    <t xml:space="preserve">wevcluster3a@gmail.com </t>
  </si>
  <si>
    <t>WEV Cluster 3A Strata</t>
  </si>
  <si>
    <t>223 075 870</t>
  </si>
  <si>
    <t>27 Lots</t>
  </si>
  <si>
    <t xml:space="preserve">The Owners of Cluster 3B Witchcliffe Ecovillage Survey Strata 77791                                  </t>
  </si>
  <si>
    <t>ABN: 11801467982</t>
  </si>
  <si>
    <t>3 Karrack Crescent, Witchcliffe WA</t>
  </si>
  <si>
    <t>Jason  McHattan (Lot13)</t>
  </si>
  <si>
    <t>jasonmchattan@gmail.com</t>
  </si>
  <si>
    <t xml:space="preserve">wevcluster3b@gmail.com </t>
  </si>
  <si>
    <t>3B Admin Fund</t>
  </si>
  <si>
    <t>306-412</t>
  </si>
  <si>
    <t>0020794</t>
  </si>
  <si>
    <t>Tim Thomson (Lot 8)</t>
  </si>
  <si>
    <t>timjcthomson@gmail.com</t>
  </si>
  <si>
    <t xml:space="preserve">The Owners of Cluster 3C Witchcliffe Ecovillage Survey Strata 83347                          </t>
  </si>
  <si>
    <t>ABN: 86675221914</t>
  </si>
  <si>
    <t>Lot 18 Karrack Crescent Witchcliffe WA</t>
  </si>
  <si>
    <t>??</t>
  </si>
  <si>
    <t xml:space="preserve">wevcluster3c@gmail.com </t>
  </si>
  <si>
    <t xml:space="preserve"> 15 Short Stay </t>
  </si>
  <si>
    <t xml:space="preserve">The Owners of Cluster 4A Witchcliffe Ecovillage Survey Strata 85752                                   </t>
  </si>
  <si>
    <t>ABN: 33 677 155 303</t>
  </si>
  <si>
    <t>22 Gnuraren Grove, Witchcliffe WA</t>
  </si>
  <si>
    <t>Caroline Bannister (Lot18)</t>
  </si>
  <si>
    <t>wevcluster4a@gmail.com</t>
  </si>
  <si>
    <t xml:space="preserve">  26 lots</t>
  </si>
  <si>
    <t xml:space="preserve">The Owners of Cluster 4B Witchcliffe Ecovillage Survey Strata 85753                                     </t>
  </si>
  <si>
    <t>ABN: 24 266 141 390</t>
  </si>
  <si>
    <t>23 Mulal Avenue, Witchcliffe WA</t>
  </si>
  <si>
    <t>Manuel Mall (Lot 3)</t>
  </si>
  <si>
    <t>carolinandmanuel@gmail.com</t>
  </si>
  <si>
    <t>Jenny Challen (Lot 9)</t>
  </si>
  <si>
    <t xml:space="preserve">wevcluster4b@gmail.com </t>
  </si>
  <si>
    <t>20 lots</t>
  </si>
  <si>
    <t>jenny@challen.com.au</t>
  </si>
  <si>
    <t>Lot</t>
  </si>
  <si>
    <t>cluster</t>
  </si>
  <si>
    <t>Meter#</t>
  </si>
  <si>
    <t>Block Type</t>
  </si>
  <si>
    <t>Owner</t>
  </si>
  <si>
    <t>Street Address</t>
  </si>
  <si>
    <t>Suburb</t>
  </si>
  <si>
    <t>State</t>
  </si>
  <si>
    <t>Post Code</t>
  </si>
  <si>
    <t>Unit Entitlement</t>
  </si>
  <si>
    <t>UE % over Cluster</t>
  </si>
  <si>
    <t>Calculated Battery Allocation (kWh)</t>
  </si>
  <si>
    <t>Inverter Model</t>
  </si>
  <si>
    <t>Applied Battery Allocation (kWh)</t>
  </si>
  <si>
    <t>Export Capacity (kW)</t>
  </si>
  <si>
    <t>Energy Meter Installed</t>
  </si>
  <si>
    <t>PV Installed</t>
  </si>
  <si>
    <t>Functional Droplet</t>
  </si>
  <si>
    <t>Stage of Dev.</t>
  </si>
  <si>
    <t>Phone 1</t>
  </si>
  <si>
    <t>Phone 2</t>
  </si>
  <si>
    <t>Email</t>
  </si>
  <si>
    <t xml:space="preserve">Meter Number </t>
  </si>
  <si>
    <t>Occupant 1 Start Date</t>
  </si>
  <si>
    <t>Occupant 1 End date</t>
  </si>
  <si>
    <t>Inverter start date</t>
  </si>
  <si>
    <t>Cottage</t>
  </si>
  <si>
    <t>Mead Family trust</t>
  </si>
  <si>
    <t>1 Yornitj Grove</t>
  </si>
  <si>
    <t>Witchcliffe</t>
  </si>
  <si>
    <t>WA</t>
  </si>
  <si>
    <t>Y</t>
  </si>
  <si>
    <t>N</t>
  </si>
  <si>
    <t>UC</t>
  </si>
  <si>
    <t>0457 578 078</t>
  </si>
  <si>
    <t>0476919881</t>
  </si>
  <si>
    <t>nicholasjamesmead@gmail.co</t>
  </si>
  <si>
    <t>Current</t>
  </si>
  <si>
    <t>Margareta Roeck</t>
  </si>
  <si>
    <t>3 Yornitj Grove</t>
  </si>
  <si>
    <t>0416732634</t>
  </si>
  <si>
    <t>maroeck@gmail.com</t>
  </si>
  <si>
    <t>Battigielli</t>
  </si>
  <si>
    <t>5 Yornitj Grove</t>
  </si>
  <si>
    <t>O</t>
  </si>
  <si>
    <t>0424154036</t>
  </si>
  <si>
    <t>emailalexhughes@gmail.com</t>
  </si>
  <si>
    <t>Paul Jurjevich &amp; Trish Rushton</t>
  </si>
  <si>
    <t>7 Yornitj Grove</t>
  </si>
  <si>
    <t>Symo 5.0</t>
  </si>
  <si>
    <t>0412261482</t>
  </si>
  <si>
    <t>0403732723</t>
  </si>
  <si>
    <t>mulloway9@icloud.com</t>
  </si>
  <si>
    <t>Dwyer</t>
  </si>
  <si>
    <t>9 Yornitj Grove</t>
  </si>
  <si>
    <t>0408744572</t>
  </si>
  <si>
    <t>0437286462</t>
  </si>
  <si>
    <t>mammoth@iinet.net.au</t>
  </si>
  <si>
    <t>Gillespie</t>
  </si>
  <si>
    <t>11 Yornitj Grove</t>
  </si>
  <si>
    <t>Symo 8.2</t>
  </si>
  <si>
    <t>0417950370</t>
  </si>
  <si>
    <t>0429196637</t>
  </si>
  <si>
    <t>barbaragillespie@iinet.net.au</t>
  </si>
  <si>
    <t>Rio &amp; Alix Healey-­‐Diaz</t>
  </si>
  <si>
    <t>13 Yornitj Grove</t>
  </si>
  <si>
    <t>0425890670</t>
  </si>
  <si>
    <t>alixward@gmail.com</t>
  </si>
  <si>
    <t>Marcus Browne &amp; Sook-­‐JaRebecchi</t>
  </si>
  <si>
    <t>15 Yornitj Grove</t>
  </si>
  <si>
    <t>0433290368</t>
  </si>
  <si>
    <t>0448279836</t>
  </si>
  <si>
    <t>marcus@mishack.com.au</t>
  </si>
  <si>
    <t>Jasmine Heah</t>
  </si>
  <si>
    <t>17 Yornitj Grove</t>
  </si>
  <si>
    <t>0408323274</t>
  </si>
  <si>
    <t>jasmine_heah@hotmail.com</t>
  </si>
  <si>
    <t>Family</t>
  </si>
  <si>
    <t>Pernille Stent</t>
  </si>
  <si>
    <t>51 Mardo Drive</t>
  </si>
  <si>
    <t>0410416005</t>
  </si>
  <si>
    <t>pernille@designbutton.net.au</t>
  </si>
  <si>
    <t>Levi Holden</t>
  </si>
  <si>
    <t>49 Mardo Drive</t>
  </si>
  <si>
    <t>0427444150</t>
  </si>
  <si>
    <t>levi.holden@optusnet.com.au</t>
  </si>
  <si>
    <t>Matt &amp; Kate Shaw</t>
  </si>
  <si>
    <t>47 Mardo Drive</t>
  </si>
  <si>
    <t>0428088590</t>
  </si>
  <si>
    <t>0431001084</t>
  </si>
  <si>
    <t>shaw76@hotmail.co.uk</t>
  </si>
  <si>
    <t>Peter Froehlich &amp; Lydia Walzel</t>
  </si>
  <si>
    <t>45 Mardo Drive</t>
  </si>
  <si>
    <t>Symo 10.0</t>
  </si>
  <si>
    <t>0418946078</t>
  </si>
  <si>
    <t>0419928925</t>
  </si>
  <si>
    <t>Priscila Goncalves</t>
  </si>
  <si>
    <t>43 Mardo Drive</t>
  </si>
  <si>
    <t>0475716267</t>
  </si>
  <si>
    <t>0475716400</t>
  </si>
  <si>
    <t>diego.barneche@ymail.com</t>
  </si>
  <si>
    <t>Jeﬀ &amp; Jo Thierfelder</t>
  </si>
  <si>
    <t>41 Mardo Drive</t>
  </si>
  <si>
    <t>0409770316</t>
  </si>
  <si>
    <t>0421589548</t>
  </si>
  <si>
    <t>jeﬀ.thierfelder@iinet.net.au</t>
  </si>
  <si>
    <t>Libby Davy</t>
  </si>
  <si>
    <t>3 Mannitj Place</t>
  </si>
  <si>
    <t>0413993452</t>
  </si>
  <si>
    <t>libby@humanbells.com</t>
  </si>
  <si>
    <t>Henry &amp; Jo Weldon</t>
  </si>
  <si>
    <t>5 Mannitj Place</t>
  </si>
  <si>
    <t>0407076552</t>
  </si>
  <si>
    <t>0407388196</t>
  </si>
  <si>
    <t>henryweldon90@gmail.com</t>
  </si>
  <si>
    <t>Liz Kirk</t>
  </si>
  <si>
    <t>7 Mannitj Place</t>
  </si>
  <si>
    <t>V</t>
  </si>
  <si>
    <t>0408751379</t>
  </si>
  <si>
    <t>lizk@beyondergo.com.au</t>
  </si>
  <si>
    <t>9 Mannitj Place</t>
  </si>
  <si>
    <t>0493385725</t>
  </si>
  <si>
    <t>Groupie</t>
  </si>
  <si>
    <t>Elke Light</t>
  </si>
  <si>
    <t>30 Kulbardi Way</t>
  </si>
  <si>
    <t>0439968661</t>
  </si>
  <si>
    <t>lightelke@gmail.com</t>
  </si>
  <si>
    <t>Deborah Woodman</t>
  </si>
  <si>
    <t>28 Kulbardi Way</t>
  </si>
  <si>
    <t>0456121155</t>
  </si>
  <si>
    <t>woodmandj55@gmail.com</t>
  </si>
  <si>
    <t>Carrie &amp; Warrick Goldsmith</t>
  </si>
  <si>
    <t>26 Kulbardi Way</t>
  </si>
  <si>
    <t>0499270453</t>
  </si>
  <si>
    <t>0447110831</t>
  </si>
  <si>
    <t>carrieandwarrick@gmail.com</t>
  </si>
  <si>
    <t>Clyde Huxtable</t>
  </si>
  <si>
    <t>24 Kulbardi Way</t>
  </si>
  <si>
    <t>0406351722</t>
  </si>
  <si>
    <t>hotfire1948@hotmail.com</t>
  </si>
  <si>
    <t>Helen Rose</t>
  </si>
  <si>
    <t>22 Kulbardi Way</t>
  </si>
  <si>
    <t>0437445630</t>
  </si>
  <si>
    <t>rosebunch5@gmail.com</t>
  </si>
  <si>
    <t>BESS</t>
  </si>
  <si>
    <t>BESS Powerpack 232kWh</t>
  </si>
  <si>
    <t>EV</t>
  </si>
  <si>
    <t>N/A</t>
  </si>
  <si>
    <t>EV Charger</t>
  </si>
  <si>
    <t>CS</t>
  </si>
  <si>
    <t>Common Services MSB</t>
  </si>
  <si>
    <t>DB1</t>
  </si>
  <si>
    <t>DB2</t>
  </si>
  <si>
    <t>Susan Gibson</t>
  </si>
  <si>
    <t>78 Kulbardi Way</t>
  </si>
  <si>
    <t>Karen Majer &amp; Boyd Wykes</t>
  </si>
  <si>
    <t>76 Kulbardi Way</t>
  </si>
  <si>
    <t>Susan Hardy</t>
  </si>
  <si>
    <t>74 Kulbardi Way</t>
  </si>
  <si>
    <t>Jennie McCormack</t>
  </si>
  <si>
    <t>72 Kulbardi Way</t>
  </si>
  <si>
    <t>Michael &amp; Britta Sorensen</t>
  </si>
  <si>
    <t>70 Kulbardi Way</t>
  </si>
  <si>
    <t>Toni Aslett</t>
  </si>
  <si>
    <t>68 Kulbardi Way</t>
  </si>
  <si>
    <t>Bridget Bolitho</t>
  </si>
  <si>
    <t>66 Kulbardi Way</t>
  </si>
  <si>
    <t>Shereen &amp; Hamish Jolly</t>
  </si>
  <si>
    <t>64 Kulbardi Way</t>
  </si>
  <si>
    <t>Symo 6.0</t>
  </si>
  <si>
    <t>Phillip Crockford &amp; Wendy Davis</t>
  </si>
  <si>
    <t>62 Kulbardi Way</t>
  </si>
  <si>
    <t>Stefan &amp; Jennifer Widmer</t>
  </si>
  <si>
    <t>60 Kulbardi Way</t>
  </si>
  <si>
    <t>Hannah &amp; Peter Flack</t>
  </si>
  <si>
    <t>58 Kulbardi Way</t>
  </si>
  <si>
    <t>Paul &amp; Nicole Wilkinson</t>
  </si>
  <si>
    <t>56 Kulbardi Way</t>
  </si>
  <si>
    <t>Stephen &amp; Dicy Hall</t>
  </si>
  <si>
    <t>54 Kulbardi Way</t>
  </si>
  <si>
    <t>Craig &amp; Julie Headford</t>
  </si>
  <si>
    <t>52 Kulbardi Way</t>
  </si>
  <si>
    <t>Jema McCabe</t>
  </si>
  <si>
    <t>18 Yornitj Grove</t>
  </si>
  <si>
    <t>Colin &amp; Filomena Dear</t>
  </si>
  <si>
    <t>20 Yornitj Grove</t>
  </si>
  <si>
    <t>Candice &amp; Bryn Papalia</t>
  </si>
  <si>
    <t>22 Yornitj Grove</t>
  </si>
  <si>
    <t>Chloe Dignam</t>
  </si>
  <si>
    <t>24 Yornitj Grove</t>
  </si>
  <si>
    <t>Alex Jolly</t>
  </si>
  <si>
    <t>26 Yornitj Grove</t>
  </si>
  <si>
    <t>Nathan Stone</t>
  </si>
  <si>
    <t>3 Kyloring Drive</t>
  </si>
  <si>
    <t>Fam ily</t>
  </si>
  <si>
    <t>Nicholas Mead &amp; Theresa Brandl</t>
  </si>
  <si>
    <t>5 Kyloring Drive</t>
  </si>
  <si>
    <t>Aron Dyer
Jodie Passmore</t>
  </si>
  <si>
    <t>19 Yornitj Grove</t>
  </si>
  <si>
    <t xml:space="preserve"> Witchcliffe</t>
  </si>
  <si>
    <t xml:space="preserve"> WA</t>
  </si>
  <si>
    <t>Eli Sutton</t>
  </si>
  <si>
    <t>21 Yornitj Grove</t>
  </si>
  <si>
    <t>Shelley Chapman
Cherry Chapman</t>
  </si>
  <si>
    <t>23 Yornitj Grove</t>
  </si>
  <si>
    <t>Jillian Ann Luckhurst</t>
  </si>
  <si>
    <t>25 Yornitj Grove</t>
  </si>
  <si>
    <t>Samuel Vinciullo</t>
  </si>
  <si>
    <t>27 Yornitj Grove</t>
  </si>
  <si>
    <t xml:space="preserve">Christopher Paul Martin
Vicki Ann Martin </t>
  </si>
  <si>
    <t>4 Mannitj Place</t>
  </si>
  <si>
    <t>Dex Ezekiel,
Jeannine Penniment</t>
  </si>
  <si>
    <t>6 Mannitj Place</t>
  </si>
  <si>
    <t>UC/M/ND</t>
  </si>
  <si>
    <t>Eric Martini 
Karina Jean Martini</t>
  </si>
  <si>
    <t>8 Mannitj Place</t>
  </si>
  <si>
    <t>Christopher van Etten
Emmanuelle van Etten</t>
  </si>
  <si>
    <t>10 Mannitj Place</t>
  </si>
  <si>
    <t>Peter Smith</t>
  </si>
  <si>
    <t>32 Kulbardi Way</t>
  </si>
  <si>
    <t>Peter Andre Grant</t>
  </si>
  <si>
    <t>34 Kulbardi Way</t>
  </si>
  <si>
    <t>Sandra Handy</t>
  </si>
  <si>
    <t>36 Kulbardi Way</t>
  </si>
  <si>
    <t>Miles Durand</t>
  </si>
  <si>
    <t>38 Kulbardi Way</t>
  </si>
  <si>
    <t>Lawrence Bycroft
Anu Grace</t>
  </si>
  <si>
    <t>40 Kulbardi Way</t>
  </si>
  <si>
    <t>Kaine Grigg (Hudson)</t>
  </si>
  <si>
    <t>50 Kulbardi Way</t>
  </si>
  <si>
    <t>Veronique Florec</t>
  </si>
  <si>
    <t>48 Kulbardi Way</t>
  </si>
  <si>
    <t>Lars Rueter
Katja Blankenheim</t>
  </si>
  <si>
    <t>46 Kulbardi Way</t>
  </si>
  <si>
    <t>Amy Steel</t>
  </si>
  <si>
    <t>44 Kulbardi Way</t>
  </si>
  <si>
    <t>Laurence Hansen
Janet Anne Hansen</t>
  </si>
  <si>
    <t>42 Kulbardi Way</t>
  </si>
  <si>
    <t>10437 Bussell Hwy</t>
  </si>
  <si>
    <t>Megan Donald &amp; Yehuda Harmor</t>
  </si>
  <si>
    <t xml:space="preserve"> 15 Kulbardi Way </t>
  </si>
  <si>
    <t xml:space="preserve">0499 838 958 </t>
  </si>
  <si>
    <t xml:space="preserve"> 0499 838 830</t>
  </si>
  <si>
    <t>tinymegan68@gmail.com</t>
  </si>
  <si>
    <t>LK &amp; MD Hynes</t>
  </si>
  <si>
    <t xml:space="preserve"> 13 Kulbardi Way </t>
  </si>
  <si>
    <t xml:space="preserve">0411 725 581 </t>
  </si>
  <si>
    <t xml:space="preserve"> 0478 577 554</t>
  </si>
  <si>
    <t>lyndalhynes@hotmail.com</t>
  </si>
  <si>
    <t>Paul John Baker</t>
  </si>
  <si>
    <t xml:space="preserve"> 11 Kulbardi Way </t>
  </si>
  <si>
    <t>0402 135 100</t>
  </si>
  <si>
    <t>theminiguyagain@gmail.com</t>
  </si>
  <si>
    <t>K L Geels</t>
  </si>
  <si>
    <t xml:space="preserve"> 9 Kulbardi Way </t>
  </si>
  <si>
    <t>44(0)7734364646</t>
  </si>
  <si>
    <t>kgeels@gmail.com</t>
  </si>
  <si>
    <t>B &amp; G Hamersma</t>
  </si>
  <si>
    <t xml:space="preserve"> 7 Kulbardi Way </t>
  </si>
  <si>
    <t xml:space="preserve">0416 499 424 </t>
  </si>
  <si>
    <t xml:space="preserve"> 0424 482 470</t>
  </si>
  <si>
    <t>bouwe.hamersma@gmail.com</t>
  </si>
  <si>
    <t>B &amp; G Garnett</t>
  </si>
  <si>
    <t xml:space="preserve"> 5 Kulbardi Way </t>
  </si>
  <si>
    <t>0413 209 277</t>
  </si>
  <si>
    <t>garnett635@hotmail.com</t>
  </si>
  <si>
    <t>C E Andrews &amp; Y J Marinivich</t>
  </si>
  <si>
    <t xml:space="preserve"> 3 Kulbardi Way </t>
  </si>
  <si>
    <t xml:space="preserve">0448 023 265 </t>
  </si>
  <si>
    <t xml:space="preserve"> 0488 937 149</t>
  </si>
  <si>
    <t>yurimarinovich@gmail.com</t>
  </si>
  <si>
    <t>Colin Reburn</t>
  </si>
  <si>
    <t xml:space="preserve"> 1 Kulbardi Way </t>
  </si>
  <si>
    <t>0435 204 625</t>
  </si>
  <si>
    <t>colin@kilmontinplumbing.com</t>
  </si>
  <si>
    <t>N &amp; C Haskell</t>
  </si>
  <si>
    <t xml:space="preserve"> 23 Wolghine Ave </t>
  </si>
  <si>
    <t xml:space="preserve">0478 630 993 </t>
  </si>
  <si>
    <t xml:space="preserve"> 0478 220 964</t>
  </si>
  <si>
    <t>nadia.anne@gmail.com</t>
  </si>
  <si>
    <t>Charlotte &amp; Darryl Diaz</t>
  </si>
  <si>
    <t xml:space="preserve"> 21 Wolghine Ave </t>
  </si>
  <si>
    <t xml:space="preserve">0415 506 827 </t>
  </si>
  <si>
    <t>0449 646 303</t>
  </si>
  <si>
    <t>darrylnaidu@gmail.com</t>
  </si>
  <si>
    <t>Simon Alan Naber</t>
  </si>
  <si>
    <t xml:space="preserve"> 19 Wolghine Ave </t>
  </si>
  <si>
    <t>0449 253 680</t>
  </si>
  <si>
    <t>simon@mooreandmoorecafe.com</t>
  </si>
  <si>
    <t>J S C &amp; EP Ford</t>
  </si>
  <si>
    <t xml:space="preserve"> 17 Wolghine Ave </t>
  </si>
  <si>
    <t xml:space="preserve">0414 401 059 </t>
  </si>
  <si>
    <t xml:space="preserve"> 0432 519 448</t>
  </si>
  <si>
    <t>setford.18@gmail.com</t>
  </si>
  <si>
    <t>K V Jarvis &amp; P S Davis</t>
  </si>
  <si>
    <t xml:space="preserve"> 15 Wolghine Ave </t>
  </si>
  <si>
    <t xml:space="preserve">0435 280 200 </t>
  </si>
  <si>
    <t xml:space="preserve"> 0435 280 202</t>
  </si>
  <si>
    <t>katevjarvis@hotmail.com</t>
  </si>
  <si>
    <t>A Lillend</t>
  </si>
  <si>
    <t xml:space="preserve"> 20 Mardo Drive </t>
  </si>
  <si>
    <t xml:space="preserve">0466 498 000 </t>
  </si>
  <si>
    <t xml:space="preserve"> 0449 594 479</t>
  </si>
  <si>
    <t>astisup@gmail.com</t>
  </si>
  <si>
    <t>Liz Thomas</t>
  </si>
  <si>
    <t xml:space="preserve"> 22 Mardo Drive </t>
  </si>
  <si>
    <t>0421 607 702</t>
  </si>
  <si>
    <t>ehmthomas@hotmail.com</t>
  </si>
  <si>
    <t>Helen Downsborough</t>
  </si>
  <si>
    <t xml:space="preserve"> 24 Mardo Drive </t>
  </si>
  <si>
    <t>042 883 6629</t>
  </si>
  <si>
    <t>helendownsborough@bigpond.com</t>
  </si>
  <si>
    <t>Carol Luca</t>
  </si>
  <si>
    <t xml:space="preserve"> 26 Mardo Drive </t>
  </si>
  <si>
    <t>0425 823 928</t>
  </si>
  <si>
    <t>carolluca8@icloud.com</t>
  </si>
  <si>
    <t>N Rebasti</t>
  </si>
  <si>
    <t xml:space="preserve"> 28 Mardo Drive </t>
  </si>
  <si>
    <t xml:space="preserve">0410 216 361 </t>
  </si>
  <si>
    <t xml:space="preserve"> 08 9192 7127</t>
  </si>
  <si>
    <t>nadreb@hotmail.com</t>
  </si>
  <si>
    <t>T W Oliver</t>
  </si>
  <si>
    <t xml:space="preserve"> 30 Mardo Drive </t>
  </si>
  <si>
    <t>0424 205 755</t>
  </si>
  <si>
    <t>timoliver33@gmail.com</t>
  </si>
  <si>
    <t>Zac Webb</t>
  </si>
  <si>
    <t xml:space="preserve"> 32 Mardo Drive </t>
  </si>
  <si>
    <t>0497 685 142</t>
  </si>
  <si>
    <t>waalitj_wongi@outlook.com</t>
  </si>
  <si>
    <t>Richard Parsons and Rashmi Patel</t>
  </si>
  <si>
    <t xml:space="preserve"> 34 Mardo Drive </t>
  </si>
  <si>
    <t xml:space="preserve">0411 224 572 </t>
  </si>
  <si>
    <t xml:space="preserve"> 0431 771 211</t>
  </si>
  <si>
    <t>Richard_Parsons@bigpond.com</t>
  </si>
  <si>
    <t>Katie Hemsworth &amp; Jason Godinet</t>
  </si>
  <si>
    <t xml:space="preserve"> 36 Mardo Drive </t>
  </si>
  <si>
    <t>0416 431 899</t>
  </si>
  <si>
    <t>katie.hemsworth@gmail.com</t>
  </si>
  <si>
    <t>GC &amp; SJ Ramage</t>
  </si>
  <si>
    <t xml:space="preserve"> 38 Mardo Drive </t>
  </si>
  <si>
    <t>ND</t>
  </si>
  <si>
    <t xml:space="preserve">0488 332 155 </t>
  </si>
  <si>
    <t xml:space="preserve"> 0417 495 145</t>
  </si>
  <si>
    <t>gsramage@outlook.com</t>
  </si>
  <si>
    <t>Timothy  &amp; Sandra  Sanders</t>
  </si>
  <si>
    <t>33 KULBARDI WAY</t>
  </si>
  <si>
    <t xml:space="preserve">0429 988 055 </t>
  </si>
  <si>
    <t xml:space="preserve"> 0400 917 914</t>
  </si>
  <si>
    <t>timsanns@westnet.com.au</t>
  </si>
  <si>
    <t>Rochelle &amp; Buki Cohen</t>
  </si>
  <si>
    <t>31 KULBARDI WAY</t>
  </si>
  <si>
    <t xml:space="preserve">0407 772 452 </t>
  </si>
  <si>
    <t>0484 296 701</t>
  </si>
  <si>
    <t>roebuki@gmail.com</t>
  </si>
  <si>
    <t>Catherine Keet</t>
  </si>
  <si>
    <t>29 KULBARDI WAY</t>
  </si>
  <si>
    <t>0404 833 665</t>
  </si>
  <si>
    <t>cathkeet@gmail.com</t>
  </si>
  <si>
    <t>Karen Ann Van Rompaey</t>
  </si>
  <si>
    <t>27 KULBARDI WAY</t>
  </si>
  <si>
    <t>0422 463 670</t>
  </si>
  <si>
    <t>karenvr20@gmail.com</t>
  </si>
  <si>
    <t>James Bell</t>
  </si>
  <si>
    <t>25 KULBARDI WAY</t>
  </si>
  <si>
    <t>0438 365 442</t>
  </si>
  <si>
    <t>bell.freo@icloud.com</t>
  </si>
  <si>
    <t>Nola Gaebler</t>
  </si>
  <si>
    <t>23 KULBARDI WAY</t>
  </si>
  <si>
    <t>0419 925 234</t>
  </si>
  <si>
    <t>nolagaebler@gmail.com</t>
  </si>
  <si>
    <t>Nicholas Macpherson</t>
  </si>
  <si>
    <t>21 KULBARDI WAY</t>
  </si>
  <si>
    <t>0429 908 804</t>
  </si>
  <si>
    <t>nick2skip@gmail.com</t>
  </si>
  <si>
    <t>Niall Casey &amp; Severine Robert</t>
  </si>
  <si>
    <t>19 KULBARDI WAY</t>
  </si>
  <si>
    <t xml:space="preserve">0477 371 203 </t>
  </si>
  <si>
    <t xml:space="preserve"> 0411 691 718</t>
  </si>
  <si>
    <t>severinarobert@gmail.com</t>
  </si>
  <si>
    <t>Greg Harrison &amp; Koon Phua</t>
  </si>
  <si>
    <t>17 KULBARDI WAY</t>
  </si>
  <si>
    <t xml:space="preserve">0468 325 002 </t>
  </si>
  <si>
    <t xml:space="preserve"> 0430 987 651</t>
  </si>
  <si>
    <t>letitbmail@gmail.com</t>
  </si>
  <si>
    <t>Alison Askew</t>
  </si>
  <si>
    <t>37 MARDO DRIVE</t>
  </si>
  <si>
    <t>0430 162 767</t>
  </si>
  <si>
    <t>alisonaskew123@gmail.com</t>
  </si>
  <si>
    <t>Simon Clough</t>
  </si>
  <si>
    <t>35 MARDO DRIVE</t>
  </si>
  <si>
    <t>0451 357 578</t>
  </si>
  <si>
    <t>kpkela@gmail.com</t>
  </si>
  <si>
    <t>Alexey Krasov &amp; Yulia Tyutyunnikova</t>
  </si>
  <si>
    <t>33 MARDO DRIVE</t>
  </si>
  <si>
    <t>0449 712 367</t>
  </si>
  <si>
    <t>mail@jennydunlop.com</t>
  </si>
  <si>
    <t>Kylie Nettleton</t>
  </si>
  <si>
    <t>31 MARDO DRIVE</t>
  </si>
  <si>
    <t>0433 337 752</t>
  </si>
  <si>
    <t>nettletonkylie@gmail.com</t>
  </si>
  <si>
    <t>21 MARDO DRIVE</t>
  </si>
  <si>
    <t xml:space="preserve">0437 286 429 </t>
  </si>
  <si>
    <t xml:space="preserve"> 0409 831 458</t>
  </si>
  <si>
    <t>britta@sorensenarchitects.com.au</t>
  </si>
  <si>
    <t>Tegan Robertson</t>
  </si>
  <si>
    <t>23 MARDO DRIVE</t>
  </si>
  <si>
    <t>0411 498 871</t>
  </si>
  <si>
    <t>tegan.jayne.robertson@gmail.com</t>
  </si>
  <si>
    <t>Megan Smythe</t>
  </si>
  <si>
    <t>25 MARDO DRIVE</t>
  </si>
  <si>
    <t>0448 250 776</t>
  </si>
  <si>
    <t>megan_smythe@hotmail.com</t>
  </si>
  <si>
    <t>Matthew Groom</t>
  </si>
  <si>
    <t>27 MARDO DRIVE</t>
  </si>
  <si>
    <t>0490 258 941</t>
  </si>
  <si>
    <t>matt@othersideproperty.com.au</t>
  </si>
  <si>
    <t>Mark Tupman</t>
  </si>
  <si>
    <t>29 MARDO DRIVE</t>
  </si>
  <si>
    <t>0406 962 984</t>
  </si>
  <si>
    <t>tijanahfahie@yahoo.com.au</t>
  </si>
  <si>
    <t>Michelle Sheridan</t>
  </si>
  <si>
    <t>21 MANNITJ PLACE</t>
  </si>
  <si>
    <t xml:space="preserve">0457 271 128 </t>
  </si>
  <si>
    <t>shelle@ecovillage.net.au</t>
  </si>
  <si>
    <t>Chris Twomey &amp; Rachel Siewert</t>
  </si>
  <si>
    <t>19 MANNITJ PLACE</t>
  </si>
  <si>
    <t xml:space="preserve">0407 725 025 </t>
  </si>
  <si>
    <t xml:space="preserve"> 0419 914 424 </t>
  </si>
  <si>
    <t>chris@wacoss.org.au</t>
  </si>
  <si>
    <t>Karen Millar</t>
  </si>
  <si>
    <t>17 MANNITJ PLACE</t>
  </si>
  <si>
    <t xml:space="preserve">0439 937 533 </t>
  </si>
  <si>
    <t xml:space="preserve"> 0428 853 555</t>
  </si>
  <si>
    <t>karenmil@bigpond.net.au</t>
  </si>
  <si>
    <t>Eduardo and Emily Oliveira</t>
  </si>
  <si>
    <t>15 MANNITJ PLACE</t>
  </si>
  <si>
    <t xml:space="preserve">0436 818 924 </t>
  </si>
  <si>
    <t xml:space="preserve"> 0487 884 820</t>
  </si>
  <si>
    <t>emsoliveira@outlook.com</t>
  </si>
  <si>
    <t>Annie McBeath</t>
  </si>
  <si>
    <t>15 Mardo Drive</t>
  </si>
  <si>
    <t>0416 022 279</t>
  </si>
  <si>
    <t>annimcb@gmail.com</t>
  </si>
  <si>
    <t>Bianca &amp; Drasko Jankovic</t>
  </si>
  <si>
    <t>13 Mardo Drive</t>
  </si>
  <si>
    <t>0450 941 480</t>
  </si>
  <si>
    <t>bbee@iinet.net.au</t>
  </si>
  <si>
    <t>Victoria J Kennedy</t>
  </si>
  <si>
    <t>11 Mardo Drive</t>
  </si>
  <si>
    <t>0424 694 083</t>
  </si>
  <si>
    <t>victoria.j.kennedy@outlook.com</t>
  </si>
  <si>
    <t>Patricia Anne Dunlop</t>
  </si>
  <si>
    <t>9 Balagarra Lane</t>
  </si>
  <si>
    <t xml:space="preserve">0423 339 176 </t>
  </si>
  <si>
    <t>Denise Klemm</t>
  </si>
  <si>
    <t>7 Balagarra Lane</t>
  </si>
  <si>
    <t>0428 439 099</t>
  </si>
  <si>
    <t>dklemm99@gmail.com</t>
  </si>
  <si>
    <t>Joanne Tastula</t>
  </si>
  <si>
    <t>5 Balagarra Lane</t>
  </si>
  <si>
    <t>0401 153 770</t>
  </si>
  <si>
    <t>jtastula1@me.com</t>
  </si>
  <si>
    <t>Sharon Tulp &amp; Michael Johnson</t>
  </si>
  <si>
    <t>3 Balagarra Lane</t>
  </si>
  <si>
    <t xml:space="preserve">0437 957 575 </t>
  </si>
  <si>
    <t>sharon.tulp@gmail.com</t>
  </si>
  <si>
    <t>Andrew &amp; Rachel Clough</t>
  </si>
  <si>
    <t>1 Balagarra Lane</t>
  </si>
  <si>
    <t>0428 104 411</t>
  </si>
  <si>
    <t>andreclo@convera.com</t>
  </si>
  <si>
    <t>Jenny &amp; Brian Gilbert</t>
  </si>
  <si>
    <t>4 Karrack Cr</t>
  </si>
  <si>
    <t xml:space="preserve">0423 197 127 </t>
  </si>
  <si>
    <t>jgilbert@global.net.au</t>
  </si>
  <si>
    <t>Karen Sharland &amp; David Lambie</t>
  </si>
  <si>
    <t>6 Karrack Cr</t>
  </si>
  <si>
    <t>0434 671 920</t>
  </si>
  <si>
    <t>klambie1965@gmail.com</t>
  </si>
  <si>
    <t xml:space="preserve">Emma &amp; Heath Daly </t>
  </si>
  <si>
    <t>8 Karrack Cr</t>
  </si>
  <si>
    <t>0432 966 933</t>
  </si>
  <si>
    <t>emmandaly@gmail.com</t>
  </si>
  <si>
    <t xml:space="preserve">Claire Burnet </t>
  </si>
  <si>
    <t>10 Karrack Cr</t>
  </si>
  <si>
    <t>0448 585 947</t>
  </si>
  <si>
    <t>groovynative@gmail.com</t>
  </si>
  <si>
    <t>Katie Wilkinson and Matthew Blackwell</t>
  </si>
  <si>
    <t>12 Karrack Cr</t>
  </si>
  <si>
    <t>mojomatt11@yahoo.com.au</t>
  </si>
  <si>
    <t>Trent &amp; Jasmin Hinton</t>
  </si>
  <si>
    <t>14 Karrack Cr</t>
  </si>
  <si>
    <t>0430 201 089</t>
  </si>
  <si>
    <t>jas_michelle_andrew@hotmail.com</t>
  </si>
  <si>
    <t>Elaine Clocherty</t>
  </si>
  <si>
    <t>16 Karrack Cr</t>
  </si>
  <si>
    <t>0408 097 803</t>
  </si>
  <si>
    <t>Hans-Peter Marschner &amp; Leanne Wood</t>
  </si>
  <si>
    <t>18 Karrack Cr</t>
  </si>
  <si>
    <t xml:space="preserve">0410 365 673 </t>
  </si>
  <si>
    <t>petermar888@proton.me</t>
  </si>
  <si>
    <t>Darren  Fletcher</t>
  </si>
  <si>
    <t>20 Karrack Cr</t>
  </si>
  <si>
    <t>0499 439 587</t>
  </si>
  <si>
    <t>shivashaktimoon@icloud.com</t>
  </si>
  <si>
    <t>Amy Matheson &amp; Jethro Hardinge</t>
  </si>
  <si>
    <t>22 Karrack Cr</t>
  </si>
  <si>
    <t>0433 938 494</t>
  </si>
  <si>
    <t>a_matheson@fastmail.com</t>
  </si>
  <si>
    <t>Janice Ethel Moore</t>
  </si>
  <si>
    <t>24 Karrack Cr</t>
  </si>
  <si>
    <t>0416 745 300</t>
  </si>
  <si>
    <t>janmoore8@outlook.com</t>
  </si>
  <si>
    <t>Gillian &amp; Mark Moore</t>
  </si>
  <si>
    <t>26 Karrack Cr</t>
  </si>
  <si>
    <t>0409 079 258</t>
  </si>
  <si>
    <t>C2G6@proton.me</t>
  </si>
  <si>
    <t>Ian and Amy Grogan</t>
  </si>
  <si>
    <t>28 Karrack Cr</t>
  </si>
  <si>
    <t>+974 3379 0607</t>
  </si>
  <si>
    <t>ian.grogan@icloud.com</t>
  </si>
  <si>
    <t>Heather Collins</t>
  </si>
  <si>
    <t>30 Karrack Cr</t>
  </si>
  <si>
    <t>0422 262 935</t>
  </si>
  <si>
    <t>heathermarcollins@yahoo.com.au</t>
  </si>
  <si>
    <t>Michelle &amp; Mark Hansel</t>
  </si>
  <si>
    <t>32 Karrack Cr</t>
  </si>
  <si>
    <t xml:space="preserve">0431 007 876 </t>
  </si>
  <si>
    <t>markrhansel@gmail.com</t>
  </si>
  <si>
    <t>Jane Hammond &amp; Shane French</t>
  </si>
  <si>
    <t>34 Karrack Cr</t>
  </si>
  <si>
    <t>0403 926 467</t>
  </si>
  <si>
    <t>janehammondfreelance@gmail.com</t>
  </si>
  <si>
    <t>Alison Valerie Wylie</t>
  </si>
  <si>
    <t>36 Karrack Cr</t>
  </si>
  <si>
    <t>0490 434 688</t>
  </si>
  <si>
    <t>swylie521@gmail.com</t>
  </si>
  <si>
    <t>Fiona Davey &amp; John Bowman</t>
  </si>
  <si>
    <t>38 Karrack Cr</t>
  </si>
  <si>
    <t>0499 739 981</t>
  </si>
  <si>
    <t>uluwatu.bowman@gmail.com</t>
  </si>
  <si>
    <t>Christine Randall</t>
  </si>
  <si>
    <t>40 Karrack Cr</t>
  </si>
  <si>
    <t>0407 407 360</t>
  </si>
  <si>
    <t>christinerandall8@gmail.com</t>
  </si>
  <si>
    <t>Pernar Properties Pty Ltd Atf The Pernar Family Trust</t>
  </si>
  <si>
    <t>11 Wannang Lane</t>
  </si>
  <si>
    <t>Vacant</t>
  </si>
  <si>
    <t>0438 454 435</t>
  </si>
  <si>
    <t>roger@pernar.com</t>
  </si>
  <si>
    <t>George H &amp; Carol Ann Greenwell</t>
  </si>
  <si>
    <t>9 WANNANG LANE</t>
  </si>
  <si>
    <t>UC/ Dec' 24</t>
  </si>
  <si>
    <t xml:space="preserve">0403 550 008 </t>
  </si>
  <si>
    <t xml:space="preserve"> 0405 569 194</t>
  </si>
  <si>
    <t>ggreenwell2@outlook.com</t>
  </si>
  <si>
    <t>Sarah L Hewer &amp; Max Brearley</t>
  </si>
  <si>
    <t>7 WANNANG LANE</t>
  </si>
  <si>
    <t xml:space="preserve">0478 637 632 </t>
  </si>
  <si>
    <t xml:space="preserve"> 0478 630 887</t>
  </si>
  <si>
    <t>sarahhewer@me.com</t>
  </si>
  <si>
    <t>Bronwyn EDWARDS</t>
  </si>
  <si>
    <t>5 WANNANG LANE</t>
  </si>
  <si>
    <t>0423 889 083</t>
  </si>
  <si>
    <t>bronwyn_edwards@yahoo.com.au</t>
  </si>
  <si>
    <t>Hans &amp; Dagmar Van Diest</t>
  </si>
  <si>
    <t>3 WANNANG LANE</t>
  </si>
  <si>
    <t>0429 518 152</t>
  </si>
  <si>
    <t>hansendagmarvandiest@gmail.com</t>
  </si>
  <si>
    <t>Bruno Angeli &amp; Gisella Galloni</t>
  </si>
  <si>
    <t xml:space="preserve">0403 408 903 </t>
  </si>
  <si>
    <t>brunomartinangeli09@gmail.com</t>
  </si>
  <si>
    <t>Claire Elise Hewer &amp; Laith Tapper</t>
  </si>
  <si>
    <t>1 WANNANG LANE</t>
  </si>
  <si>
    <t>0466 877 967</t>
  </si>
  <si>
    <t>clairehewer@hotmail.com</t>
  </si>
  <si>
    <t>Karen M Kotze</t>
  </si>
  <si>
    <t>75 KARRACK CRESCENT</t>
  </si>
  <si>
    <t>0408 880 219</t>
  </si>
  <si>
    <t>karenkotze@outlook.com</t>
  </si>
  <si>
    <t>Tim James &amp; Kelly Marrie Thomson</t>
  </si>
  <si>
    <t>73 KARRACK CRESCENT</t>
  </si>
  <si>
    <t xml:space="preserve">0409 371 320 </t>
  </si>
  <si>
    <t xml:space="preserve"> 0439 829 784</t>
  </si>
  <si>
    <t>Alistar &amp; Sarah Bax</t>
  </si>
  <si>
    <t>71 KARRACK CRESCENT</t>
  </si>
  <si>
    <t xml:space="preserve">0412 353 713 </t>
  </si>
  <si>
    <t xml:space="preserve"> 0422 125 939</t>
  </si>
  <si>
    <t>family@sarahbax.com</t>
  </si>
  <si>
    <t>Annemarie and Andrew Wilson</t>
  </si>
  <si>
    <t>69 KARRACK CRESCENT</t>
  </si>
  <si>
    <t>0439 339 327</t>
  </si>
  <si>
    <t>msannieawilson@gmail.com</t>
  </si>
  <si>
    <t>Pauline Amez-Droz</t>
  </si>
  <si>
    <t>67 KARRACK CRESCENT</t>
  </si>
  <si>
    <t>0472 734 003</t>
  </si>
  <si>
    <t>pamezdroz@protonmail.com</t>
  </si>
  <si>
    <t>Jamie Wilkinson and Fiona Skoglund</t>
  </si>
  <si>
    <t>65 KARRACK CRESCENT</t>
  </si>
  <si>
    <t xml:space="preserve">0401 246 001 </t>
  </si>
  <si>
    <t xml:space="preserve"> 0437 005 403</t>
  </si>
  <si>
    <t>fiona_skoglund@hotmail.com</t>
  </si>
  <si>
    <t>Amanda  Garland &amp; Jason McHattan</t>
  </si>
  <si>
    <t>63 KARRACK CRESCENT</t>
  </si>
  <si>
    <t xml:space="preserve">0421 616 121 </t>
  </si>
  <si>
    <t xml:space="preserve"> 0407 075 750</t>
  </si>
  <si>
    <t>Oct 24</t>
  </si>
  <si>
    <t>Dane Mason &amp; Marlies Martensen</t>
  </si>
  <si>
    <t>61 KARRACK CRESCENT</t>
  </si>
  <si>
    <t xml:space="preserve">0477 032 033 </t>
  </si>
  <si>
    <t xml:space="preserve"> 0412 041 470</t>
  </si>
  <si>
    <t>danemichaelmason@gmail.com</t>
  </si>
  <si>
    <t>Kay Elizabeth Leftwich</t>
  </si>
  <si>
    <t>51 KARRACK CRESCENT</t>
  </si>
  <si>
    <t>0439 968 795</t>
  </si>
  <si>
    <t>riderlefty@gmail.com</t>
  </si>
  <si>
    <t>Lauren Parker</t>
  </si>
  <si>
    <t>53 KARRACK CRESCENT</t>
  </si>
  <si>
    <t>0401 932 390</t>
  </si>
  <si>
    <t>laurensparker@outlook.com</t>
  </si>
  <si>
    <t>Lorna Pedroni</t>
  </si>
  <si>
    <t>55 KARRACK CRESCENT</t>
  </si>
  <si>
    <t>0476 721 889</t>
  </si>
  <si>
    <t xml:space="preserve">riverlcp@gmail.com </t>
  </si>
  <si>
    <t>Joshua L Burke</t>
  </si>
  <si>
    <t>57 KARRACK CRESCENT</t>
  </si>
  <si>
    <t>0424 954 574</t>
  </si>
  <si>
    <t>meish.b98@gmail.com</t>
  </si>
  <si>
    <t>Chloe J Lovelidge</t>
  </si>
  <si>
    <t>59 KARRACK CRESCENT</t>
  </si>
  <si>
    <t xml:space="preserve">0407 952 58 </t>
  </si>
  <si>
    <t xml:space="preserve"> 0431 604 408</t>
  </si>
  <si>
    <t xml:space="preserve">Chloe_lovelidge@hotmail.com </t>
  </si>
  <si>
    <t>Year</t>
  </si>
  <si>
    <t>Month</t>
  </si>
  <si>
    <t>Consumption_kWh</t>
  </si>
  <si>
    <t>Export_kWh</t>
  </si>
  <si>
    <t>Amanda_consumption_incl_GST</t>
  </si>
  <si>
    <t>Amanda_export_buyback_incl_GST</t>
  </si>
  <si>
    <t>Daily_Supply_incl_GST</t>
  </si>
  <si>
    <t>Other_Fees_incl_GST</t>
  </si>
  <si>
    <t>Total_incl_GST</t>
  </si>
  <si>
    <t>01</t>
  </si>
  <si>
    <t>02</t>
  </si>
  <si>
    <t>03</t>
  </si>
  <si>
    <t>3C</t>
  </si>
  <si>
    <t>1/2/2024</t>
  </si>
  <si>
    <t>1/5/2024</t>
  </si>
  <si>
    <t>1/8/2024</t>
  </si>
  <si>
    <t>1/10/2024</t>
  </si>
  <si>
    <t>9/10/2024</t>
  </si>
  <si>
    <t>1/1/2025</t>
  </si>
  <si>
    <t>1/3/2025</t>
  </si>
  <si>
    <t>01/04/2025</t>
  </si>
  <si>
    <t>01/05/2025</t>
  </si>
  <si>
    <t>P2P Charge Rate (Inc. GST)</t>
  </si>
  <si>
    <t>P2P Export Rate (Inc. GST)</t>
  </si>
  <si>
    <t>Common Charge Rate (Inc. GST)</t>
  </si>
  <si>
    <t>Grid Import Rate (Inc. GST)</t>
  </si>
  <si>
    <t>Grid Export Rate (Inc. GST)</t>
  </si>
  <si>
    <t>EV Charger Sale to consumer Rate (Inc. GST)</t>
  </si>
  <si>
    <t>Chargefox Commission take on EV Consumption % (Inc. GST)</t>
  </si>
  <si>
    <t>Chargefox Commission (Inc GST)</t>
  </si>
  <si>
    <t>P2P Energy Invasion Charge (Inc. GST)</t>
  </si>
  <si>
    <t>P2P Energy Borrow Revenue (Inc. GST)</t>
  </si>
  <si>
    <t>P2P rate for lots with no export (Inc. GST)</t>
  </si>
  <si>
    <t>c/kWh</t>
  </si>
  <si>
    <t>$/kWh</t>
  </si>
  <si>
    <t>SwitchdIn Cost ($ inc. GST)</t>
  </si>
  <si>
    <t>Chargefox Daily Supply Charge/cluster</t>
  </si>
  <si>
    <t>Element47 Embedded Network Daily Supply Charges</t>
  </si>
  <si>
    <t>$/yr</t>
  </si>
  <si>
    <t>$/day</t>
  </si>
  <si>
    <t>Element47 Invoicing Fee</t>
  </si>
  <si>
    <t>$/Invoice</t>
  </si>
  <si>
    <t>billing period</t>
  </si>
  <si>
    <t>Number of Days</t>
  </si>
  <si>
    <t>Import data</t>
  </si>
  <si>
    <t xml:space="preserve">Consumption Energy </t>
  </si>
  <si>
    <t xml:space="preserve">Battery Loss and common services </t>
  </si>
  <si>
    <t>Export data</t>
  </si>
  <si>
    <t>EV Charger Reconcillation</t>
  </si>
  <si>
    <t>Combined</t>
  </si>
  <si>
    <t>Name</t>
  </si>
  <si>
    <t>Meter Numbers</t>
  </si>
  <si>
    <t>Percentage of Unit Entitlement (%)</t>
  </si>
  <si>
    <t>Amanda Energy Daily Supply Charge ($)</t>
  </si>
  <si>
    <t>Amanda Energy Daily Supply Charge ($)2</t>
  </si>
  <si>
    <t>Amanda Energy Daily Supply Charge ($)3</t>
  </si>
  <si>
    <t>Amanda Energy Other fees ($)</t>
  </si>
  <si>
    <t>SwitchdIn Cost Daily Supply Charge ($)</t>
  </si>
  <si>
    <t>Chargefox Daily Supply Charge ($)</t>
  </si>
  <si>
    <t>Element47 Embedded Network Invoicing Fees</t>
  </si>
  <si>
    <t>Total supply</t>
  </si>
  <si>
    <t>1st day of reporting period: import</t>
  </si>
  <si>
    <t>Last day of reporting period: import</t>
  </si>
  <si>
    <t>Total Consumption Import  (kWh)</t>
  </si>
  <si>
    <t>Total Daily Average Consumptio for Billing Period (kWh)</t>
  </si>
  <si>
    <t>Percentage of Total Import for Billing Period (%)</t>
  </si>
  <si>
    <t>Daily Battery allowance based on UE% (kWh)</t>
  </si>
  <si>
    <t>Applicable Battery Allowance Daily Consumption (kWh)</t>
  </si>
  <si>
    <t>Unused Daily Allowance (kWh)</t>
  </si>
  <si>
    <t>Unused Daily Allowance %</t>
  </si>
  <si>
    <t>P2P Import Consumption within Battery Allowance(kWh)</t>
  </si>
  <si>
    <t>Energy Exceeding Battery Allowance (kWh)</t>
  </si>
  <si>
    <t>Energy Exceeding Battery Allowance %</t>
  </si>
  <si>
    <t>Total Cluster Energy Balance for P2P Trading (kWh)</t>
  </si>
  <si>
    <t>P2P Import Consumption over Battery Allowance based on Energy Exceeding Allowance % (kWh)</t>
  </si>
  <si>
    <t>Total P2P import (kWh)</t>
  </si>
  <si>
    <t>Energy Import from Grid (kWh)</t>
  </si>
  <si>
    <t>P2P import%</t>
  </si>
  <si>
    <t>Cluster's Total Battery Loss (kWh)</t>
  </si>
  <si>
    <t>Axillary Battery Losses based upon P2P import % (kWh)</t>
  </si>
  <si>
    <t>Cluster's Total Common Services (kWh)</t>
  </si>
  <si>
    <t>Common Services based on Split per Unit Entitlement % to battery (kWh)</t>
  </si>
  <si>
    <t>Axillary Battery Loss Charges at P2P Rates based upon P2P import % ($)</t>
  </si>
  <si>
    <t>Common Services Cost Split per Unit Entitlement at P2P rate ($)</t>
  </si>
  <si>
    <t>P2P Import Cost ($)</t>
  </si>
  <si>
    <t>Exceeding Battery Allowance P2P Fee ($)</t>
  </si>
  <si>
    <t>Import From Grid Cost ($)</t>
  </si>
  <si>
    <t>Total Consumption Cost/Lot</t>
  </si>
  <si>
    <t>1st day of reporting period: export</t>
  </si>
  <si>
    <t>Last day of reporting period: export</t>
  </si>
  <si>
    <t>Total Lot Export (kWh)</t>
  </si>
  <si>
    <t>Percentage of Total export for Billing Period (%)</t>
  </si>
  <si>
    <t>Total Energy Export P2P to battery (kWh)</t>
  </si>
  <si>
    <t>Total Cluster Energy Balance for P2P Trading (kWh)2</t>
  </si>
  <si>
    <t>Borrowed Allowance Based on Unused Daily Allowance % (kWh)</t>
  </si>
  <si>
    <t>Axillary Battery Losses based upon Adjusted % total export (kWh)</t>
  </si>
  <si>
    <t>Common Service based upon % total export to battery (kWh)</t>
  </si>
  <si>
    <t>EV Charger based upon % total export to battery (kWh)</t>
  </si>
  <si>
    <t>Therotical Energy Export to Grid (kWh)</t>
  </si>
  <si>
    <t>Energy Losses When Export to Grid (kWh)</t>
  </si>
  <si>
    <t>Energy Losses When Export to Grid based up % total export (kWh)</t>
  </si>
  <si>
    <t>Energy Export to Grid after Losses (kWh)</t>
  </si>
  <si>
    <t>Axillary Battery Losses based upon % total export  ($)</t>
  </si>
  <si>
    <t>Common Service Earning based upon % total export to Load ($)</t>
  </si>
  <si>
    <t>EV Charger based upon % total export ($)</t>
  </si>
  <si>
    <t>P2P Export Earnings ($)</t>
  </si>
  <si>
    <t>Passive Compensation ($)</t>
  </si>
  <si>
    <t>Grid Export Earnings ($)</t>
  </si>
  <si>
    <t>Total Export Earnings Per Lot After P2P Battery Energy Storage and Use ($)</t>
  </si>
  <si>
    <t>EV Charger Income from Sales Equitable Distribution on UE ($)</t>
  </si>
  <si>
    <t>Chargefox Commission on EV Charge Consumption Sales Cost Split by Unit Entitlement ($)</t>
  </si>
  <si>
    <t>EV Charger Cost of Electricity Supply at P2P Rates ($)</t>
  </si>
  <si>
    <t>Total EV Charger Operating Cost ($)</t>
  </si>
  <si>
    <t>Total EV Charger Revenue ($)</t>
  </si>
  <si>
    <t>EV Charger Profit per lot owner ($)</t>
  </si>
  <si>
    <t>Energy Invoice Total Charges or Revenue $</t>
  </si>
  <si>
    <t>Date issued</t>
  </si>
  <si>
    <t>Date Paid</t>
  </si>
  <si>
    <t>data swapped</t>
  </si>
  <si>
    <t>Common Services DB1</t>
  </si>
  <si>
    <t>Common Services DB2</t>
  </si>
  <si>
    <t>CP</t>
  </si>
  <si>
    <t>Strata consumption Site Check Meter</t>
  </si>
  <si>
    <t>= Total Energy exceeding allowance - Actual amanda energy import</t>
  </si>
  <si>
    <t>Teants with 0 export will be charge at higher rate for their consumption</t>
  </si>
  <si>
    <t xml:space="preserve">Amanda enegery </t>
  </si>
  <si>
    <t>Total</t>
  </si>
  <si>
    <t>EV Charger 
KWh/month total</t>
  </si>
  <si>
    <t>Chargefox Revenue</t>
  </si>
  <si>
    <t>Chargefox Revenue -5%</t>
  </si>
  <si>
    <t>Strata reconcilation table</t>
  </si>
  <si>
    <t>$ Incl. GST</t>
  </si>
  <si>
    <t>Residents supply charge</t>
  </si>
  <si>
    <t>Amanda buyback</t>
  </si>
  <si>
    <t>Residents energy consumption</t>
  </si>
  <si>
    <t>EV Charger operation cost</t>
  </si>
  <si>
    <t>ChargeFox Income</t>
  </si>
  <si>
    <t>Strata total income</t>
  </si>
  <si>
    <t xml:space="preserve">Total payout to resident for exporting </t>
  </si>
  <si>
    <t>Total payout to resident for EV charger revenue</t>
  </si>
  <si>
    <t>Total payout to Amanda Energy</t>
  </si>
  <si>
    <t>Total payout to supply (SwichDin, E47, ChargeFox)</t>
  </si>
  <si>
    <t>Strata total payout</t>
  </si>
  <si>
    <t>P2P subsidies for residents without solar panels</t>
  </si>
  <si>
    <t>Variance</t>
  </si>
  <si>
    <t>Variance %</t>
  </si>
  <si>
    <t>TAX INVOICE</t>
  </si>
  <si>
    <t>C/- Cluster 1C Strata</t>
  </si>
  <si>
    <t xml:space="preserve"> DATE: </t>
  </si>
  <si>
    <t>10437 Bussell Highway</t>
  </si>
  <si>
    <t xml:space="preserve"> Invoice # </t>
  </si>
  <si>
    <t>1C1/0325</t>
  </si>
  <si>
    <t xml:space="preserve">Witchcliffe WA 6286 </t>
  </si>
  <si>
    <t xml:space="preserve"> Cluster </t>
  </si>
  <si>
    <t>Email: wevcluster1c@gmail.com</t>
  </si>
  <si>
    <t xml:space="preserve"> Lot Number </t>
  </si>
  <si>
    <t xml:space="preserve"> Lot Meter Number # </t>
  </si>
  <si>
    <t>Addressee:-</t>
  </si>
  <si>
    <t xml:space="preserve"> Unit Entitlement  </t>
  </si>
  <si>
    <t xml:space="preserve"> Unit Entitlement %  </t>
  </si>
  <si>
    <t xml:space="preserve"> Billing period </t>
  </si>
  <si>
    <t>Witchcliffe WA 6286</t>
  </si>
  <si>
    <t xml:space="preserve"> Billing period days </t>
  </si>
  <si>
    <t>Items</t>
  </si>
  <si>
    <t xml:space="preserve"> Charge Rate ($ Inc. GST) </t>
  </si>
  <si>
    <t>Usage</t>
  </si>
  <si>
    <t xml:space="preserve"> </t>
  </si>
  <si>
    <t>Amount due ($ Inc. GST)</t>
  </si>
  <si>
    <t>Supply charge</t>
  </si>
  <si>
    <t>Amanda Energy Daily Supply Charge 1/01/25 - 31/01/25</t>
  </si>
  <si>
    <t xml:space="preserve"> $8.97368 </t>
  </si>
  <si>
    <t>Unit</t>
  </si>
  <si>
    <t xml:space="preserve"> $8.97 </t>
  </si>
  <si>
    <t>Amanda Energy Daily Supply Charge 1/02/25 - 28/02/25</t>
  </si>
  <si>
    <t xml:space="preserve"> $8.10526 </t>
  </si>
  <si>
    <t xml:space="preserve"> $8.11 </t>
  </si>
  <si>
    <t>Amanda Energy Daily Supply Charge 1/03/25 - 31/03/25</t>
  </si>
  <si>
    <t>Amanda Energy Other Fees</t>
  </si>
  <si>
    <t xml:space="preserve"> $3.22684 </t>
  </si>
  <si>
    <t xml:space="preserve"> $3.23 </t>
  </si>
  <si>
    <t xml:space="preserve"> $0.22000 </t>
  </si>
  <si>
    <t>Days</t>
  </si>
  <si>
    <t xml:space="preserve"> $19.80 </t>
  </si>
  <si>
    <t xml:space="preserve"> $1.10000 </t>
  </si>
  <si>
    <t xml:space="preserve"> $1.10 </t>
  </si>
  <si>
    <t>Chargefox EV Charger Network Fixed Fees Equitable Split % of Unit Entitlement</t>
  </si>
  <si>
    <t xml:space="preserve"> $0.09873 </t>
  </si>
  <si>
    <t xml:space="preserve"> $8.89 </t>
  </si>
  <si>
    <t>SwitchdIn Supply Charge</t>
  </si>
  <si>
    <t xml:space="preserve"> $0.15068 </t>
  </si>
  <si>
    <t xml:space="preserve"> $13.56 </t>
  </si>
  <si>
    <t xml:space="preserve">Total Daily Supply Charge </t>
  </si>
  <si>
    <t xml:space="preserve"> $0.80696 </t>
  </si>
  <si>
    <t xml:space="preserve"> $72.63 </t>
  </si>
  <si>
    <t>Common Services Charges</t>
  </si>
  <si>
    <t>Common Services Fees Equitable Split % of Unit Entitlement kWh</t>
  </si>
  <si>
    <t>kWh</t>
  </si>
  <si>
    <t xml:space="preserve"> $6.44 </t>
  </si>
  <si>
    <t>Common Services Reimbursement based on P2P export % kWh</t>
  </si>
  <si>
    <t xml:space="preserve"> $(0.22000)</t>
  </si>
  <si>
    <t xml:space="preserve"> $(11.36)</t>
  </si>
  <si>
    <t>Import Battery Loss Allocation based on P2P import % kWh</t>
  </si>
  <si>
    <t xml:space="preserve"> $19.87 </t>
  </si>
  <si>
    <t>Export of Solar PV Battery Loss Reimbursement based on P2P export % kWh</t>
  </si>
  <si>
    <t xml:space="preserve"> $(22.87)</t>
  </si>
  <si>
    <t>Community EV Charger Variable Income Equitable Split % of Unit Entitlement kWh</t>
  </si>
  <si>
    <t xml:space="preserve"> $(0.24038)</t>
  </si>
  <si>
    <t xml:space="preserve"> $(30.43)</t>
  </si>
  <si>
    <t>Community EV Charger Variable Cost of Electricity Supply Equitable Split % of Unit Entitlement kWh</t>
  </si>
  <si>
    <t xml:space="preserve"> $27.85 </t>
  </si>
  <si>
    <t>Community EV Charger Reimbursement based on P2P export % kWh</t>
  </si>
  <si>
    <t xml:space="preserve"> $(49.12)</t>
  </si>
  <si>
    <t>Community EV Charger Chargefox Commission Cost Equitable Split % of Unit Entitlement kWh</t>
  </si>
  <si>
    <t xml:space="preserve"> $0.01202 </t>
  </si>
  <si>
    <t xml:space="preserve"> $1.52 </t>
  </si>
  <si>
    <t xml:space="preserve">Total Common Services Charges </t>
  </si>
  <si>
    <t xml:space="preserve"> $(0.64550)</t>
  </si>
  <si>
    <t xml:space="preserve"> $(58.10)</t>
  </si>
  <si>
    <t>Imported energy</t>
  </si>
  <si>
    <t>Import Peer to Peer kWh</t>
  </si>
  <si>
    <t xml:space="preserve"> $108.46 </t>
  </si>
  <si>
    <t>P2P Import Consumption over Battery Allowance kWh</t>
  </si>
  <si>
    <t xml:space="preserve"> $-   </t>
  </si>
  <si>
    <t>Import From Grid kWh</t>
  </si>
  <si>
    <t>Total Imported Energy</t>
  </si>
  <si>
    <t xml:space="preserve"> $1.20511 </t>
  </si>
  <si>
    <t>Exported energy</t>
  </si>
  <si>
    <t>Export Peer to Peer kWh</t>
  </si>
  <si>
    <t xml:space="preserve"> $(124.81)</t>
  </si>
  <si>
    <t>P2P Borrowed Allowance Passive Compensation kWh</t>
  </si>
  <si>
    <t xml:space="preserve"> $(0.02000)</t>
  </si>
  <si>
    <t xml:space="preserve"> $(0.04)</t>
  </si>
  <si>
    <t>Exported to Grid kWh</t>
  </si>
  <si>
    <t xml:space="preserve"> $(0.03850)</t>
  </si>
  <si>
    <t xml:space="preserve"> $(113.41)</t>
  </si>
  <si>
    <t>Total Exported Energy</t>
  </si>
  <si>
    <t xml:space="preserve"> $(2.64738)</t>
  </si>
  <si>
    <t xml:space="preserve"> $(238.26)</t>
  </si>
  <si>
    <t>Combined Energy Charge</t>
  </si>
  <si>
    <t xml:space="preserve"> $(1.28080)</t>
  </si>
  <si>
    <t xml:space="preserve"> $(115.27)</t>
  </si>
  <si>
    <t>Account in credit / debit: Strata to enter where applicable</t>
  </si>
  <si>
    <t>REFUND due 15/06/25</t>
  </si>
  <si>
    <t xml:space="preserve"> TOTAL </t>
  </si>
  <si>
    <t>Bank Details/Account Name:WEV Cluster 1C Strata Account</t>
  </si>
  <si>
    <t>BSB:633 000</t>
  </si>
  <si>
    <t>Account:216 423 913</t>
  </si>
  <si>
    <t>Please use payment reference: Surname Inv No i.e. Passmore 1C1/0325</t>
  </si>
  <si>
    <t>1C2/0325</t>
  </si>
  <si>
    <t xml:space="preserve"> $0.10108 </t>
  </si>
  <si>
    <t xml:space="preserve"> $9.10 </t>
  </si>
  <si>
    <t xml:space="preserve"> $0.80931 </t>
  </si>
  <si>
    <t xml:space="preserve"> $72.84 </t>
  </si>
  <si>
    <t xml:space="preserve"> $6.59 </t>
  </si>
  <si>
    <t xml:space="preserve"> $(6.86)</t>
  </si>
  <si>
    <t xml:space="preserve"> $9.39 </t>
  </si>
  <si>
    <t xml:space="preserve"> $(13.80)</t>
  </si>
  <si>
    <t xml:space="preserve"> $(31.15)</t>
  </si>
  <si>
    <t xml:space="preserve"> $28.51 </t>
  </si>
  <si>
    <t xml:space="preserve"> $(29.65)</t>
  </si>
  <si>
    <t xml:space="preserve"> $1.56 </t>
  </si>
  <si>
    <t xml:space="preserve"> $(0.39337)</t>
  </si>
  <si>
    <t xml:space="preserve"> $(35.40)</t>
  </si>
  <si>
    <t xml:space="preserve"> $51.26 </t>
  </si>
  <si>
    <t xml:space="preserve"> $0.56956 </t>
  </si>
  <si>
    <t xml:space="preserve"> $(75.33)</t>
  </si>
  <si>
    <t xml:space="preserve"> $(0.07)</t>
  </si>
  <si>
    <t xml:space="preserve"> $(68.45)</t>
  </si>
  <si>
    <t xml:space="preserve"> $(1.59834)</t>
  </si>
  <si>
    <t xml:space="preserve"> $(143.85)</t>
  </si>
  <si>
    <t xml:space="preserve"> $(0.61284)</t>
  </si>
  <si>
    <t xml:space="preserve"> $(55.16)</t>
  </si>
  <si>
    <t>Please use payment reference: Surname Inv No i.e. Sutton 1C2/0325</t>
  </si>
  <si>
    <t>1C3/0325</t>
  </si>
  <si>
    <t xml:space="preserve"> $0.10343 </t>
  </si>
  <si>
    <t xml:space="preserve"> $9.31 </t>
  </si>
  <si>
    <t xml:space="preserve"> $0.81166 </t>
  </si>
  <si>
    <t xml:space="preserve"> $73.05 </t>
  </si>
  <si>
    <t xml:space="preserve"> $6.75 </t>
  </si>
  <si>
    <t xml:space="preserve"> $(11.66)</t>
  </si>
  <si>
    <t xml:space="preserve"> $11.53 </t>
  </si>
  <si>
    <t xml:space="preserve"> $(23.47)</t>
  </si>
  <si>
    <t xml:space="preserve"> $(31.88)</t>
  </si>
  <si>
    <t xml:space="preserve"> $29.18 </t>
  </si>
  <si>
    <t xml:space="preserve"> $(50.41)</t>
  </si>
  <si>
    <t xml:space="preserve"> $1.59 </t>
  </si>
  <si>
    <t xml:space="preserve"> $(0.75963)</t>
  </si>
  <si>
    <t xml:space="preserve"> $(68.37)</t>
  </si>
  <si>
    <t xml:space="preserve"> $62.92 </t>
  </si>
  <si>
    <t xml:space="preserve"> $0.69911 </t>
  </si>
  <si>
    <t xml:space="preserve"> $(128.08)</t>
  </si>
  <si>
    <t xml:space="preserve"> $(116.39)</t>
  </si>
  <si>
    <t xml:space="preserve"> $(2.71705)</t>
  </si>
  <si>
    <t xml:space="preserve"> $(244.53)</t>
  </si>
  <si>
    <t xml:space="preserve"> $(1.96590)</t>
  </si>
  <si>
    <t xml:space="preserve"> $(176.93)</t>
  </si>
  <si>
    <t>Please use payment reference: Surname Inv No i.e. Chapman 1C3/0325</t>
  </si>
  <si>
    <t>1C4/0325</t>
  </si>
  <si>
    <t xml:space="preserve"> $0.10578 </t>
  </si>
  <si>
    <t xml:space="preserve"> $9.52 </t>
  </si>
  <si>
    <t xml:space="preserve"> $0.81402 </t>
  </si>
  <si>
    <t xml:space="preserve"> $73.26 </t>
  </si>
  <si>
    <t xml:space="preserve"> $6.90 </t>
  </si>
  <si>
    <t xml:space="preserve"> $(6.53)</t>
  </si>
  <si>
    <t xml:space="preserve"> $8.95 </t>
  </si>
  <si>
    <t xml:space="preserve"> $(13.14)</t>
  </si>
  <si>
    <t xml:space="preserve"> $(32.60)</t>
  </si>
  <si>
    <t xml:space="preserve"> $29.84 </t>
  </si>
  <si>
    <t xml:space="preserve"> $(28.22)</t>
  </si>
  <si>
    <t xml:space="preserve"> $1.63 </t>
  </si>
  <si>
    <t xml:space="preserve"> $(0.36856)</t>
  </si>
  <si>
    <t xml:space="preserve"> $(33.17)</t>
  </si>
  <si>
    <t xml:space="preserve"> $48.84 </t>
  </si>
  <si>
    <t xml:space="preserve"> $0.54267 </t>
  </si>
  <si>
    <t xml:space="preserve"> $(71.70)</t>
  </si>
  <si>
    <t xml:space="preserve"> $(0.08)</t>
  </si>
  <si>
    <t xml:space="preserve"> $(65.16)</t>
  </si>
  <si>
    <t xml:space="preserve"> $(1.52155)</t>
  </si>
  <si>
    <t xml:space="preserve"> $(136.94)</t>
  </si>
  <si>
    <t xml:space="preserve"> $(0.53343)</t>
  </si>
  <si>
    <t xml:space="preserve"> $(48.01)</t>
  </si>
  <si>
    <t>Please use payment reference: Surname Inv No i.e. Luckhurst 1C4/0325</t>
  </si>
  <si>
    <t>1C5/0325</t>
  </si>
  <si>
    <t xml:space="preserve"> $0.10813 </t>
  </si>
  <si>
    <t xml:space="preserve"> $9.73 </t>
  </si>
  <si>
    <t xml:space="preserve"> $0.81637 </t>
  </si>
  <si>
    <t xml:space="preserve"> $73.47 </t>
  </si>
  <si>
    <t xml:space="preserve"> $7.05 </t>
  </si>
  <si>
    <t xml:space="preserve"> $(11.49)</t>
  </si>
  <si>
    <t xml:space="preserve"> $36.84 </t>
  </si>
  <si>
    <t xml:space="preserve"> $(23.14)</t>
  </si>
  <si>
    <t xml:space="preserve"> $(33.33)</t>
  </si>
  <si>
    <t xml:space="preserve"> $30.50 </t>
  </si>
  <si>
    <t xml:space="preserve"> $(49.70)</t>
  </si>
  <si>
    <t xml:space="preserve"> $1.67 </t>
  </si>
  <si>
    <t xml:space="preserve"> $(0.46221)</t>
  </si>
  <si>
    <t xml:space="preserve"> $(41.60)</t>
  </si>
  <si>
    <t xml:space="preserve"> $201.08 </t>
  </si>
  <si>
    <t xml:space="preserve"> $2.23422 </t>
  </si>
  <si>
    <t xml:space="preserve"> $(126.28)</t>
  </si>
  <si>
    <t xml:space="preserve"> $(0.01)</t>
  </si>
  <si>
    <t xml:space="preserve"> $(114.76)</t>
  </si>
  <si>
    <t xml:space="preserve"> $(2.67826)</t>
  </si>
  <si>
    <t xml:space="preserve"> $(241.04)</t>
  </si>
  <si>
    <t xml:space="preserve"> $(0.08988)</t>
  </si>
  <si>
    <t xml:space="preserve"> $(8.09)</t>
  </si>
  <si>
    <t>Please use payment reference: Surname Inv No i.e. Vinciullo 1C5/0325</t>
  </si>
  <si>
    <t>1C6/0325</t>
  </si>
  <si>
    <t xml:space="preserve"> $0.15515 </t>
  </si>
  <si>
    <t xml:space="preserve"> $13.96 </t>
  </si>
  <si>
    <t xml:space="preserve"> $0.86338 </t>
  </si>
  <si>
    <t xml:space="preserve"> $77.70 </t>
  </si>
  <si>
    <t xml:space="preserve"> $10.12 </t>
  </si>
  <si>
    <t xml:space="preserve"> $(14.29)</t>
  </si>
  <si>
    <t xml:space="preserve"> $16.93 </t>
  </si>
  <si>
    <t xml:space="preserve"> $(28.76)</t>
  </si>
  <si>
    <t xml:space="preserve"> $(47.82)</t>
  </si>
  <si>
    <t xml:space="preserve"> $43.76 </t>
  </si>
  <si>
    <t xml:space="preserve"> $(61.79)</t>
  </si>
  <si>
    <t xml:space="preserve"> $2.39 </t>
  </si>
  <si>
    <t xml:space="preserve"> $(0.88292)</t>
  </si>
  <si>
    <t xml:space="preserve"> $(79.46)</t>
  </si>
  <si>
    <t xml:space="preserve"> $92.40 </t>
  </si>
  <si>
    <t xml:space="preserve"> $1.02667 </t>
  </si>
  <si>
    <t xml:space="preserve"> $(157.00)</t>
  </si>
  <si>
    <t xml:space="preserve"> $(0.10)</t>
  </si>
  <si>
    <t xml:space="preserve"> $(142.67)</t>
  </si>
  <si>
    <t xml:space="preserve"> $(3.33088)</t>
  </si>
  <si>
    <t xml:space="preserve"> $(299.78)</t>
  </si>
  <si>
    <t xml:space="preserve"> $(2.32376)</t>
  </si>
  <si>
    <t xml:space="preserve"> $(209.14)</t>
  </si>
  <si>
    <t>Please use payment reference: Surname Inv No i.e.  1C6/0325</t>
  </si>
  <si>
    <t>1C7/0325</t>
  </si>
  <si>
    <t xml:space="preserve"> $0.08 </t>
  </si>
  <si>
    <t xml:space="preserve"> $0.09485 </t>
  </si>
  <si>
    <t xml:space="preserve"> $8.54 </t>
  </si>
  <si>
    <t xml:space="preserve"> $0.36000 </t>
  </si>
  <si>
    <t xml:space="preserve"> $0.72 </t>
  </si>
  <si>
    <t xml:space="preserve"> $0.00800 </t>
  </si>
  <si>
    <t xml:space="preserve"> $(0.15)</t>
  </si>
  <si>
    <t xml:space="preserve"> $(0.00166)</t>
  </si>
  <si>
    <t xml:space="preserve"> $0.96457 </t>
  </si>
  <si>
    <t xml:space="preserve"> $86.81 </t>
  </si>
  <si>
    <t>Payment due 15/06/25</t>
  </si>
  <si>
    <t>Please use payment reference: Surname Inv No i.e. Penniment 1C7/0325</t>
  </si>
  <si>
    <t>1C8/0325</t>
  </si>
  <si>
    <t xml:space="preserve"> $(12.33)</t>
  </si>
  <si>
    <t xml:space="preserve"> $22.29 </t>
  </si>
  <si>
    <t xml:space="preserve"> $(24.81)</t>
  </si>
  <si>
    <t xml:space="preserve"> $(53.30)</t>
  </si>
  <si>
    <t xml:space="preserve"> $(0.66322)</t>
  </si>
  <si>
    <t xml:space="preserve"> $(59.69)</t>
  </si>
  <si>
    <t xml:space="preserve"> $121.66 </t>
  </si>
  <si>
    <t xml:space="preserve"> $1.35178 </t>
  </si>
  <si>
    <t xml:space="preserve"> $(135.42)</t>
  </si>
  <si>
    <t xml:space="preserve"> $(0.09)</t>
  </si>
  <si>
    <t xml:space="preserve"> $(123.06)</t>
  </si>
  <si>
    <t xml:space="preserve"> $(2.87302)</t>
  </si>
  <si>
    <t xml:space="preserve"> $(258.57)</t>
  </si>
  <si>
    <t xml:space="preserve"> $(1.32109)</t>
  </si>
  <si>
    <t xml:space="preserve"> $(118.90)</t>
  </si>
  <si>
    <t>Please use payment reference: Surname Inv No i.e. Martini 1C8/0325</t>
  </si>
  <si>
    <t>1C9/0325</t>
  </si>
  <si>
    <t xml:space="preserve"> $3.31 </t>
  </si>
  <si>
    <t xml:space="preserve"> $0.13068 </t>
  </si>
  <si>
    <t xml:space="preserve"> $11.76 </t>
  </si>
  <si>
    <t xml:space="preserve"> $29.52 </t>
  </si>
  <si>
    <t xml:space="preserve"> $0.32800 </t>
  </si>
  <si>
    <t xml:space="preserve"> $(0.14)</t>
  </si>
  <si>
    <t xml:space="preserve"> $(0.00157)</t>
  </si>
  <si>
    <t xml:space="preserve"> $1.32049 </t>
  </si>
  <si>
    <t xml:space="preserve"> $118.84 </t>
  </si>
  <si>
    <t>Please use payment reference: Surname Inv No i.e. Etten 1C9/0325</t>
  </si>
  <si>
    <t>1C10/0325</t>
  </si>
  <si>
    <t xml:space="preserve"> $0.07287 </t>
  </si>
  <si>
    <t xml:space="preserve"> $6.56 </t>
  </si>
  <si>
    <t xml:space="preserve"> $0.78111 </t>
  </si>
  <si>
    <t xml:space="preserve"> $70.30 </t>
  </si>
  <si>
    <t xml:space="preserve"> $4.75 </t>
  </si>
  <si>
    <t xml:space="preserve"> $(6.75)</t>
  </si>
  <si>
    <t xml:space="preserve"> $10.24 </t>
  </si>
  <si>
    <t xml:space="preserve"> $(13.60)</t>
  </si>
  <si>
    <t xml:space="preserve"> $(22.46)</t>
  </si>
  <si>
    <t xml:space="preserve"> $20.56 </t>
  </si>
  <si>
    <t xml:space="preserve"> $(29.21)</t>
  </si>
  <si>
    <t xml:space="preserve"> $1.12 </t>
  </si>
  <si>
    <t xml:space="preserve"> $(0.39272)</t>
  </si>
  <si>
    <t xml:space="preserve"> $(35.34)</t>
  </si>
  <si>
    <t xml:space="preserve"> $55.88 </t>
  </si>
  <si>
    <t xml:space="preserve"> $0.02000 </t>
  </si>
  <si>
    <t xml:space="preserve"> $0.00 </t>
  </si>
  <si>
    <t xml:space="preserve"> $0.62089 </t>
  </si>
  <si>
    <t xml:space="preserve"> $(74.20)</t>
  </si>
  <si>
    <t xml:space="preserve"> $(67.43)</t>
  </si>
  <si>
    <t xml:space="preserve"> $(1.57421)</t>
  </si>
  <si>
    <t xml:space="preserve"> $(141.68)</t>
  </si>
  <si>
    <t xml:space="preserve"> $(0.56493)</t>
  </si>
  <si>
    <t xml:space="preserve"> $(50.84)</t>
  </si>
  <si>
    <t>Please use payment reference: Surname Inv No i.e. Smith 1C10/0325</t>
  </si>
  <si>
    <t>1C11/0325</t>
  </si>
  <si>
    <t xml:space="preserve"> $4.55 </t>
  </si>
  <si>
    <t xml:space="preserve"> $0.09474 </t>
  </si>
  <si>
    <t xml:space="preserve"> $8.53 </t>
  </si>
  <si>
    <t xml:space="preserve"> $40.68 </t>
  </si>
  <si>
    <t xml:space="preserve"> $0.45200 </t>
  </si>
  <si>
    <t xml:space="preserve"> $(0.06)</t>
  </si>
  <si>
    <t xml:space="preserve"> $(0.00065)</t>
  </si>
  <si>
    <t xml:space="preserve"> $1.32720 </t>
  </si>
  <si>
    <t xml:space="preserve"> $119.45 </t>
  </si>
  <si>
    <t>Please use payment reference: Surname Inv No i.e. Grant 1C11/0325</t>
  </si>
  <si>
    <t>1C12/0325</t>
  </si>
  <si>
    <t xml:space="preserve"> $(7.02)</t>
  </si>
  <si>
    <t xml:space="preserve"> $7.88 </t>
  </si>
  <si>
    <t xml:space="preserve"> $(14.12)</t>
  </si>
  <si>
    <t xml:space="preserve"> $(30.34)</t>
  </si>
  <si>
    <t xml:space="preserve"> $(0.44035)</t>
  </si>
  <si>
    <t xml:space="preserve"> $(39.63)</t>
  </si>
  <si>
    <t xml:space="preserve"> $42.99 </t>
  </si>
  <si>
    <t xml:space="preserve"> $0.47764 </t>
  </si>
  <si>
    <t xml:space="preserve"> $(77.09)</t>
  </si>
  <si>
    <t xml:space="preserve"> $(0.05)</t>
  </si>
  <si>
    <t xml:space="preserve"> $(70.05)</t>
  </si>
  <si>
    <t xml:space="preserve"> $(1.63542)</t>
  </si>
  <si>
    <t xml:space="preserve"> $(147.19)</t>
  </si>
  <si>
    <t xml:space="preserve"> $(0.81702)</t>
  </si>
  <si>
    <t xml:space="preserve"> $(73.53)</t>
  </si>
  <si>
    <t>Please use payment reference: Surname Inv No i.e. Handy 1C12/0325</t>
  </si>
  <si>
    <t>1C13/0325</t>
  </si>
  <si>
    <t xml:space="preserve"> $(6.41)</t>
  </si>
  <si>
    <t xml:space="preserve"> $7.70 </t>
  </si>
  <si>
    <t xml:space="preserve"> $(12.91)</t>
  </si>
  <si>
    <t xml:space="preserve"> $(27.73)</t>
  </si>
  <si>
    <t xml:space="preserve"> $(0.39309)</t>
  </si>
  <si>
    <t xml:space="preserve"> $(35.38)</t>
  </si>
  <si>
    <t xml:space="preserve"> $42.02 </t>
  </si>
  <si>
    <t xml:space="preserve"> $0.46689 </t>
  </si>
  <si>
    <t xml:space="preserve"> $(70.45)</t>
  </si>
  <si>
    <t xml:space="preserve"> $(64.02)</t>
  </si>
  <si>
    <t xml:space="preserve"> $(1.49471)</t>
  </si>
  <si>
    <t xml:space="preserve"> $(134.52)</t>
  </si>
  <si>
    <t xml:space="preserve"> $(0.63981)</t>
  </si>
  <si>
    <t xml:space="preserve"> $(57.58)</t>
  </si>
  <si>
    <t>Please use payment reference: Surname Inv No i.e. Durand 1C13/0325</t>
  </si>
  <si>
    <t>1C14/0325</t>
  </si>
  <si>
    <t xml:space="preserve"> $0.08698 </t>
  </si>
  <si>
    <t xml:space="preserve"> $7.83 </t>
  </si>
  <si>
    <t xml:space="preserve"> $0.79521 </t>
  </si>
  <si>
    <t xml:space="preserve"> $71.57 </t>
  </si>
  <si>
    <t xml:space="preserve"> $5.67 </t>
  </si>
  <si>
    <t xml:space="preserve"> $(6.67)</t>
  </si>
  <si>
    <t xml:space="preserve"> $17.25 </t>
  </si>
  <si>
    <t xml:space="preserve"> $(13.43)</t>
  </si>
  <si>
    <t xml:space="preserve"> $(26.81)</t>
  </si>
  <si>
    <t xml:space="preserve"> $24.53 </t>
  </si>
  <si>
    <t xml:space="preserve"> $(28.85)</t>
  </si>
  <si>
    <t xml:space="preserve"> $1.34 </t>
  </si>
  <si>
    <t xml:space="preserve"> $(0.29959)</t>
  </si>
  <si>
    <t xml:space="preserve"> $(26.96)</t>
  </si>
  <si>
    <t xml:space="preserve"> $94.16 </t>
  </si>
  <si>
    <t xml:space="preserve"> $1.04622 </t>
  </si>
  <si>
    <t xml:space="preserve"> $(73.31)</t>
  </si>
  <si>
    <t xml:space="preserve"> $(66.62)</t>
  </si>
  <si>
    <t xml:space="preserve"> $(1.55511)</t>
  </si>
  <si>
    <t xml:space="preserve"> $(139.96)</t>
  </si>
  <si>
    <t xml:space="preserve"> $(0.01326)</t>
  </si>
  <si>
    <t xml:space="preserve"> $(1.19)</t>
  </si>
  <si>
    <t>Please use payment reference: Surname Inv No i.e. Grace 1C14/0325</t>
  </si>
  <si>
    <t>1C15/0325</t>
  </si>
  <si>
    <t xml:space="preserve"> $0.16220 </t>
  </si>
  <si>
    <t xml:space="preserve"> $14.60 </t>
  </si>
  <si>
    <t xml:space="preserve"> $0.87043 </t>
  </si>
  <si>
    <t xml:space="preserve"> $78.34 </t>
  </si>
  <si>
    <t xml:space="preserve"> $10.58 </t>
  </si>
  <si>
    <t xml:space="preserve"> $(11.67)</t>
  </si>
  <si>
    <t xml:space="preserve"> $18.14 </t>
  </si>
  <si>
    <t xml:space="preserve"> $(23.48)</t>
  </si>
  <si>
    <t xml:space="preserve"> $(49.99)</t>
  </si>
  <si>
    <t xml:space="preserve"> $45.75 </t>
  </si>
  <si>
    <t xml:space="preserve"> $(50.45)</t>
  </si>
  <si>
    <t xml:space="preserve"> $2.50 </t>
  </si>
  <si>
    <t xml:space="preserve"> $(0.65130)</t>
  </si>
  <si>
    <t xml:space="preserve"> $(58.62)</t>
  </si>
  <si>
    <t xml:space="preserve"> $99.00 </t>
  </si>
  <si>
    <t xml:space="preserve"> $(128.17)</t>
  </si>
  <si>
    <t xml:space="preserve"> $(0.11)</t>
  </si>
  <si>
    <t xml:space="preserve"> $(116.47)</t>
  </si>
  <si>
    <t xml:space="preserve"> $(2.71952)</t>
  </si>
  <si>
    <t xml:space="preserve"> $(244.76)</t>
  </si>
  <si>
    <t xml:space="preserve"> $(1.40039)</t>
  </si>
  <si>
    <t xml:space="preserve"> $(126.04)</t>
  </si>
  <si>
    <t>Please use payment reference: Surname Inv No i.e. (Hudson) 1C15/0325</t>
  </si>
  <si>
    <t>1C16/0325</t>
  </si>
  <si>
    <t xml:space="preserve"> $(16.16)</t>
  </si>
  <si>
    <t xml:space="preserve"> $16.24 </t>
  </si>
  <si>
    <t xml:space="preserve"> $(32.53)</t>
  </si>
  <si>
    <t xml:space="preserve"> $(69.88)</t>
  </si>
  <si>
    <t xml:space="preserve"> $(1.03879)</t>
  </si>
  <si>
    <t xml:space="preserve"> $(93.49)</t>
  </si>
  <si>
    <t xml:space="preserve"> $88.66 </t>
  </si>
  <si>
    <t xml:space="preserve"> $0.98511 </t>
  </si>
  <si>
    <t xml:space="preserve"> $(177.56)</t>
  </si>
  <si>
    <t xml:space="preserve"> $(161.35)</t>
  </si>
  <si>
    <t xml:space="preserve"> $(3.76692)</t>
  </si>
  <si>
    <t xml:space="preserve"> $(339.02)</t>
  </si>
  <si>
    <t xml:space="preserve"> $(2.95016)</t>
  </si>
  <si>
    <t xml:space="preserve"> $(265.51)</t>
  </si>
  <si>
    <t>Please use payment reference: Surname Inv No i.e. Florec 1C16/0325</t>
  </si>
  <si>
    <t>1C17/0325</t>
  </si>
  <si>
    <t xml:space="preserve"> $14.47 </t>
  </si>
  <si>
    <t xml:space="preserve"> $0.25901 </t>
  </si>
  <si>
    <t xml:space="preserve"> $23.31 </t>
  </si>
  <si>
    <t xml:space="preserve"> $129.24 </t>
  </si>
  <si>
    <t xml:space="preserve"> $1.43600 </t>
  </si>
  <si>
    <t xml:space="preserve"> $(0.12)</t>
  </si>
  <si>
    <t xml:space="preserve"> $(0.00131)</t>
  </si>
  <si>
    <t xml:space="preserve"> $2.56413 </t>
  </si>
  <si>
    <t xml:space="preserve"> $230.77 </t>
  </si>
  <si>
    <t>Please use payment reference: Surname Inv No i.e. Blankenheim 1C17/0325</t>
  </si>
  <si>
    <t>1C18/0325</t>
  </si>
  <si>
    <t xml:space="preserve"> $(10.30)</t>
  </si>
  <si>
    <t xml:space="preserve"> $61.24 </t>
  </si>
  <si>
    <t xml:space="preserve"> $(20.73)</t>
  </si>
  <si>
    <t xml:space="preserve"> $(44.53)</t>
  </si>
  <si>
    <t xml:space="preserve"> $(0.06075)</t>
  </si>
  <si>
    <t xml:space="preserve"> $(5.47)</t>
  </si>
  <si>
    <t xml:space="preserve"> $334.28 </t>
  </si>
  <si>
    <t xml:space="preserve"> $1.45 </t>
  </si>
  <si>
    <t xml:space="preserve"> $0.30000 </t>
  </si>
  <si>
    <t xml:space="preserve"> $32.56 </t>
  </si>
  <si>
    <t xml:space="preserve"> $4.09215 </t>
  </si>
  <si>
    <t xml:space="preserve"> $368.29 </t>
  </si>
  <si>
    <t xml:space="preserve"> $(113.13)</t>
  </si>
  <si>
    <t xml:space="preserve"> $(102.81)</t>
  </si>
  <si>
    <t xml:space="preserve"> $(2.39936)</t>
  </si>
  <si>
    <t xml:space="preserve"> $(215.94)</t>
  </si>
  <si>
    <t xml:space="preserve"> $2.50247 </t>
  </si>
  <si>
    <t xml:space="preserve"> $225.22 </t>
  </si>
  <si>
    <t>Please use payment reference: Surname Inv No i.e. Steel 1C18/0325</t>
  </si>
  <si>
    <t>1C19/0325</t>
  </si>
  <si>
    <t xml:space="preserve"> $0.18570 </t>
  </si>
  <si>
    <t xml:space="preserve"> $16.71 </t>
  </si>
  <si>
    <t xml:space="preserve"> $0.89394 </t>
  </si>
  <si>
    <t xml:space="preserve"> $80.45 </t>
  </si>
  <si>
    <t xml:space="preserve"> $12.11 </t>
  </si>
  <si>
    <t xml:space="preserve"> $(13.85)</t>
  </si>
  <si>
    <t xml:space="preserve"> $21.77 </t>
  </si>
  <si>
    <t xml:space="preserve"> $(27.88)</t>
  </si>
  <si>
    <t xml:space="preserve"> $(57.24)</t>
  </si>
  <si>
    <t xml:space="preserve"> $52.38 </t>
  </si>
  <si>
    <t xml:space="preserve"> $(59.90)</t>
  </si>
  <si>
    <t xml:space="preserve"> $2.86 </t>
  </si>
  <si>
    <t xml:space="preserve"> $(0.77498)</t>
  </si>
  <si>
    <t xml:space="preserve"> $(69.75)</t>
  </si>
  <si>
    <t xml:space="preserve"> $118.80 </t>
  </si>
  <si>
    <t xml:space="preserve"> $1.32000 </t>
  </si>
  <si>
    <t xml:space="preserve"> $(152.19)</t>
  </si>
  <si>
    <t xml:space="preserve"> $(138.30)</t>
  </si>
  <si>
    <t xml:space="preserve"> $(3.22905)</t>
  </si>
  <si>
    <t xml:space="preserve"> $(290.61)</t>
  </si>
  <si>
    <t xml:space="preserve"> $(1.79010)</t>
  </si>
  <si>
    <t xml:space="preserve"> $(161.11)</t>
  </si>
  <si>
    <t>Please use payment reference: Surname Inv No i.e. Hansen 1C19/0325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</si>
</sst>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27">
    <numFmt numFmtId="41" formatCode="_-* #,##0_-;\-* #,##0_-;_-* &quot;-&quot;_-;_-@_-"/>
    <numFmt numFmtId="42" formatCode="_-&quot;£&quot;* #,##0_-;\-&quot;£&quot;* #,##0_-;_-&quot;£&quot;* &quot;-&quot;_-;_-@_-"/>
    <numFmt numFmtId="176" formatCode="_(* #,##0.00_);_(* \(#,##0.00\);_(* &quot;-&quot;??_);_(@_)"/>
    <numFmt numFmtId="177" formatCode="_(&quot;$&quot;* #,##0.00_);_(&quot;$&quot;* \(#,##0.00\);_(&quot;$&quot;* &quot;-&quot;??_);_(@_)"/>
    <numFmt numFmtId="178" formatCode="_-&quot;$&quot;* #,##0.00_-;\-&quot;$&quot;* #,##0.00_-;_-&quot;$&quot;* &quot;-&quot;??_-;_-@_-"/>
    <numFmt numFmtId="179" formatCode="[$-409]mmmm\ d\,\ yyyy;@"/>
    <numFmt numFmtId="180" formatCode="[&lt;=9999999]###\-####;\(###\)\ ###\-####"/>
    <numFmt numFmtId="181" formatCode="0.0%"/>
    <numFmt numFmtId="182" formatCode="d/mm/yyyy;@"/>
    <numFmt numFmtId="183" formatCode="_(&quot;$&quot;* #,##0.00000_);_(&quot;$&quot;* \(#,##0.00000\);_(&quot;$&quot;* &quot;-&quot;??_);_(@_)"/>
    <numFmt numFmtId="184" formatCode="0.0000"/>
    <numFmt numFmtId="185" formatCode="_(&quot;$&quot;* #,##0.00_);_(&quot;$&quot;* \(#,##0.00\);_(&quot;$&quot;* &quot;-&quot;?_);_(@_)"/>
    <numFmt numFmtId="186" formatCode="&quot;$&quot;#,##0.00"/>
    <numFmt numFmtId="187" formatCode="_(&quot;$&quot;* #,##0.0000_);_(&quot;$&quot;* \(#,##0.0000\);_(&quot;$&quot;* &quot;-&quot;??_);_(@_)"/>
    <numFmt numFmtId="188" formatCode="mmm\-yy"/>
    <numFmt numFmtId="189" formatCode="&quot;$&quot;#,##0.0000"/>
    <numFmt numFmtId="190" formatCode="_(* #,##0_);_(* \(#,##0\);_(* &quot;-&quot;??_);_(@_)"/>
    <numFmt numFmtId="191" formatCode="_(* #,##0.0_);_(* \(#,##0.0\);_(* &quot;-&quot;??_);_(@_)"/>
    <numFmt numFmtId="192" formatCode="#,##0.0"/>
    <numFmt numFmtId="193" formatCode="#,##0.000"/>
    <numFmt numFmtId="194" formatCode="&quot;$&quot;#,##0.000"/>
    <numFmt numFmtId="195" formatCode="#,##0.00000"/>
    <numFmt numFmtId="196" formatCode="d/mm/yy;@"/>
    <numFmt numFmtId="197" formatCode="_(* #,##0_);_(* \(#,##0\);_(* &quot;-&quot;_);_(@_)"/>
    <numFmt numFmtId="198" formatCode="0.0"/>
    <numFmt numFmtId="199" formatCode="d/mm/yyyy"/>
    <numFmt numFmtId="200" formatCode="mm/dd/yy;@"/>
  </numFmts>
  <fonts count="88">
    <font>
      <sz val="11"/>
      <name val="Arial"/>
      <charset val="134"/>
      <scheme val="minor"/>
    </font>
    <font>
      <sz val="11"/>
      <color rgb="FFFF0000"/>
      <name val="Arial"/>
      <charset val="134"/>
      <scheme val="minor"/>
    </font>
    <font>
      <b/>
      <i/>
      <sz val="16"/>
      <color rgb="FFED7165"/>
      <name val="Avenir Next Regular"/>
      <charset val="134"/>
    </font>
    <font>
      <sz val="18"/>
      <color rgb="FFED7165"/>
      <name val="Arial"/>
      <charset val="134"/>
      <scheme val="major"/>
    </font>
    <font>
      <b/>
      <i/>
      <sz val="11"/>
      <color theme="1" tint="0.349986266670736"/>
      <name val="Arial"/>
      <charset val="134"/>
      <scheme val="minor"/>
    </font>
    <font>
      <b/>
      <sz val="11"/>
      <name val="Arial"/>
      <charset val="134"/>
      <scheme val="minor"/>
    </font>
    <font>
      <sz val="12"/>
      <name val="Arial"/>
      <charset val="134"/>
      <scheme val="minor"/>
    </font>
    <font>
      <sz val="9"/>
      <name val="Arial"/>
      <charset val="134"/>
      <scheme val="minor"/>
    </font>
    <font>
      <b/>
      <sz val="11"/>
      <color theme="1"/>
      <name val="Arial"/>
      <charset val="134"/>
      <scheme val="minor"/>
    </font>
    <font>
      <i/>
      <sz val="12"/>
      <color rgb="FFFF0000"/>
      <name val="Arial"/>
      <charset val="134"/>
      <scheme val="minor"/>
    </font>
    <font>
      <sz val="18"/>
      <color rgb="FFED7165"/>
      <name val="Arial"/>
      <charset val="134"/>
      <scheme val="minor"/>
    </font>
    <font>
      <b/>
      <i/>
      <sz val="11"/>
      <color rgb="FF595959"/>
      <name val="Arial"/>
      <charset val="134"/>
      <scheme val="minor"/>
    </font>
    <font>
      <b/>
      <sz val="12"/>
      <name val="Arial"/>
      <charset val="134"/>
      <scheme val="minor"/>
    </font>
    <font>
      <sz val="11"/>
      <color rgb="FF9C0006"/>
      <name val="Arial"/>
      <charset val="134"/>
      <scheme val="minor"/>
    </font>
    <font>
      <b/>
      <sz val="11"/>
      <color rgb="FF9C0006"/>
      <name val="Arial"/>
      <charset val="134"/>
      <scheme val="minor"/>
    </font>
    <font>
      <b/>
      <sz val="11"/>
      <color rgb="FF000000"/>
      <name val="Arial"/>
      <charset val="134"/>
      <scheme val="minor"/>
    </font>
    <font>
      <sz val="16"/>
      <name val="Arial"/>
      <charset val="134"/>
      <scheme val="minor"/>
    </font>
    <font>
      <b/>
      <sz val="14"/>
      <name val="Arial"/>
      <charset val="134"/>
      <scheme val="minor"/>
    </font>
    <font>
      <sz val="14"/>
      <color theme="1"/>
      <name val="Arial"/>
      <charset val="134"/>
      <scheme val="minor"/>
    </font>
    <font>
      <sz val="16"/>
      <color theme="1"/>
      <name val="Arial"/>
      <charset val="134"/>
      <scheme val="minor"/>
    </font>
    <font>
      <b/>
      <sz val="14"/>
      <color rgb="FFFF0000"/>
      <name val="Arial"/>
      <charset val="134"/>
      <scheme val="minor"/>
    </font>
    <font>
      <b/>
      <sz val="16"/>
      <color theme="1"/>
      <name val="Arial"/>
      <charset val="134"/>
      <scheme val="minor"/>
    </font>
    <font>
      <b/>
      <sz val="16"/>
      <color rgb="FF000000"/>
      <name val="-webkit-standard"/>
      <charset val="134"/>
    </font>
    <font>
      <b/>
      <sz val="14"/>
      <color theme="1"/>
      <name val="Arial"/>
      <charset val="134"/>
      <scheme val="minor"/>
    </font>
    <font>
      <sz val="14"/>
      <name val="Arial"/>
      <charset val="134"/>
      <scheme val="minor"/>
    </font>
    <font>
      <b/>
      <sz val="10"/>
      <color rgb="FF000000"/>
      <name val="Helvetica Neue"/>
      <charset val="134"/>
    </font>
    <font>
      <sz val="10"/>
      <color rgb="FF000000"/>
      <name val="Helvetica Neue"/>
      <charset val="134"/>
    </font>
    <font>
      <sz val="12"/>
      <color theme="1"/>
      <name val="Arial"/>
      <charset val="134"/>
      <scheme val="minor"/>
    </font>
    <font>
      <i/>
      <sz val="14"/>
      <color theme="1"/>
      <name val="Arial"/>
      <charset val="134"/>
      <scheme val="minor"/>
    </font>
    <font>
      <b/>
      <sz val="12"/>
      <color theme="1"/>
      <name val="Arial"/>
      <charset val="134"/>
      <scheme val="minor"/>
    </font>
    <font>
      <sz val="14"/>
      <color theme="1"/>
      <name val="Calibri"/>
      <charset val="134"/>
    </font>
    <font>
      <sz val="14"/>
      <color rgb="FF222421"/>
      <name val="Arial"/>
      <charset val="134"/>
      <scheme val="minor"/>
    </font>
    <font>
      <sz val="12"/>
      <name val="Helvetica"/>
      <charset val="134"/>
    </font>
    <font>
      <sz val="11"/>
      <color theme="1"/>
      <name val="Calibri"/>
      <charset val="134"/>
    </font>
    <font>
      <sz val="16"/>
      <color rgb="FF222421"/>
      <name val="Switchdin"/>
      <charset val="134"/>
    </font>
    <font>
      <b/>
      <sz val="14"/>
      <color rgb="FF222421"/>
      <name val="Arial"/>
      <charset val="134"/>
      <scheme val="minor"/>
    </font>
    <font>
      <sz val="12"/>
      <color theme="1"/>
      <name val="Calibri"/>
      <charset val="134"/>
    </font>
    <font>
      <u/>
      <sz val="12"/>
      <color theme="10"/>
      <name val="Arial"/>
      <charset val="134"/>
      <scheme val="minor"/>
    </font>
    <font>
      <sz val="12"/>
      <color theme="1"/>
      <name val="Arial"/>
      <charset val="134"/>
    </font>
    <font>
      <sz val="12"/>
      <color rgb="FF000000"/>
      <name val="Helvetica Neue"/>
      <charset val="134"/>
    </font>
    <font>
      <sz val="12"/>
      <name val="Calibri"/>
      <charset val="134"/>
    </font>
    <font>
      <u/>
      <sz val="12"/>
      <color rgb="FF0066CC"/>
      <name val="Arial"/>
      <charset val="134"/>
      <scheme val="minor"/>
    </font>
    <font>
      <sz val="12"/>
      <color rgb="FF000000"/>
      <name val="Arial"/>
      <charset val="134"/>
    </font>
    <font>
      <sz val="12"/>
      <color rgb="FF222222"/>
      <name val="Arial"/>
      <charset val="134"/>
    </font>
    <font>
      <u/>
      <sz val="12"/>
      <color rgb="FF0563C1"/>
      <name val="Calibri"/>
      <charset val="134"/>
    </font>
    <font>
      <sz val="12"/>
      <color rgb="FF0563C1"/>
      <name val="Calibri"/>
      <charset val="134"/>
    </font>
    <font>
      <sz val="12"/>
      <color rgb="FF212121"/>
      <name val="Aptos"/>
      <charset val="134"/>
    </font>
    <font>
      <sz val="12"/>
      <color theme="1"/>
      <name val="Avenir Book"/>
      <charset val="134"/>
    </font>
    <font>
      <b/>
      <sz val="12"/>
      <color theme="1"/>
      <name val="Avenir Book"/>
      <charset val="134"/>
    </font>
    <font>
      <b/>
      <sz val="10"/>
      <color theme="1"/>
      <name val="Avenir Book"/>
      <charset val="134"/>
    </font>
    <font>
      <sz val="10"/>
      <color theme="1"/>
      <name val="Avenir Book"/>
      <charset val="134"/>
    </font>
    <font>
      <i/>
      <sz val="12"/>
      <color theme="0" tint="-0.349986266670736"/>
      <name val="Avenir Book"/>
      <charset val="134"/>
    </font>
    <font>
      <u/>
      <sz val="12"/>
      <color theme="10"/>
      <name val="Avenir Book"/>
      <charset val="134"/>
    </font>
    <font>
      <i/>
      <sz val="10"/>
      <color theme="1"/>
      <name val="Avenir Book"/>
      <charset val="134"/>
    </font>
    <font>
      <u/>
      <sz val="12"/>
      <color theme="10"/>
      <name val="Calibri"/>
      <charset val="134"/>
    </font>
    <font>
      <b/>
      <sz val="12"/>
      <color rgb="FFFF0000"/>
      <name val="Arial"/>
      <charset val="134"/>
      <scheme val="minor"/>
    </font>
    <font>
      <sz val="12"/>
      <name val="Helvetica Neue"/>
      <charset val="134"/>
    </font>
    <font>
      <b/>
      <sz val="12"/>
      <name val="Helvetica Neue"/>
      <charset val="134"/>
    </font>
    <font>
      <sz val="36"/>
      <name val="Helvetica Neue"/>
      <charset val="134"/>
    </font>
    <font>
      <sz val="24"/>
      <name val="Helvetica Neue"/>
      <charset val="134"/>
    </font>
    <font>
      <b/>
      <sz val="11"/>
      <color theme="0"/>
      <name val="Arial"/>
      <charset val="134"/>
      <scheme val="minor"/>
    </font>
    <font>
      <sz val="11"/>
      <color theme="1"/>
      <name val="Arial"/>
      <charset val="134"/>
      <scheme val="minor"/>
    </font>
    <font>
      <sz val="22"/>
      <name val="Helvetica Neue"/>
      <charset val="134"/>
    </font>
    <font>
      <b/>
      <sz val="12"/>
      <color theme="0"/>
      <name val="Arial"/>
      <charset val="134"/>
      <scheme val="minor"/>
    </font>
    <font>
      <sz val="12"/>
      <color rgb="FFFF0000"/>
      <name val="Arial"/>
      <charset val="134"/>
      <scheme val="minor"/>
    </font>
    <font>
      <sz val="13"/>
      <name val="Helvetica Neue"/>
      <charset val="134"/>
    </font>
    <font>
      <b/>
      <sz val="11"/>
      <color rgb="FF404040"/>
      <name val="Aptos"/>
      <charset val="134"/>
    </font>
    <font>
      <sz val="11"/>
      <name val="Arial"/>
      <charset val="134"/>
    </font>
    <font>
      <u/>
      <sz val="11"/>
      <color theme="10"/>
      <name val="Arial"/>
      <charset val="134"/>
      <scheme val="minor"/>
    </font>
    <font>
      <u/>
      <sz val="11"/>
      <color rgb="FF800080"/>
      <name val="Arial"/>
      <charset val="0"/>
      <scheme val="minor"/>
    </font>
    <font>
      <sz val="11"/>
      <color rgb="FFFF0000"/>
      <name val="Arial"/>
      <charset val="0"/>
      <scheme val="minor"/>
    </font>
    <font>
      <sz val="28"/>
      <color theme="1" tint="0.499984740745262"/>
      <name val="Arial"/>
      <charset val="134"/>
      <scheme val="major"/>
    </font>
    <font>
      <b/>
      <sz val="15"/>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000000"/>
      <name val="Tahoma"/>
      <charset val="134"/>
    </font>
    <font>
      <sz val="10"/>
      <color rgb="FF000000"/>
      <name val="Tahoma"/>
      <charset val="134"/>
    </font>
  </fonts>
  <fills count="54">
    <fill>
      <patternFill patternType="none"/>
    </fill>
    <fill>
      <patternFill patternType="gray125"/>
    </fill>
    <fill>
      <patternFill patternType="solid">
        <fgColor theme="0" tint="-0.0499893185216834"/>
        <bgColor indexed="64"/>
      </patternFill>
    </fill>
    <fill>
      <patternFill patternType="solid">
        <fgColor theme="9" tint="0.799920651875362"/>
        <bgColor indexed="64"/>
      </patternFill>
    </fill>
    <fill>
      <patternFill patternType="solid">
        <fgColor rgb="FFF2F2F2"/>
        <bgColor rgb="FF000000"/>
      </patternFill>
    </fill>
    <fill>
      <patternFill patternType="solid">
        <fgColor rgb="FFFDE9D9"/>
        <bgColor rgb="FF000000"/>
      </patternFill>
    </fill>
    <fill>
      <patternFill patternType="solid">
        <fgColor rgb="FFFFFF00"/>
        <bgColor indexed="64"/>
      </patternFill>
    </fill>
    <fill>
      <patternFill patternType="solid">
        <fgColor theme="0" tint="-0.249977111117893"/>
        <bgColor indexed="64"/>
      </patternFill>
    </fill>
    <fill>
      <patternFill patternType="solid">
        <fgColor theme="3" tint="0.799920651875362"/>
        <bgColor indexed="64"/>
      </patternFill>
    </fill>
    <fill>
      <patternFill patternType="solid">
        <fgColor theme="9" tint="0.399914548173467"/>
        <bgColor indexed="64"/>
      </patternFill>
    </fill>
    <fill>
      <patternFill patternType="solid">
        <fgColor theme="2" tint="-0.0999786370433668"/>
        <bgColor indexed="64"/>
      </patternFill>
    </fill>
    <fill>
      <patternFill patternType="solid">
        <fgColor rgb="FFFFC000"/>
        <bgColor indexed="64"/>
      </patternFill>
    </fill>
    <fill>
      <patternFill patternType="solid">
        <fgColor theme="0" tint="-0.149937437055574"/>
        <bgColor indexed="64"/>
      </patternFill>
    </fill>
    <fill>
      <patternFill patternType="solid">
        <fgColor theme="7" tint="0.799920651875362"/>
        <bgColor indexed="64"/>
      </patternFill>
    </fill>
    <fill>
      <patternFill patternType="solid">
        <fgColor theme="5" tint="0.799920651875362"/>
        <bgColor indexed="64"/>
      </patternFill>
    </fill>
    <fill>
      <patternFill patternType="solid">
        <fgColor theme="7" tint="0.599993896298105"/>
        <bgColor indexed="64"/>
      </patternFill>
    </fill>
    <fill>
      <patternFill patternType="solid">
        <fgColor theme="6" tint="0.799920651875362"/>
        <bgColor indexed="64"/>
      </patternFill>
    </fill>
    <fill>
      <patternFill patternType="solid">
        <fgColor theme="6" tint="0.599993896298105"/>
        <bgColor indexed="64"/>
      </patternFill>
    </fill>
    <fill>
      <patternFill patternType="solid">
        <fgColor theme="9"/>
        <bgColor indexed="64"/>
      </patternFill>
    </fill>
    <fill>
      <patternFill patternType="solid">
        <fgColor theme="4"/>
        <bgColor indexed="64"/>
      </patternFill>
    </fill>
    <fill>
      <patternFill patternType="solid">
        <fgColor theme="4" tint="0.799920651875362"/>
        <bgColor indexed="64"/>
      </patternFill>
    </fill>
    <fill>
      <patternFill patternType="solid">
        <fgColor theme="9" tint="-0.249977111117893"/>
        <bgColor indexed="64"/>
      </patternFill>
    </fill>
    <fill>
      <patternFill patternType="solid">
        <fgColor theme="0" tint="-0.349986266670736"/>
        <bgColor indexed="64"/>
      </patternFill>
    </fill>
    <fill>
      <patternFill patternType="solid">
        <fgColor rgb="FF92D050"/>
        <bgColor indexed="64"/>
      </patternFill>
    </fill>
    <fill>
      <patternFill patternType="solid">
        <fgColor theme="6"/>
        <bgColor theme="6"/>
      </patternFill>
    </fill>
    <fill>
      <patternFill patternType="solid">
        <fgColor rgb="FFF2F2F2"/>
        <bgColor indexed="64"/>
      </patternFill>
    </fill>
    <fill>
      <patternFill patternType="solid">
        <fgColor theme="3" tint="0.899929807428205"/>
        <bgColor indexed="64"/>
      </patternFill>
    </fill>
    <fill>
      <patternFill patternType="solid">
        <fgColor theme="1"/>
        <bgColor theme="1"/>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2">
    <border>
      <left/>
      <right/>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style="medium">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thin">
        <color auto="1"/>
      </top>
      <bottom style="dashed">
        <color auto="1"/>
      </bottom>
      <diagonal/>
    </border>
    <border>
      <left style="medium">
        <color auto="1"/>
      </left>
      <right style="thin">
        <color auto="1"/>
      </right>
      <top style="thin">
        <color auto="1"/>
      </top>
      <bottom style="thin">
        <color auto="1"/>
      </bottom>
      <diagonal/>
    </border>
    <border>
      <left style="thin">
        <color auto="1"/>
      </left>
      <right/>
      <top style="dashed">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dashed">
        <color auto="1"/>
      </left>
      <right/>
      <top/>
      <bottom style="dashed">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diagonal/>
    </border>
    <border>
      <left/>
      <right/>
      <top style="medium">
        <color auto="1"/>
      </top>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auto="1"/>
      </left>
      <right/>
      <top/>
      <bottom style="medium">
        <color auto="1"/>
      </bottom>
      <diagonal/>
    </border>
    <border>
      <left style="medium">
        <color auto="1"/>
      </left>
      <right/>
      <top/>
      <bottom style="medium">
        <color auto="1"/>
      </bottom>
      <diagonal/>
    </border>
    <border>
      <left/>
      <right/>
      <top/>
      <bottom style="medium">
        <color auto="1"/>
      </bottom>
      <diagonal/>
    </border>
    <border>
      <left style="thin">
        <color auto="1"/>
      </left>
      <right/>
      <top style="thin">
        <color auto="1"/>
      </top>
      <bottom style="medium">
        <color auto="1"/>
      </bottom>
      <diagonal/>
    </border>
    <border>
      <left/>
      <right style="thin">
        <color auto="1"/>
      </right>
      <top style="medium">
        <color auto="1"/>
      </top>
      <bottom style="thin">
        <color auto="1"/>
      </bottom>
      <diagonal/>
    </border>
    <border>
      <left/>
      <right style="dashed">
        <color auto="1"/>
      </right>
      <top/>
      <bottom style="dashed">
        <color auto="1"/>
      </bottom>
      <diagonal/>
    </border>
    <border>
      <left style="dashed">
        <color auto="1"/>
      </left>
      <right style="medium">
        <color rgb="FF000000"/>
      </right>
      <top/>
      <bottom style="dashed">
        <color auto="1"/>
      </bottom>
      <diagonal/>
    </border>
    <border>
      <left/>
      <right style="dashed">
        <color auto="1"/>
      </right>
      <top style="thin">
        <color auto="1"/>
      </top>
      <bottom style="dashed">
        <color auto="1"/>
      </bottom>
      <diagonal/>
    </border>
    <border>
      <left style="dashed">
        <color auto="1"/>
      </left>
      <right style="medium">
        <color rgb="FF000000"/>
      </right>
      <top style="dashed">
        <color auto="1"/>
      </top>
      <bottom style="dashed">
        <color auto="1"/>
      </bottom>
      <diagonal/>
    </border>
    <border>
      <left/>
      <right style="medium">
        <color rgb="FF000000"/>
      </right>
      <top style="dashed">
        <color auto="1"/>
      </top>
      <bottom/>
      <diagonal/>
    </border>
    <border>
      <left/>
      <right/>
      <top style="dashed">
        <color auto="1"/>
      </top>
      <bottom style="thin">
        <color auto="1"/>
      </bottom>
      <diagonal/>
    </border>
    <border>
      <left/>
      <right style="medium">
        <color rgb="FF000000"/>
      </right>
      <top style="dashed">
        <color auto="1"/>
      </top>
      <bottom style="thin">
        <color auto="1"/>
      </bottom>
      <diagonal/>
    </border>
    <border>
      <left/>
      <right style="thin">
        <color auto="1"/>
      </right>
      <top style="thin">
        <color auto="1"/>
      </top>
      <bottom/>
      <diagonal/>
    </border>
    <border>
      <left style="thin">
        <color auto="1"/>
      </left>
      <right style="dashed">
        <color auto="1"/>
      </right>
      <top style="dashed">
        <color auto="1"/>
      </top>
      <bottom style="thin">
        <color auto="1"/>
      </bottom>
      <diagonal/>
    </border>
    <border>
      <left style="thin">
        <color rgb="FF000000"/>
      </left>
      <right/>
      <top style="thin">
        <color rgb="FF000000"/>
      </top>
      <bottom style="thin">
        <color rgb="FF000000"/>
      </bottom>
      <diagonal/>
    </border>
    <border>
      <left/>
      <right style="thin">
        <color theme="6"/>
      </right>
      <top style="thin">
        <color theme="6"/>
      </top>
      <bottom/>
      <diagonal/>
    </border>
    <border>
      <left style="thin">
        <color auto="1"/>
      </left>
      <right style="thin">
        <color auto="1"/>
      </right>
      <top style="thin">
        <color rgb="FF000000"/>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style="thin">
        <color rgb="FF000000"/>
      </right>
      <top/>
      <bottom style="thin">
        <color auto="1"/>
      </bottom>
      <diagonal/>
    </border>
    <border>
      <left style="thin">
        <color rgb="FF000000"/>
      </left>
      <right style="thin">
        <color auto="1"/>
      </right>
      <top/>
      <bottom style="thin">
        <color auto="1"/>
      </bottom>
      <diagonal/>
    </border>
    <border>
      <left style="thin">
        <color auto="1"/>
      </left>
      <right style="medium">
        <color auto="1"/>
      </right>
      <top/>
      <bottom/>
      <diagonal/>
    </border>
    <border>
      <left style="thin">
        <color auto="1"/>
      </left>
      <right style="thin">
        <color auto="1"/>
      </right>
      <top style="thin">
        <color theme="1"/>
      </top>
      <bottom/>
      <diagonal/>
    </border>
    <border>
      <left style="thin">
        <color auto="1"/>
      </left>
      <right style="thin">
        <color auto="1"/>
      </right>
      <top style="thin">
        <color theme="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alignment wrapText="1"/>
    </xf>
    <xf numFmtId="176" fontId="0" fillId="0" borderId="0" applyFont="0" applyFill="0" applyBorder="0" applyAlignment="0" applyProtection="0"/>
    <xf numFmtId="177" fontId="67" fillId="0" borderId="0" applyFont="0" applyFill="0" applyBorder="0" applyProtection="0">
      <alignment horizontal="right" vertical="center"/>
    </xf>
    <xf numFmtId="9" fontId="0" fillId="0" borderId="0" applyFont="0" applyFill="0" applyBorder="0" applyAlignment="0" applyProtection="0"/>
    <xf numFmtId="41" fontId="61" fillId="0" borderId="0" applyFont="0" applyFill="0" applyBorder="0" applyAlignment="0" applyProtection="0">
      <alignment vertical="center"/>
    </xf>
    <xf numFmtId="42" fontId="61" fillId="0" borderId="0" applyFont="0" applyFill="0" applyBorder="0" applyAlignment="0" applyProtection="0">
      <alignment vertical="center"/>
    </xf>
    <xf numFmtId="0" fontId="68" fillId="0" borderId="0" applyNumberFormat="0" applyFill="0" applyBorder="0" applyAlignment="0" applyProtection="0">
      <alignment wrapText="1"/>
    </xf>
    <xf numFmtId="0" fontId="69" fillId="0" borderId="0" applyNumberFormat="0" applyFill="0" applyBorder="0" applyAlignment="0" applyProtection="0">
      <alignment vertical="center"/>
    </xf>
    <xf numFmtId="0" fontId="61" fillId="28" borderId="85" applyNumberFormat="0" applyFont="0" applyAlignment="0" applyProtection="0">
      <alignment vertical="center"/>
    </xf>
    <xf numFmtId="0" fontId="70" fillId="0" borderId="0" applyNumberFormat="0" applyFill="0" applyBorder="0" applyAlignment="0" applyProtection="0">
      <alignment vertical="center"/>
    </xf>
    <xf numFmtId="0" fontId="71" fillId="0" borderId="0" applyNumberFormat="0" applyFill="0" applyBorder="0" applyProtection="0">
      <alignment horizontal="right"/>
    </xf>
    <xf numFmtId="0" fontId="5" fillId="0" borderId="0" applyNumberFormat="0" applyFill="0" applyBorder="0" applyProtection="0">
      <alignment horizontal="center"/>
    </xf>
    <xf numFmtId="0" fontId="72" fillId="0" borderId="86" applyNumberFormat="0" applyFill="0" applyAlignment="0" applyProtection="0">
      <alignment vertical="center"/>
    </xf>
    <xf numFmtId="0" fontId="4" fillId="0" borderId="0" applyNumberFormat="0" applyFill="0" applyProtection="0">
      <alignment vertical="top" wrapText="1"/>
    </xf>
    <xf numFmtId="0" fontId="5" fillId="0" borderId="0" applyNumberFormat="0" applyFill="0" applyAlignment="0" applyProtection="0"/>
    <xf numFmtId="0" fontId="73" fillId="0" borderId="0" applyNumberFormat="0" applyFill="0" applyBorder="0" applyAlignment="0" applyProtection="0">
      <alignment vertical="center"/>
    </xf>
    <xf numFmtId="0" fontId="74" fillId="29" borderId="87" applyNumberFormat="0" applyAlignment="0" applyProtection="0">
      <alignment vertical="center"/>
    </xf>
    <xf numFmtId="0" fontId="75" fillId="25" borderId="88" applyNumberFormat="0" applyAlignment="0" applyProtection="0">
      <alignment vertical="center"/>
    </xf>
    <xf numFmtId="0" fontId="76" fillId="25" borderId="87" applyNumberFormat="0" applyAlignment="0" applyProtection="0">
      <alignment vertical="center"/>
    </xf>
    <xf numFmtId="0" fontId="77" fillId="30" borderId="89" applyNumberFormat="0" applyAlignment="0" applyProtection="0">
      <alignment vertical="center"/>
    </xf>
    <xf numFmtId="0" fontId="78" fillId="0" borderId="90" applyNumberFormat="0" applyFill="0" applyAlignment="0" applyProtection="0">
      <alignment vertical="center"/>
    </xf>
    <xf numFmtId="0" fontId="79" fillId="0" borderId="91" applyNumberFormat="0" applyFill="0" applyAlignment="0" applyProtection="0">
      <alignment vertical="center"/>
    </xf>
    <xf numFmtId="0" fontId="80" fillId="31" borderId="0" applyNumberFormat="0" applyBorder="0" applyAlignment="0" applyProtection="0">
      <alignment vertical="center"/>
    </xf>
    <xf numFmtId="0" fontId="81" fillId="32" borderId="0" applyNumberFormat="0" applyBorder="0" applyAlignment="0" applyProtection="0">
      <alignment vertical="center"/>
    </xf>
    <xf numFmtId="0" fontId="82" fillId="33" borderId="0" applyNumberFormat="0" applyBorder="0" applyAlignment="0" applyProtection="0">
      <alignment vertical="center"/>
    </xf>
    <xf numFmtId="0" fontId="83" fillId="19" borderId="0" applyNumberFormat="0" applyBorder="0" applyAlignment="0" applyProtection="0">
      <alignment vertical="center"/>
    </xf>
    <xf numFmtId="0" fontId="84" fillId="34" borderId="0" applyNumberFormat="0" applyBorder="0" applyAlignment="0" applyProtection="0">
      <alignment vertical="center"/>
    </xf>
    <xf numFmtId="0" fontId="84" fillId="35" borderId="0" applyNumberFormat="0" applyBorder="0" applyAlignment="0" applyProtection="0">
      <alignment vertical="center"/>
    </xf>
    <xf numFmtId="0" fontId="83" fillId="36" borderId="0" applyNumberFormat="0" applyBorder="0" applyAlignment="0" applyProtection="0">
      <alignment vertical="center"/>
    </xf>
    <xf numFmtId="0" fontId="83" fillId="37" borderId="0" applyNumberFormat="0" applyBorder="0" applyAlignment="0" applyProtection="0">
      <alignment vertical="center"/>
    </xf>
    <xf numFmtId="0" fontId="84" fillId="38" borderId="0" applyNumberFormat="0" applyBorder="0" applyAlignment="0" applyProtection="0">
      <alignment vertical="center"/>
    </xf>
    <xf numFmtId="0" fontId="84" fillId="39" borderId="0" applyNumberFormat="0" applyBorder="0" applyAlignment="0" applyProtection="0">
      <alignment vertical="center"/>
    </xf>
    <xf numFmtId="0" fontId="83" fillId="40" borderId="0" applyNumberFormat="0" applyBorder="0" applyAlignment="0" applyProtection="0">
      <alignment vertical="center"/>
    </xf>
    <xf numFmtId="0" fontId="83" fillId="41" borderId="0" applyNumberFormat="0" applyBorder="0" applyAlignment="0" applyProtection="0">
      <alignment vertical="center"/>
    </xf>
    <xf numFmtId="0" fontId="84" fillId="42" borderId="0" applyNumberFormat="0" applyBorder="0" applyAlignment="0" applyProtection="0">
      <alignment vertical="center"/>
    </xf>
    <xf numFmtId="0" fontId="84" fillId="17" borderId="0" applyNumberFormat="0" applyBorder="0" applyAlignment="0" applyProtection="0">
      <alignment vertical="center"/>
    </xf>
    <xf numFmtId="0" fontId="83" fillId="43" borderId="0" applyNumberFormat="0" applyBorder="0" applyAlignment="0" applyProtection="0">
      <alignment vertical="center"/>
    </xf>
    <xf numFmtId="0" fontId="83" fillId="44" borderId="0" applyNumberFormat="0" applyBorder="0" applyAlignment="0" applyProtection="0">
      <alignment vertical="center"/>
    </xf>
    <xf numFmtId="0" fontId="84" fillId="45" borderId="0" applyNumberFormat="0" applyBorder="0" applyAlignment="0" applyProtection="0">
      <alignment vertical="center"/>
    </xf>
    <xf numFmtId="0" fontId="84" fillId="15" borderId="0" applyNumberFormat="0" applyBorder="0" applyAlignment="0" applyProtection="0">
      <alignment vertical="center"/>
    </xf>
    <xf numFmtId="0" fontId="83" fillId="46" borderId="0" applyNumberFormat="0" applyBorder="0" applyAlignment="0" applyProtection="0">
      <alignment vertical="center"/>
    </xf>
    <xf numFmtId="0" fontId="83" fillId="47" borderId="0" applyNumberFormat="0" applyBorder="0" applyAlignment="0" applyProtection="0">
      <alignment vertical="center"/>
    </xf>
    <xf numFmtId="0" fontId="84" fillId="48" borderId="0" applyNumberFormat="0" applyBorder="0" applyAlignment="0" applyProtection="0">
      <alignment vertical="center"/>
    </xf>
    <xf numFmtId="0" fontId="84" fillId="49" borderId="0" applyNumberFormat="0" applyBorder="0" applyAlignment="0" applyProtection="0">
      <alignment vertical="center"/>
    </xf>
    <xf numFmtId="0" fontId="83" fillId="50" borderId="0" applyNumberFormat="0" applyBorder="0" applyAlignment="0" applyProtection="0">
      <alignment vertical="center"/>
    </xf>
    <xf numFmtId="0" fontId="83" fillId="18" borderId="0" applyNumberFormat="0" applyBorder="0" applyAlignment="0" applyProtection="0">
      <alignment vertical="center"/>
    </xf>
    <xf numFmtId="0" fontId="84" fillId="51" borderId="0" applyNumberFormat="0" applyBorder="0" applyAlignment="0" applyProtection="0">
      <alignment vertical="center"/>
    </xf>
    <xf numFmtId="0" fontId="84" fillId="52" borderId="0" applyNumberFormat="0" applyBorder="0" applyAlignment="0" applyProtection="0">
      <alignment vertical="center"/>
    </xf>
    <xf numFmtId="0" fontId="83" fillId="53" borderId="0" applyNumberFormat="0" applyBorder="0" applyAlignment="0" applyProtection="0">
      <alignment vertical="center"/>
    </xf>
    <xf numFmtId="176" fontId="27" fillId="0" borderId="0" applyFont="0" applyFill="0" applyBorder="0" applyAlignment="0" applyProtection="0"/>
    <xf numFmtId="177" fontId="27" fillId="0" borderId="0" applyFont="0" applyFill="0" applyBorder="0" applyAlignment="0" applyProtection="0"/>
    <xf numFmtId="178" fontId="61" fillId="0" borderId="0" applyFont="0" applyFill="0" applyBorder="0" applyAlignment="0" applyProtection="0"/>
    <xf numFmtId="179" fontId="67" fillId="0" borderId="0" applyFont="0" applyFill="0" applyBorder="0">
      <alignment horizontal="right"/>
    </xf>
    <xf numFmtId="0" fontId="67" fillId="0" borderId="0" applyFont="0" applyFill="0" applyBorder="0">
      <alignment vertical="center" wrapText="1"/>
    </xf>
    <xf numFmtId="0" fontId="37" fillId="0" borderId="0" applyNumberFormat="0" applyFill="0" applyBorder="0" applyAlignment="0" applyProtection="0"/>
    <xf numFmtId="0" fontId="27" fillId="0" borderId="0"/>
    <xf numFmtId="0" fontId="27" fillId="0" borderId="0"/>
    <xf numFmtId="0" fontId="27" fillId="0" borderId="0"/>
    <xf numFmtId="0" fontId="85" fillId="0" borderId="0"/>
    <xf numFmtId="0" fontId="27" fillId="0" borderId="0"/>
    <xf numFmtId="0" fontId="61" fillId="0" borderId="0"/>
    <xf numFmtId="9" fontId="27" fillId="0" borderId="0" applyFont="0" applyFill="0" applyBorder="0" applyAlignment="0" applyProtection="0"/>
    <xf numFmtId="180" fontId="67" fillId="0" borderId="0" applyFont="0" applyFill="0" applyBorder="0">
      <alignment horizontal="left" vertical="top"/>
    </xf>
    <xf numFmtId="0" fontId="67" fillId="0" borderId="0" applyNumberFormat="0" applyFont="0" applyFill="0" applyBorder="0">
      <alignment horizontal="right" wrapText="1"/>
    </xf>
    <xf numFmtId="0" fontId="67" fillId="0" borderId="0" applyFont="0" applyFill="0" applyBorder="0">
      <alignment horizontal="right" vertical="top" wrapText="1"/>
    </xf>
  </cellStyleXfs>
  <cellXfs count="667">
    <xf numFmtId="0" fontId="0" fillId="0" borderId="0" xfId="0">
      <alignment wrapText="1"/>
    </xf>
    <xf numFmtId="0" fontId="1" fillId="0" borderId="0" xfId="0" applyFont="1">
      <alignment wrapText="1"/>
    </xf>
    <xf numFmtId="177" fontId="0" fillId="0" borderId="0" xfId="2" applyFont="1">
      <alignment horizontal="right" vertical="center"/>
    </xf>
    <xf numFmtId="2" fontId="0" fillId="0" borderId="0" xfId="0" applyNumberFormat="1">
      <alignment wrapText="1"/>
    </xf>
    <xf numFmtId="0" fontId="2" fillId="0" borderId="0" xfId="13" applyFont="1">
      <alignment vertical="top" wrapText="1"/>
    </xf>
    <xf numFmtId="0" fontId="3" fillId="0" borderId="0" xfId="10" applyFont="1">
      <alignment horizontal="right"/>
    </xf>
    <xf numFmtId="0" fontId="4" fillId="0" borderId="0" xfId="13">
      <alignment vertical="top" wrapText="1"/>
    </xf>
    <xf numFmtId="0" fontId="5" fillId="0" borderId="0" xfId="0" applyFont="1">
      <alignment wrapText="1"/>
    </xf>
    <xf numFmtId="177" fontId="5" fillId="0" borderId="0" xfId="2" applyFont="1">
      <alignment horizontal="right" vertical="center"/>
    </xf>
    <xf numFmtId="2" fontId="5" fillId="0" borderId="0" xfId="63" applyNumberFormat="1" applyFont="1">
      <alignment horizontal="right" wrapText="1"/>
    </xf>
    <xf numFmtId="179" fontId="0" fillId="0" borderId="0" xfId="63" applyNumberFormat="1" applyFont="1" applyFill="1">
      <alignment horizontal="right" wrapText="1"/>
    </xf>
    <xf numFmtId="0" fontId="0" fillId="0" borderId="0" xfId="63" applyFont="1" applyFill="1">
      <alignment horizontal="right" wrapText="1"/>
    </xf>
    <xf numFmtId="0" fontId="0" fillId="0" borderId="0" xfId="0" applyAlignment="1">
      <alignment horizontal="right" wrapText="1"/>
    </xf>
    <xf numFmtId="180" fontId="5" fillId="0" borderId="0" xfId="62" applyFont="1" applyAlignment="1">
      <alignment horizontal="left"/>
    </xf>
    <xf numFmtId="180" fontId="0" fillId="0" borderId="0" xfId="62" applyFont="1" applyAlignment="1">
      <alignment horizontal="left"/>
    </xf>
    <xf numFmtId="2" fontId="5" fillId="0" borderId="0" xfId="64" applyNumberFormat="1" applyFont="1">
      <alignment horizontal="right" vertical="top" wrapText="1"/>
    </xf>
    <xf numFmtId="0" fontId="5" fillId="0" borderId="0" xfId="2" applyNumberFormat="1" applyFont="1" applyBorder="1">
      <alignment horizontal="right" vertical="center"/>
    </xf>
    <xf numFmtId="0" fontId="5" fillId="0" borderId="0" xfId="14"/>
    <xf numFmtId="1" fontId="5" fillId="0" borderId="0" xfId="64" applyNumberFormat="1" applyFont="1">
      <alignment horizontal="right" vertical="top" wrapText="1"/>
    </xf>
    <xf numFmtId="0" fontId="0" fillId="0" borderId="0" xfId="0" applyAlignment="1">
      <alignment wrapText="1"/>
    </xf>
    <xf numFmtId="177" fontId="5" fillId="0" borderId="0" xfId="2" applyFont="1" applyAlignment="1">
      <alignment horizontal="right" vertical="center" wrapText="1"/>
    </xf>
    <xf numFmtId="181" fontId="5" fillId="0" borderId="0" xfId="3" applyNumberFormat="1" applyFont="1" applyAlignment="1">
      <alignment wrapText="1"/>
    </xf>
    <xf numFmtId="182" fontId="0" fillId="0" borderId="0" xfId="0" applyNumberFormat="1">
      <alignment wrapText="1"/>
    </xf>
    <xf numFmtId="4" fontId="0" fillId="0" borderId="0" xfId="0" applyNumberFormat="1">
      <alignment wrapText="1"/>
    </xf>
    <xf numFmtId="0" fontId="6" fillId="0" borderId="0" xfId="0" applyFont="1" applyAlignment="1">
      <alignment horizontal="center" vertical="center" wrapText="1"/>
    </xf>
    <xf numFmtId="177" fontId="6" fillId="0" borderId="1" xfId="2" applyFont="1" applyBorder="1" applyAlignment="1">
      <alignment horizontal="center" vertical="center" wrapText="1"/>
    </xf>
    <xf numFmtId="2" fontId="6" fillId="0" borderId="0" xfId="0" applyNumberFormat="1" applyFont="1" applyAlignment="1">
      <alignment horizontal="right" vertical="center"/>
    </xf>
    <xf numFmtId="2" fontId="6" fillId="0" borderId="0" xfId="0" applyNumberFormat="1" applyFont="1" applyAlignment="1">
      <alignment horizontal="center" vertical="center"/>
    </xf>
    <xf numFmtId="0" fontId="6" fillId="0" borderId="2" xfId="0" applyFont="1" applyBorder="1" applyAlignment="1">
      <alignment horizontal="center" vertical="center"/>
    </xf>
    <xf numFmtId="0" fontId="5" fillId="2" borderId="0" xfId="53" applyFont="1" applyFill="1">
      <alignment vertical="center" wrapText="1"/>
    </xf>
    <xf numFmtId="183" fontId="7" fillId="0" borderId="3" xfId="2" applyNumberFormat="1" applyFont="1" applyFill="1" applyBorder="1">
      <alignment horizontal="right" vertical="center"/>
    </xf>
    <xf numFmtId="184" fontId="7" fillId="0" borderId="0" xfId="53" applyNumberFormat="1" applyFont="1" applyFill="1" applyBorder="1">
      <alignment vertical="center" wrapText="1"/>
    </xf>
    <xf numFmtId="177" fontId="7" fillId="0" borderId="0" xfId="2" applyFont="1" applyFill="1">
      <alignment horizontal="right" vertical="center"/>
    </xf>
    <xf numFmtId="0" fontId="0" fillId="0" borderId="0" xfId="53" applyFont="1" applyBorder="1">
      <alignment vertical="center" wrapText="1"/>
    </xf>
    <xf numFmtId="183" fontId="0" fillId="0" borderId="3" xfId="2" applyNumberFormat="1" applyFont="1" applyBorder="1">
      <alignment horizontal="right" vertical="center"/>
    </xf>
    <xf numFmtId="184" fontId="0" fillId="0" borderId="0" xfId="53" applyNumberFormat="1" applyFont="1" applyBorder="1">
      <alignment vertical="center" wrapText="1"/>
    </xf>
    <xf numFmtId="177" fontId="0" fillId="0" borderId="3" xfId="2" applyFont="1" applyBorder="1">
      <alignment horizontal="right" vertical="center"/>
    </xf>
    <xf numFmtId="0" fontId="0" fillId="0" borderId="4" xfId="53" applyFont="1" applyFill="1" applyBorder="1">
      <alignment vertical="center" wrapText="1"/>
    </xf>
    <xf numFmtId="185" fontId="0" fillId="0" borderId="0" xfId="0" applyNumberFormat="1">
      <alignment wrapText="1"/>
    </xf>
    <xf numFmtId="0" fontId="0" fillId="0" borderId="0" xfId="53" applyFont="1" applyFill="1" applyBorder="1">
      <alignment vertical="center" wrapText="1"/>
    </xf>
    <xf numFmtId="0" fontId="5" fillId="0" borderId="0" xfId="53" applyFont="1" applyFill="1" applyBorder="1" applyAlignment="1">
      <alignment horizontal="right" vertical="center" wrapText="1"/>
    </xf>
    <xf numFmtId="183" fontId="5" fillId="0" borderId="3" xfId="2" applyNumberFormat="1" applyFont="1" applyBorder="1">
      <alignment horizontal="right" vertical="center"/>
    </xf>
    <xf numFmtId="184" fontId="5" fillId="0" borderId="0" xfId="53" applyNumberFormat="1" applyFont="1" applyFill="1" applyBorder="1">
      <alignment vertical="center" wrapText="1"/>
    </xf>
    <xf numFmtId="178" fontId="5" fillId="0" borderId="0" xfId="2" applyNumberFormat="1" applyFont="1" applyFill="1" applyBorder="1">
      <alignment horizontal="right" vertical="center"/>
    </xf>
    <xf numFmtId="0" fontId="5" fillId="2" borderId="0" xfId="53" applyFont="1" applyFill="1" applyBorder="1">
      <alignment vertical="center" wrapText="1"/>
    </xf>
    <xf numFmtId="183" fontId="0" fillId="0" borderId="5" xfId="2" applyNumberFormat="1" applyFont="1" applyBorder="1">
      <alignment horizontal="right" vertical="center"/>
    </xf>
    <xf numFmtId="184" fontId="0" fillId="0" borderId="0" xfId="2" applyNumberFormat="1" applyFont="1" applyBorder="1" applyAlignment="1">
      <alignment vertical="center"/>
    </xf>
    <xf numFmtId="177" fontId="0" fillId="0" borderId="0" xfId="2" applyFont="1" applyBorder="1">
      <alignment horizontal="right" vertical="center"/>
    </xf>
    <xf numFmtId="177" fontId="0" fillId="0" borderId="0" xfId="0" applyNumberFormat="1">
      <alignment wrapText="1"/>
    </xf>
    <xf numFmtId="183" fontId="5" fillId="0" borderId="3" xfId="2" applyNumberFormat="1" applyFont="1" applyFill="1" applyBorder="1">
      <alignment horizontal="right" vertical="center"/>
    </xf>
    <xf numFmtId="184" fontId="5" fillId="0" borderId="0" xfId="2" applyNumberFormat="1" applyFont="1" applyBorder="1" applyAlignment="1">
      <alignment vertical="center"/>
    </xf>
    <xf numFmtId="177" fontId="5" fillId="0" borderId="0" xfId="2" applyFont="1" applyBorder="1">
      <alignment horizontal="right" vertical="center"/>
    </xf>
    <xf numFmtId="183" fontId="0" fillId="0" borderId="3" xfId="2" applyNumberFormat="1" applyFont="1" applyFill="1" applyBorder="1">
      <alignment horizontal="right" vertical="center"/>
    </xf>
    <xf numFmtId="184" fontId="0" fillId="0" borderId="0" xfId="53" applyNumberFormat="1" applyFont="1" applyFill="1" applyBorder="1">
      <alignment vertical="center" wrapText="1"/>
    </xf>
    <xf numFmtId="177" fontId="5" fillId="0" borderId="0" xfId="2" applyFont="1" applyFill="1" applyBorder="1">
      <alignment horizontal="right" vertical="center"/>
    </xf>
    <xf numFmtId="0" fontId="0" fillId="0" borderId="4" xfId="53" applyFont="1" applyBorder="1">
      <alignment vertical="center" wrapText="1"/>
    </xf>
    <xf numFmtId="0" fontId="5" fillId="2" borderId="0" xfId="53" applyFont="1" applyFill="1" applyBorder="1" applyAlignment="1">
      <alignment horizontal="right" vertical="center" wrapText="1"/>
    </xf>
    <xf numFmtId="183" fontId="5" fillId="2" borderId="3" xfId="2" applyNumberFormat="1" applyFont="1" applyFill="1" applyBorder="1">
      <alignment horizontal="right" vertical="center"/>
    </xf>
    <xf numFmtId="184" fontId="5" fillId="2" borderId="0" xfId="53" applyNumberFormat="1" applyFont="1" applyFill="1" applyBorder="1">
      <alignment vertical="center" wrapText="1"/>
    </xf>
    <xf numFmtId="177" fontId="5" fillId="2" borderId="0" xfId="2" applyFont="1" applyFill="1" applyBorder="1">
      <alignment horizontal="right" vertical="center"/>
    </xf>
    <xf numFmtId="0" fontId="0" fillId="3" borderId="0" xfId="53" applyFont="1" applyFill="1" applyBorder="1">
      <alignment vertical="center" wrapText="1"/>
    </xf>
    <xf numFmtId="183" fontId="0" fillId="3" borderId="3" xfId="2" applyNumberFormat="1" applyFont="1" applyFill="1" applyBorder="1">
      <alignment horizontal="right" vertical="center"/>
    </xf>
    <xf numFmtId="2" fontId="0" fillId="3" borderId="0" xfId="53" applyNumberFormat="1" applyFont="1" applyFill="1" applyBorder="1">
      <alignment vertical="center" wrapText="1"/>
    </xf>
    <xf numFmtId="0" fontId="0" fillId="3" borderId="0" xfId="2" applyNumberFormat="1" applyFont="1" applyFill="1" applyBorder="1">
      <alignment horizontal="right" vertical="center"/>
    </xf>
    <xf numFmtId="0" fontId="5" fillId="2" borderId="6" xfId="0" applyFont="1" applyFill="1" applyBorder="1" applyAlignment="1">
      <alignment vertical="center" wrapText="1"/>
    </xf>
    <xf numFmtId="183" fontId="8" fillId="2" borderId="0" xfId="2" applyNumberFormat="1" applyFont="1" applyFill="1">
      <alignment horizontal="right" vertical="center"/>
    </xf>
    <xf numFmtId="2" fontId="8" fillId="2" borderId="0" xfId="0" applyNumberFormat="1" applyFont="1" applyFill="1" applyAlignment="1">
      <alignment horizontal="right" vertical="center"/>
    </xf>
    <xf numFmtId="177" fontId="8" fillId="2" borderId="7" xfId="0" applyNumberFormat="1" applyFont="1" applyFill="1" applyBorder="1" applyAlignment="1">
      <alignment horizontal="right" vertical="center"/>
    </xf>
    <xf numFmtId="0" fontId="5" fillId="0" borderId="0" xfId="0" applyFont="1" applyAlignment="1">
      <alignment horizontal="left" wrapText="1"/>
    </xf>
    <xf numFmtId="177" fontId="0" fillId="0" borderId="0" xfId="2" applyFont="1" applyAlignment="1">
      <alignment horizontal="left" vertical="center"/>
    </xf>
    <xf numFmtId="49" fontId="0" fillId="0" borderId="0" xfId="2" applyNumberFormat="1" applyFont="1" applyAlignment="1">
      <alignment horizontal="left" vertical="center"/>
    </xf>
    <xf numFmtId="0" fontId="9" fillId="0" borderId="0" xfId="11" applyFont="1" applyFill="1" applyAlignment="1">
      <alignment horizontal="left"/>
    </xf>
    <xf numFmtId="177" fontId="0" fillId="0" borderId="0" xfId="0" applyNumberFormat="1" applyAlignment="1">
      <alignment horizontal="right" vertical="center"/>
    </xf>
    <xf numFmtId="0" fontId="2" fillId="0" borderId="0" xfId="0" applyFont="1" applyAlignment="1">
      <alignment vertical="top" wrapText="1"/>
    </xf>
    <xf numFmtId="0" fontId="10" fillId="0" borderId="0" xfId="0" applyFont="1" applyAlignment="1">
      <alignment horizontal="right"/>
    </xf>
    <xf numFmtId="0" fontId="11" fillId="0" borderId="0" xfId="0" applyFont="1" applyAlignment="1">
      <alignment vertical="top" wrapText="1"/>
    </xf>
    <xf numFmtId="0" fontId="5" fillId="0" borderId="0" xfId="0" applyFont="1">
      <alignment wrapText="1"/>
    </xf>
    <xf numFmtId="177" fontId="5" fillId="0" borderId="0" xfId="0" applyNumberFormat="1" applyFont="1" applyAlignment="1">
      <alignment horizontal="right" vertical="center"/>
    </xf>
    <xf numFmtId="2" fontId="5" fillId="0" borderId="0" xfId="0" applyNumberFormat="1" applyFont="1" applyAlignment="1">
      <alignment horizontal="right" wrapText="1"/>
    </xf>
    <xf numFmtId="179" fontId="0" fillId="0" borderId="0" xfId="0" applyNumberFormat="1" applyAlignment="1">
      <alignment horizontal="right" wrapText="1"/>
    </xf>
    <xf numFmtId="0" fontId="0" fillId="0" borderId="0" xfId="0" applyAlignment="1">
      <alignment horizontal="right" wrapText="1"/>
    </xf>
    <xf numFmtId="180" fontId="5" fillId="0" borderId="0" xfId="0" applyNumberFormat="1" applyFont="1" applyAlignment="1">
      <alignment horizontal="left"/>
    </xf>
    <xf numFmtId="180" fontId="0" fillId="0" borderId="0" xfId="0" applyNumberFormat="1" applyAlignment="1">
      <alignment horizontal="left"/>
    </xf>
    <xf numFmtId="2" fontId="5" fillId="0" borderId="0" xfId="0" applyNumberFormat="1" applyFont="1" applyAlignment="1">
      <alignment horizontal="right" vertical="top" wrapText="1"/>
    </xf>
    <xf numFmtId="0" fontId="5" fillId="0" borderId="0" xfId="0" applyFont="1" applyAlignment="1">
      <alignment horizontal="right" vertical="center"/>
    </xf>
    <xf numFmtId="0" fontId="5" fillId="0" borderId="0" xfId="0" applyFont="1" applyAlignment="1"/>
    <xf numFmtId="1" fontId="5" fillId="0" borderId="0" xfId="0" applyNumberFormat="1" applyFont="1" applyAlignment="1">
      <alignment horizontal="right" vertical="top" wrapText="1"/>
    </xf>
    <xf numFmtId="177" fontId="5" fillId="0" borderId="0" xfId="0" applyNumberFormat="1" applyFont="1" applyAlignment="1">
      <alignment horizontal="right" vertical="center" wrapText="1"/>
    </xf>
    <xf numFmtId="181" fontId="5" fillId="0" borderId="0" xfId="0" applyNumberFormat="1" applyFont="1">
      <alignment wrapText="1"/>
    </xf>
    <xf numFmtId="0" fontId="12" fillId="4" borderId="4" xfId="0" applyFont="1" applyFill="1" applyBorder="1" applyAlignment="1">
      <alignment horizontal="center" vertical="center" wrapText="1"/>
    </xf>
    <xf numFmtId="177" fontId="12" fillId="4" borderId="6" xfId="0" applyNumberFormat="1" applyFont="1" applyFill="1" applyBorder="1" applyAlignment="1">
      <alignment horizontal="center" vertical="center" wrapText="1"/>
    </xf>
    <xf numFmtId="2" fontId="12" fillId="4" borderId="8" xfId="0" applyNumberFormat="1" applyFont="1" applyFill="1" applyBorder="1" applyAlignment="1">
      <alignment horizontal="right" vertical="center"/>
    </xf>
    <xf numFmtId="2" fontId="12" fillId="4" borderId="8" xfId="0" applyNumberFormat="1" applyFont="1" applyFill="1" applyBorder="1" applyAlignment="1">
      <alignment horizontal="center" vertical="center"/>
    </xf>
    <xf numFmtId="0" fontId="12" fillId="4" borderId="6" xfId="0" applyFont="1" applyFill="1" applyBorder="1" applyAlignment="1">
      <alignment horizontal="center" vertical="center"/>
    </xf>
    <xf numFmtId="0" fontId="5" fillId="4" borderId="4" xfId="0" applyFont="1" applyFill="1" applyBorder="1" applyAlignment="1">
      <alignment vertical="center" wrapText="1"/>
    </xf>
    <xf numFmtId="183" fontId="7" fillId="0" borderId="6" xfId="0" applyNumberFormat="1" applyFont="1" applyBorder="1" applyAlignment="1">
      <alignment horizontal="right" vertical="center"/>
    </xf>
    <xf numFmtId="184" fontId="7" fillId="0" borderId="8" xfId="0" applyNumberFormat="1" applyFont="1" applyBorder="1" applyAlignment="1">
      <alignment vertical="center" wrapText="1"/>
    </xf>
    <xf numFmtId="177" fontId="7" fillId="0" borderId="6" xfId="0" applyNumberFormat="1" applyFont="1" applyBorder="1" applyAlignment="1">
      <alignment horizontal="right" vertical="center"/>
    </xf>
    <xf numFmtId="0" fontId="0" fillId="0" borderId="4" xfId="0" applyBorder="1" applyAlignment="1">
      <alignment vertical="center" wrapText="1"/>
    </xf>
    <xf numFmtId="183" fontId="0" fillId="0" borderId="6" xfId="0" applyNumberFormat="1" applyBorder="1" applyAlignment="1">
      <alignment horizontal="right" vertical="center"/>
    </xf>
    <xf numFmtId="184" fontId="0" fillId="0" borderId="8" xfId="0" applyNumberFormat="1" applyBorder="1" applyAlignment="1">
      <alignment vertical="center" wrapText="1"/>
    </xf>
    <xf numFmtId="177" fontId="0" fillId="0" borderId="6" xfId="0" applyNumberFormat="1" applyBorder="1" applyAlignment="1">
      <alignment horizontal="right" vertical="center"/>
    </xf>
    <xf numFmtId="0" fontId="5" fillId="0" borderId="4" xfId="0" applyFont="1" applyBorder="1" applyAlignment="1">
      <alignment horizontal="right" vertical="center" wrapText="1"/>
    </xf>
    <xf numFmtId="183" fontId="5" fillId="0" borderId="6" xfId="0" applyNumberFormat="1" applyFont="1" applyBorder="1" applyAlignment="1">
      <alignment horizontal="right" vertical="center"/>
    </xf>
    <xf numFmtId="184" fontId="5" fillId="0" borderId="8" xfId="0" applyNumberFormat="1" applyFont="1" applyBorder="1" applyAlignment="1">
      <alignment vertical="center" wrapText="1"/>
    </xf>
    <xf numFmtId="178" fontId="5" fillId="0" borderId="6" xfId="0" applyNumberFormat="1" applyFont="1" applyBorder="1" applyAlignment="1">
      <alignment horizontal="right" vertical="center"/>
    </xf>
    <xf numFmtId="183" fontId="0" fillId="0" borderId="4" xfId="0" applyNumberFormat="1" applyBorder="1" applyAlignment="1">
      <alignment horizontal="right" vertical="center"/>
    </xf>
    <xf numFmtId="184" fontId="0" fillId="0" borderId="8" xfId="0" applyNumberFormat="1" applyBorder="1" applyAlignment="1">
      <alignment vertical="center"/>
    </xf>
    <xf numFmtId="183" fontId="13" fillId="0" borderId="6" xfId="0" applyNumberFormat="1" applyFont="1" applyBorder="1" applyAlignment="1">
      <alignment horizontal="right" vertical="center"/>
    </xf>
    <xf numFmtId="177" fontId="13" fillId="0" borderId="6" xfId="0" applyNumberFormat="1" applyFont="1" applyBorder="1" applyAlignment="1">
      <alignment horizontal="right" vertical="center"/>
    </xf>
    <xf numFmtId="184" fontId="5" fillId="0" borderId="8" xfId="0" applyNumberFormat="1" applyFont="1" applyBorder="1" applyAlignment="1">
      <alignment vertical="center"/>
    </xf>
    <xf numFmtId="177" fontId="5" fillId="0" borderId="6" xfId="0" applyNumberFormat="1" applyFont="1" applyBorder="1" applyAlignment="1">
      <alignment horizontal="right" vertical="center"/>
    </xf>
    <xf numFmtId="177" fontId="14" fillId="0" borderId="6" xfId="0" applyNumberFormat="1" applyFont="1" applyBorder="1" applyAlignment="1">
      <alignment horizontal="right" vertical="center"/>
    </xf>
    <xf numFmtId="0" fontId="5" fillId="4" borderId="4" xfId="0" applyFont="1" applyFill="1" applyBorder="1" applyAlignment="1">
      <alignment horizontal="right" vertical="center" wrapText="1"/>
    </xf>
    <xf numFmtId="183" fontId="5" fillId="4" borderId="6" xfId="0" applyNumberFormat="1" applyFont="1" applyFill="1" applyBorder="1" applyAlignment="1">
      <alignment horizontal="right" vertical="center"/>
    </xf>
    <xf numFmtId="184" fontId="5" fillId="4" borderId="8" xfId="0" applyNumberFormat="1" applyFont="1" applyFill="1" applyBorder="1" applyAlignment="1">
      <alignment vertical="center" wrapText="1"/>
    </xf>
    <xf numFmtId="177" fontId="5" fillId="4" borderId="6" xfId="0" applyNumberFormat="1" applyFont="1" applyFill="1" applyBorder="1" applyAlignment="1">
      <alignment horizontal="right" vertical="center"/>
    </xf>
    <xf numFmtId="0" fontId="0" fillId="5" borderId="4" xfId="0" applyFill="1" applyBorder="1" applyAlignment="1">
      <alignment vertical="center" wrapText="1"/>
    </xf>
    <xf numFmtId="183" fontId="0" fillId="5" borderId="6" xfId="0" applyNumberFormat="1" applyFill="1" applyBorder="1" applyAlignment="1">
      <alignment horizontal="right" vertical="center"/>
    </xf>
    <xf numFmtId="2" fontId="0" fillId="5" borderId="8" xfId="0" applyNumberFormat="1" applyFill="1" applyBorder="1" applyAlignment="1">
      <alignment vertical="center" wrapText="1"/>
    </xf>
    <xf numFmtId="0" fontId="0" fillId="5" borderId="6" xfId="0" applyFill="1" applyBorder="1" applyAlignment="1">
      <alignment horizontal="right" vertical="center"/>
    </xf>
    <xf numFmtId="0" fontId="1" fillId="0" borderId="0" xfId="0" applyFont="1">
      <alignment wrapText="1"/>
    </xf>
    <xf numFmtId="0" fontId="5" fillId="4" borderId="6" xfId="0" applyFont="1" applyFill="1" applyBorder="1" applyAlignment="1">
      <alignment vertical="center" wrapText="1"/>
    </xf>
    <xf numFmtId="183" fontId="15" fillId="4" borderId="8" xfId="0" applyNumberFormat="1" applyFont="1" applyFill="1" applyBorder="1" applyAlignment="1">
      <alignment horizontal="right" vertical="center"/>
    </xf>
    <xf numFmtId="2" fontId="15" fillId="4" borderId="8" xfId="0" applyNumberFormat="1" applyFont="1" applyFill="1" applyBorder="1" applyAlignment="1">
      <alignment horizontal="right" vertical="center"/>
    </xf>
    <xf numFmtId="177" fontId="15" fillId="4" borderId="6" xfId="0" applyNumberFormat="1" applyFont="1" applyFill="1" applyBorder="1" applyAlignment="1">
      <alignment horizontal="right" vertical="center"/>
    </xf>
    <xf numFmtId="0" fontId="5" fillId="0" borderId="0" xfId="0" applyFont="1" applyAlignment="1">
      <alignment horizontal="left" wrapText="1"/>
    </xf>
    <xf numFmtId="177" fontId="0" fillId="0" borderId="0" xfId="0" applyNumberFormat="1" applyAlignment="1">
      <alignment horizontal="left" vertical="center"/>
    </xf>
    <xf numFmtId="49" fontId="0" fillId="0" borderId="0" xfId="0" applyNumberFormat="1" applyAlignment="1">
      <alignment horizontal="left" vertical="center"/>
    </xf>
    <xf numFmtId="0" fontId="9" fillId="0" borderId="0" xfId="0" applyFont="1" applyAlignment="1">
      <alignment horizontal="left"/>
    </xf>
    <xf numFmtId="183" fontId="14" fillId="0" borderId="6" xfId="0" applyNumberFormat="1" applyFont="1" applyBorder="1" applyAlignment="1">
      <alignment horizontal="right" vertical="center"/>
    </xf>
    <xf numFmtId="183" fontId="14" fillId="4" borderId="6" xfId="0" applyNumberFormat="1" applyFont="1" applyFill="1" applyBorder="1" applyAlignment="1">
      <alignment horizontal="right" vertical="center"/>
    </xf>
    <xf numFmtId="177" fontId="14" fillId="4" borderId="6" xfId="0" applyNumberFormat="1" applyFont="1" applyFill="1" applyBorder="1" applyAlignment="1">
      <alignment horizontal="right" vertical="center"/>
    </xf>
    <xf numFmtId="0" fontId="16" fillId="0" borderId="0" xfId="0" applyFont="1">
      <alignment wrapText="1"/>
    </xf>
    <xf numFmtId="0" fontId="0" fillId="0" borderId="0" xfId="0" applyAlignment="1">
      <alignment horizontal="center" vertical="center" wrapText="1"/>
    </xf>
    <xf numFmtId="0" fontId="17" fillId="0" borderId="0" xfId="0" applyFont="1">
      <alignment wrapText="1"/>
    </xf>
    <xf numFmtId="0" fontId="18" fillId="0" borderId="0" xfId="55" applyFont="1" applyAlignment="1">
      <alignment horizontal="left"/>
    </xf>
    <xf numFmtId="0" fontId="18" fillId="0" borderId="0" xfId="55" applyFont="1"/>
    <xf numFmtId="182" fontId="18" fillId="0" borderId="0" xfId="55" applyNumberFormat="1" applyFont="1" applyAlignment="1">
      <alignment wrapText="1"/>
    </xf>
    <xf numFmtId="182" fontId="18" fillId="0" borderId="0" xfId="55" applyNumberFormat="1" applyFont="1" applyAlignment="1">
      <alignment horizontal="center" wrapText="1"/>
    </xf>
    <xf numFmtId="182" fontId="18" fillId="0" borderId="0" xfId="55" applyNumberFormat="1" applyFont="1" applyAlignment="1">
      <alignment horizontal="left" wrapText="1" indent="1"/>
    </xf>
    <xf numFmtId="0" fontId="18" fillId="0" borderId="0" xfId="55" applyFont="1" applyAlignment="1">
      <alignment horizontal="left" indent="1"/>
    </xf>
    <xf numFmtId="177" fontId="18" fillId="0" borderId="0" xfId="55" applyNumberFormat="1" applyFont="1"/>
    <xf numFmtId="0" fontId="19" fillId="0" borderId="0" xfId="55" applyFont="1" applyAlignment="1">
      <alignment horizontal="left"/>
    </xf>
    <xf numFmtId="0" fontId="20" fillId="6" borderId="0" xfId="55" applyFont="1" applyFill="1"/>
    <xf numFmtId="0" fontId="21" fillId="0" borderId="0" xfId="55" applyFont="1"/>
    <xf numFmtId="58" fontId="22" fillId="7" borderId="0" xfId="0" applyNumberFormat="1" applyFont="1" applyFill="1">
      <alignment wrapText="1"/>
    </xf>
    <xf numFmtId="182" fontId="19" fillId="7" borderId="0" xfId="55" applyNumberFormat="1" applyFont="1" applyFill="1" applyAlignment="1">
      <alignment wrapText="1"/>
    </xf>
    <xf numFmtId="0" fontId="23" fillId="0" borderId="0" xfId="55" applyFont="1"/>
    <xf numFmtId="0" fontId="23" fillId="0" borderId="0" xfId="55" applyFont="1" applyAlignment="1">
      <alignment horizontal="center" vertical="center" wrapText="1"/>
    </xf>
    <xf numFmtId="4" fontId="23" fillId="8" borderId="9" xfId="55" applyNumberFormat="1" applyFont="1" applyFill="1" applyBorder="1" applyAlignment="1">
      <alignment horizontal="center" vertical="center" wrapText="1"/>
    </xf>
    <xf numFmtId="0" fontId="23" fillId="0" borderId="6" xfId="55" applyFont="1" applyBorder="1" applyAlignment="1">
      <alignment horizontal="center" vertical="center"/>
    </xf>
    <xf numFmtId="0" fontId="23" fillId="0" borderId="4" xfId="55" applyFont="1" applyBorder="1" applyAlignment="1">
      <alignment horizontal="center" vertical="center"/>
    </xf>
    <xf numFmtId="0" fontId="23" fillId="0" borderId="6" xfId="55" applyFont="1" applyBorder="1" applyAlignment="1">
      <alignment horizontal="center" vertical="center" wrapText="1"/>
    </xf>
    <xf numFmtId="0" fontId="23" fillId="0" borderId="4" xfId="55" applyFont="1" applyBorder="1" applyAlignment="1">
      <alignment horizontal="center" vertical="center" wrapText="1"/>
    </xf>
    <xf numFmtId="0" fontId="17" fillId="8" borderId="10" xfId="53" applyFont="1" applyFill="1" applyBorder="1" applyAlignment="1">
      <alignment horizontal="center" vertical="center" wrapText="1"/>
    </xf>
    <xf numFmtId="0" fontId="17" fillId="8" borderId="11" xfId="53" applyFont="1" applyFill="1" applyBorder="1" applyAlignment="1">
      <alignment horizontal="center" vertical="center" wrapText="1"/>
    </xf>
    <xf numFmtId="0" fontId="18" fillId="0" borderId="6" xfId="55" applyFont="1" applyBorder="1" applyAlignment="1">
      <alignment horizontal="center"/>
    </xf>
    <xf numFmtId="0" fontId="18" fillId="0" borderId="12" xfId="55" applyFont="1" applyBorder="1"/>
    <xf numFmtId="0" fontId="18" fillId="0" borderId="6" xfId="55" applyFont="1" applyBorder="1"/>
    <xf numFmtId="10" fontId="18" fillId="0" borderId="6" xfId="3" applyNumberFormat="1" applyFont="1" applyBorder="1"/>
    <xf numFmtId="0" fontId="18" fillId="0" borderId="4" xfId="55" applyFont="1" applyBorder="1" applyAlignment="1">
      <alignment horizontal="center" vertical="center"/>
    </xf>
    <xf numFmtId="186" fontId="18" fillId="8" borderId="13" xfId="50" applyNumberFormat="1" applyFont="1" applyFill="1" applyBorder="1" applyAlignment="1">
      <alignment horizontal="center" vertical="center" wrapText="1"/>
    </xf>
    <xf numFmtId="186" fontId="18" fillId="8" borderId="6" xfId="50" applyNumberFormat="1" applyFont="1" applyFill="1" applyBorder="1" applyAlignment="1">
      <alignment horizontal="center" vertical="center" wrapText="1"/>
    </xf>
    <xf numFmtId="0" fontId="24" fillId="0" borderId="6" xfId="55" applyFont="1" applyBorder="1" applyAlignment="1">
      <alignment horizontal="center"/>
    </xf>
    <xf numFmtId="0" fontId="24" fillId="0" borderId="0" xfId="55" applyFont="1" applyAlignment="1">
      <alignment horizontal="center"/>
    </xf>
    <xf numFmtId="0" fontId="18" fillId="0" borderId="14" xfId="55" applyFont="1" applyBorder="1"/>
    <xf numFmtId="0" fontId="18" fillId="0" borderId="4" xfId="55" applyFont="1" applyBorder="1"/>
    <xf numFmtId="186" fontId="23" fillId="8" borderId="13" xfId="50" applyNumberFormat="1" applyFont="1" applyFill="1" applyBorder="1" applyAlignment="1">
      <alignment horizontal="center" vertical="center" wrapText="1"/>
    </xf>
    <xf numFmtId="186" fontId="23" fillId="8" borderId="15" xfId="50" applyNumberFormat="1" applyFont="1" applyFill="1" applyBorder="1" applyAlignment="1">
      <alignment horizontal="center" vertical="center" wrapText="1"/>
    </xf>
    <xf numFmtId="0" fontId="23" fillId="0" borderId="0" xfId="55" applyFont="1" applyAlignment="1">
      <alignment horizontal="center"/>
    </xf>
    <xf numFmtId="4" fontId="18" fillId="8" borderId="16" xfId="55" applyNumberFormat="1" applyFont="1" applyFill="1" applyBorder="1" applyAlignment="1">
      <alignment horizontal="center" wrapText="1"/>
    </xf>
    <xf numFmtId="4" fontId="18" fillId="8" borderId="17" xfId="55" applyNumberFormat="1" applyFont="1" applyFill="1" applyBorder="1" applyAlignment="1">
      <alignment horizontal="center" wrapText="1"/>
    </xf>
    <xf numFmtId="0" fontId="23" fillId="0" borderId="0" xfId="55" applyFont="1" applyAlignment="1">
      <alignment horizontal="left"/>
    </xf>
    <xf numFmtId="4" fontId="23" fillId="9" borderId="0" xfId="55" applyNumberFormat="1" applyFont="1" applyFill="1" applyAlignment="1">
      <alignment horizontal="center" wrapText="1"/>
    </xf>
    <xf numFmtId="186" fontId="23" fillId="9" borderId="18" xfId="55" applyNumberFormat="1" applyFont="1" applyFill="1" applyBorder="1" applyAlignment="1">
      <alignment horizontal="center" wrapText="1"/>
    </xf>
    <xf numFmtId="0" fontId="25" fillId="2" borderId="10" xfId="0" applyFont="1" applyFill="1" applyBorder="1" applyAlignment="1">
      <alignment horizontal="center" vertical="center" wrapText="1"/>
    </xf>
    <xf numFmtId="0" fontId="25" fillId="2" borderId="11" xfId="0" applyFont="1" applyFill="1" applyBorder="1" applyAlignment="1">
      <alignment horizontal="center" vertical="center" wrapText="1"/>
    </xf>
    <xf numFmtId="177" fontId="25" fillId="2" borderId="11" xfId="0" applyNumberFormat="1" applyFont="1" applyFill="1" applyBorder="1" applyAlignment="1">
      <alignment horizontal="center" vertical="center" wrapText="1"/>
    </xf>
    <xf numFmtId="0" fontId="25" fillId="0" borderId="13" xfId="0" applyFont="1" applyBorder="1" applyAlignment="1">
      <alignment horizontal="center" wrapText="1"/>
    </xf>
    <xf numFmtId="0" fontId="26" fillId="0" borderId="6" xfId="0" applyFont="1" applyBorder="1" applyAlignment="1">
      <alignment horizontal="center" wrapText="1"/>
    </xf>
    <xf numFmtId="0" fontId="26" fillId="0" borderId="6" xfId="0" applyFont="1" applyBorder="1">
      <alignment wrapText="1"/>
    </xf>
    <xf numFmtId="177" fontId="26" fillId="0" borderId="6" xfId="0" applyNumberFormat="1" applyFont="1" applyBorder="1">
      <alignment wrapText="1"/>
    </xf>
    <xf numFmtId="0" fontId="25" fillId="10" borderId="16" xfId="0" applyFont="1" applyFill="1" applyBorder="1" applyAlignment="1">
      <alignment horizontal="center" wrapText="1"/>
    </xf>
    <xf numFmtId="0" fontId="26" fillId="10" borderId="19" xfId="0" applyFont="1" applyFill="1" applyBorder="1" applyAlignment="1">
      <alignment horizontal="center" wrapText="1"/>
    </xf>
    <xf numFmtId="177" fontId="26" fillId="10" borderId="19" xfId="0" applyNumberFormat="1" applyFont="1" applyFill="1" applyBorder="1" applyAlignment="1">
      <alignment horizontal="center" wrapText="1"/>
    </xf>
    <xf numFmtId="187" fontId="0" fillId="0" borderId="0" xfId="0" applyNumberFormat="1">
      <alignment wrapText="1"/>
    </xf>
    <xf numFmtId="0" fontId="25" fillId="2" borderId="20" xfId="0" applyFont="1" applyFill="1" applyBorder="1" applyAlignment="1">
      <alignment horizontal="center" vertical="center" wrapText="1"/>
    </xf>
    <xf numFmtId="0" fontId="25" fillId="2" borderId="21" xfId="0" applyFont="1" applyFill="1" applyBorder="1" applyAlignment="1">
      <alignment horizontal="center" vertical="center" wrapText="1"/>
    </xf>
    <xf numFmtId="0" fontId="25" fillId="2" borderId="22" xfId="0" applyFont="1" applyFill="1" applyBorder="1" applyAlignment="1">
      <alignment horizontal="center" vertical="center" wrapText="1"/>
    </xf>
    <xf numFmtId="177" fontId="25" fillId="0" borderId="0" xfId="0" applyNumberFormat="1" applyFont="1">
      <alignment wrapText="1"/>
    </xf>
    <xf numFmtId="0" fontId="25" fillId="0" borderId="0" xfId="0" applyFont="1">
      <alignment wrapText="1"/>
    </xf>
    <xf numFmtId="188" fontId="25" fillId="0" borderId="23" xfId="0" applyNumberFormat="1" applyFont="1" applyBorder="1" applyAlignment="1">
      <alignment horizontal="center" wrapText="1"/>
    </xf>
    <xf numFmtId="0" fontId="26" fillId="0" borderId="8" xfId="0" applyFont="1" applyBorder="1" applyAlignment="1">
      <alignment horizontal="center" wrapText="1"/>
    </xf>
    <xf numFmtId="177" fontId="26" fillId="0" borderId="8" xfId="0" applyNumberFormat="1" applyFont="1" applyBorder="1" applyAlignment="1">
      <alignment horizontal="center" wrapText="1"/>
    </xf>
    <xf numFmtId="177" fontId="26" fillId="0" borderId="24" xfId="0" applyNumberFormat="1" applyFont="1" applyBorder="1">
      <alignment wrapText="1"/>
    </xf>
    <xf numFmtId="188" fontId="25" fillId="0" borderId="0" xfId="0" applyNumberFormat="1" applyFont="1">
      <alignment wrapText="1"/>
    </xf>
    <xf numFmtId="188" fontId="25" fillId="0" borderId="25" xfId="0" applyNumberFormat="1" applyFont="1" applyBorder="1" applyAlignment="1">
      <alignment horizontal="center" wrapText="1"/>
    </xf>
    <xf numFmtId="0" fontId="26" fillId="0" borderId="26" xfId="0" applyFont="1" applyBorder="1" applyAlignment="1">
      <alignment horizontal="center" wrapText="1"/>
    </xf>
    <xf numFmtId="177" fontId="26" fillId="0" borderId="26" xfId="0" applyNumberFormat="1" applyFont="1" applyBorder="1" applyAlignment="1">
      <alignment horizontal="center" wrapText="1"/>
    </xf>
    <xf numFmtId="177" fontId="26" fillId="0" borderId="27" xfId="0" applyNumberFormat="1" applyFont="1" applyBorder="1">
      <alignment wrapText="1"/>
    </xf>
    <xf numFmtId="0" fontId="25" fillId="10" borderId="28" xfId="0" applyFont="1" applyFill="1" applyBorder="1" applyAlignment="1">
      <alignment horizontal="center" wrapText="1"/>
    </xf>
    <xf numFmtId="0" fontId="26" fillId="10" borderId="29" xfId="0" applyFont="1" applyFill="1" applyBorder="1" applyAlignment="1">
      <alignment horizontal="center" wrapText="1"/>
    </xf>
    <xf numFmtId="177" fontId="26" fillId="10" borderId="29" xfId="0" applyNumberFormat="1" applyFont="1" applyFill="1" applyBorder="1" applyAlignment="1">
      <alignment horizontal="center" wrapText="1"/>
    </xf>
    <xf numFmtId="177" fontId="26" fillId="10" borderId="30" xfId="0" applyNumberFormat="1" applyFont="1" applyFill="1" applyBorder="1">
      <alignment wrapText="1"/>
    </xf>
    <xf numFmtId="9" fontId="0" fillId="0" borderId="0" xfId="3" applyFont="1" applyAlignment="1">
      <alignment wrapText="1"/>
    </xf>
    <xf numFmtId="0" fontId="25" fillId="11" borderId="31" xfId="0" applyFont="1" applyFill="1" applyBorder="1" applyAlignment="1">
      <alignment horizontal="center" wrapText="1"/>
    </xf>
    <xf numFmtId="0" fontId="25" fillId="11" borderId="32" xfId="0" applyFont="1" applyFill="1" applyBorder="1" applyAlignment="1">
      <alignment horizontal="center" wrapText="1"/>
    </xf>
    <xf numFmtId="0" fontId="0" fillId="0" borderId="10" xfId="0" applyBorder="1">
      <alignment wrapText="1"/>
    </xf>
    <xf numFmtId="177" fontId="0" fillId="0" borderId="33" xfId="0" applyNumberFormat="1" applyBorder="1">
      <alignment wrapText="1"/>
    </xf>
    <xf numFmtId="0" fontId="0" fillId="0" borderId="13" xfId="0" applyBorder="1">
      <alignment wrapText="1"/>
    </xf>
    <xf numFmtId="0" fontId="0" fillId="12" borderId="9" xfId="0" applyFill="1" applyBorder="1">
      <alignment wrapText="1"/>
    </xf>
    <xf numFmtId="177" fontId="0" fillId="12" borderId="34" xfId="0" applyNumberFormat="1" applyFill="1" applyBorder="1">
      <alignment wrapText="1"/>
    </xf>
    <xf numFmtId="177" fontId="0" fillId="0" borderId="35" xfId="0" applyNumberFormat="1" applyBorder="1">
      <alignment wrapText="1"/>
    </xf>
    <xf numFmtId="0" fontId="0" fillId="0" borderId="36" xfId="0" applyBorder="1">
      <alignment wrapText="1"/>
    </xf>
    <xf numFmtId="177" fontId="0" fillId="0" borderId="37" xfId="0" applyNumberFormat="1" applyBorder="1">
      <alignment wrapText="1"/>
    </xf>
    <xf numFmtId="0" fontId="0" fillId="0" borderId="0" xfId="0" applyAlignment="1"/>
    <xf numFmtId="0" fontId="0" fillId="0" borderId="16" xfId="0" applyBorder="1">
      <alignment wrapText="1"/>
    </xf>
    <xf numFmtId="177" fontId="0" fillId="0" borderId="38" xfId="0" applyNumberFormat="1" applyBorder="1">
      <alignment wrapText="1"/>
    </xf>
    <xf numFmtId="181" fontId="0" fillId="6" borderId="38" xfId="3" applyNumberFormat="1" applyFont="1" applyFill="1" applyBorder="1" applyAlignment="1">
      <alignment wrapText="1"/>
    </xf>
    <xf numFmtId="0" fontId="18" fillId="0" borderId="0" xfId="55" applyFont="1" applyAlignment="1">
      <alignment wrapText="1"/>
    </xf>
    <xf numFmtId="3" fontId="18" fillId="0" borderId="0" xfId="55" applyNumberFormat="1" applyFont="1" applyAlignment="1">
      <alignment horizontal="center" wrapText="1"/>
    </xf>
    <xf numFmtId="0" fontId="19" fillId="0" borderId="0" xfId="55" applyFont="1"/>
    <xf numFmtId="182" fontId="19" fillId="0" borderId="0" xfId="55" applyNumberFormat="1" applyFont="1" applyAlignment="1">
      <alignment horizontal="center" wrapText="1"/>
    </xf>
    <xf numFmtId="0" fontId="20" fillId="0" borderId="0" xfId="55" applyFont="1"/>
    <xf numFmtId="4" fontId="23" fillId="8" borderId="39" xfId="55" applyNumberFormat="1" applyFont="1" applyFill="1" applyBorder="1" applyAlignment="1">
      <alignment horizontal="center" vertical="center" wrapText="1"/>
    </xf>
    <xf numFmtId="4" fontId="23" fillId="8" borderId="34" xfId="55" applyNumberFormat="1" applyFont="1" applyFill="1" applyBorder="1" applyAlignment="1">
      <alignment horizontal="center" vertical="center" wrapText="1"/>
    </xf>
    <xf numFmtId="49" fontId="23" fillId="13" borderId="31" xfId="55" applyNumberFormat="1" applyFont="1" applyFill="1" applyBorder="1" applyAlignment="1">
      <alignment horizontal="center" vertical="center" wrapText="1"/>
    </xf>
    <xf numFmtId="49" fontId="23" fillId="13" borderId="40" xfId="55" applyNumberFormat="1" applyFont="1" applyFill="1" applyBorder="1" applyAlignment="1">
      <alignment horizontal="center" vertical="center" wrapText="1"/>
    </xf>
    <xf numFmtId="49" fontId="23" fillId="8" borderId="35" xfId="55" applyNumberFormat="1" applyFont="1" applyFill="1" applyBorder="1" applyAlignment="1">
      <alignment horizontal="center" vertical="center" wrapText="1"/>
    </xf>
    <xf numFmtId="4" fontId="23" fillId="14" borderId="41" xfId="55" applyNumberFormat="1" applyFont="1" applyFill="1" applyBorder="1" applyAlignment="1">
      <alignment horizontal="center" vertical="center" wrapText="1"/>
    </xf>
    <xf numFmtId="4" fontId="23" fillId="14" borderId="42" xfId="55" applyNumberFormat="1" applyFont="1" applyFill="1" applyBorder="1" applyAlignment="1">
      <alignment horizontal="center" vertical="center" wrapText="1"/>
    </xf>
    <xf numFmtId="178" fontId="18" fillId="8" borderId="6" xfId="55" applyNumberFormat="1" applyFont="1" applyFill="1" applyBorder="1" applyAlignment="1">
      <alignment horizontal="center" wrapText="1"/>
    </xf>
    <xf numFmtId="186" fontId="23" fillId="8" borderId="6" xfId="50" applyNumberFormat="1" applyFont="1" applyFill="1" applyBorder="1" applyAlignment="1">
      <alignment horizontal="center" vertical="center" wrapText="1"/>
    </xf>
    <xf numFmtId="186" fontId="23" fillId="8" borderId="33" xfId="2" applyNumberFormat="1" applyFont="1" applyFill="1" applyBorder="1">
      <alignment horizontal="right" vertical="center"/>
    </xf>
    <xf numFmtId="176" fontId="18" fillId="13" borderId="43" xfId="1" applyFont="1" applyFill="1" applyBorder="1" applyAlignment="1">
      <alignment horizontal="center" wrapText="1"/>
    </xf>
    <xf numFmtId="176" fontId="18" fillId="13" borderId="44" xfId="1" applyFont="1" applyFill="1" applyBorder="1" applyAlignment="1">
      <alignment horizontal="center" wrapText="1"/>
    </xf>
    <xf numFmtId="3" fontId="18" fillId="8" borderId="6" xfId="55" applyNumberFormat="1" applyFont="1" applyFill="1" applyBorder="1" applyAlignment="1">
      <alignment horizontal="center" wrapText="1"/>
    </xf>
    <xf numFmtId="4" fontId="18" fillId="8" borderId="19" xfId="55" applyNumberFormat="1" applyFont="1" applyFill="1" applyBorder="1" applyAlignment="1">
      <alignment horizontal="center" wrapText="1"/>
    </xf>
    <xf numFmtId="178" fontId="18" fillId="8" borderId="19" xfId="55" applyNumberFormat="1" applyFont="1" applyFill="1" applyBorder="1" applyAlignment="1">
      <alignment horizontal="center" wrapText="1"/>
    </xf>
    <xf numFmtId="4" fontId="23" fillId="8" borderId="19" xfId="55" applyNumberFormat="1" applyFont="1" applyFill="1" applyBorder="1" applyAlignment="1">
      <alignment horizontal="center" wrapText="1"/>
    </xf>
    <xf numFmtId="4" fontId="23" fillId="8" borderId="38" xfId="55" applyNumberFormat="1" applyFont="1" applyFill="1" applyBorder="1" applyAlignment="1">
      <alignment horizontal="center" wrapText="1"/>
    </xf>
    <xf numFmtId="176" fontId="18" fillId="13" borderId="17" xfId="1" applyFont="1" applyFill="1" applyBorder="1" applyAlignment="1">
      <alignment horizontal="center" wrapText="1"/>
    </xf>
    <xf numFmtId="176" fontId="18" fillId="13" borderId="38" xfId="1" applyFont="1" applyFill="1" applyBorder="1" applyAlignment="1">
      <alignment horizontal="center" wrapText="1"/>
    </xf>
    <xf numFmtId="186" fontId="23" fillId="9" borderId="0" xfId="55" applyNumberFormat="1" applyFont="1" applyFill="1" applyAlignment="1">
      <alignment horizontal="center" wrapText="1"/>
    </xf>
    <xf numFmtId="177" fontId="25" fillId="2" borderId="35" xfId="0" applyNumberFormat="1" applyFont="1" applyFill="1" applyBorder="1" applyAlignment="1">
      <alignment horizontal="center" vertical="center" wrapText="1"/>
    </xf>
    <xf numFmtId="177" fontId="26" fillId="0" borderId="33" xfId="0" applyNumberFormat="1" applyFont="1" applyBorder="1">
      <alignment wrapText="1"/>
    </xf>
    <xf numFmtId="177" fontId="26" fillId="10" borderId="38" xfId="0" applyNumberFormat="1" applyFont="1" applyFill="1" applyBorder="1" applyAlignment="1">
      <alignment horizontal="center" wrapText="1"/>
    </xf>
    <xf numFmtId="189" fontId="18" fillId="0" borderId="0" xfId="55" applyNumberFormat="1" applyFont="1"/>
    <xf numFmtId="186" fontId="23" fillId="0" borderId="0" xfId="55" applyNumberFormat="1" applyFont="1"/>
    <xf numFmtId="2" fontId="24" fillId="0" borderId="0" xfId="55" applyNumberFormat="1" applyFont="1" applyAlignment="1">
      <alignment horizontal="right"/>
    </xf>
    <xf numFmtId="0" fontId="27" fillId="0" borderId="0" xfId="55"/>
    <xf numFmtId="49" fontId="23" fillId="15" borderId="29" xfId="55" applyNumberFormat="1" applyFont="1" applyFill="1" applyBorder="1" applyAlignment="1">
      <alignment horizontal="center" vertical="center" wrapText="1"/>
    </xf>
    <xf numFmtId="49" fontId="23" fillId="13" borderId="45" xfId="55" applyNumberFormat="1" applyFont="1" applyFill="1" applyBorder="1" applyAlignment="1">
      <alignment horizontal="center" vertical="center" wrapText="1"/>
    </xf>
    <xf numFmtId="49" fontId="23" fillId="15" borderId="43" xfId="55" applyNumberFormat="1" applyFont="1" applyFill="1" applyBorder="1" applyAlignment="1">
      <alignment horizontal="center" vertical="center" wrapText="1"/>
    </xf>
    <xf numFmtId="176" fontId="18" fillId="13" borderId="46" xfId="1" applyFont="1" applyFill="1" applyBorder="1" applyAlignment="1">
      <alignment horizontal="center" wrapText="1"/>
    </xf>
    <xf numFmtId="190" fontId="18" fillId="15" borderId="15" xfId="1" applyNumberFormat="1" applyFont="1" applyFill="1" applyBorder="1" applyAlignment="1">
      <alignment horizontal="center" wrapText="1"/>
    </xf>
    <xf numFmtId="181" fontId="18" fillId="15" borderId="15" xfId="3" applyNumberFormat="1" applyFont="1" applyFill="1" applyBorder="1" applyAlignment="1">
      <alignment horizontal="center" wrapText="1"/>
    </xf>
    <xf numFmtId="191" fontId="18" fillId="15" borderId="6" xfId="1" applyNumberFormat="1" applyFont="1" applyFill="1" applyBorder="1" applyAlignment="1">
      <alignment horizontal="center" wrapText="1"/>
    </xf>
    <xf numFmtId="192" fontId="18" fillId="15" borderId="6" xfId="55" applyNumberFormat="1" applyFont="1" applyFill="1" applyBorder="1" applyAlignment="1">
      <alignment horizontal="center" wrapText="1"/>
    </xf>
    <xf numFmtId="181" fontId="18" fillId="15" borderId="6" xfId="3" applyNumberFormat="1" applyFont="1" applyFill="1" applyBorder="1" applyAlignment="1">
      <alignment horizontal="center" wrapText="1"/>
    </xf>
    <xf numFmtId="190" fontId="18" fillId="15" borderId="6" xfId="1" applyNumberFormat="1" applyFont="1" applyFill="1" applyBorder="1" applyAlignment="1">
      <alignment horizontal="center" wrapText="1"/>
    </xf>
    <xf numFmtId="3" fontId="18" fillId="15" borderId="6" xfId="55" applyNumberFormat="1" applyFont="1" applyFill="1" applyBorder="1" applyAlignment="1">
      <alignment horizontal="center" wrapText="1"/>
    </xf>
    <xf numFmtId="176" fontId="18" fillId="15" borderId="15" xfId="1" applyFont="1" applyFill="1" applyBorder="1" applyAlignment="1">
      <alignment horizontal="center" wrapText="1"/>
    </xf>
    <xf numFmtId="9" fontId="18" fillId="15" borderId="15" xfId="3" applyFont="1" applyFill="1" applyBorder="1" applyAlignment="1">
      <alignment horizontal="center" wrapText="1"/>
    </xf>
    <xf numFmtId="176" fontId="18" fillId="15" borderId="6" xfId="1" applyFont="1" applyFill="1" applyBorder="1" applyAlignment="1">
      <alignment horizontal="center" wrapText="1"/>
    </xf>
    <xf numFmtId="176" fontId="18" fillId="13" borderId="47" xfId="1" applyFont="1" applyFill="1" applyBorder="1" applyAlignment="1">
      <alignment horizontal="center" wrapText="1"/>
    </xf>
    <xf numFmtId="2" fontId="23" fillId="9" borderId="0" xfId="55" applyNumberFormat="1" applyFont="1" applyFill="1" applyAlignment="1">
      <alignment horizontal="center" wrapText="1"/>
    </xf>
    <xf numFmtId="9" fontId="23" fillId="9" borderId="0" xfId="3" applyFont="1" applyFill="1" applyAlignment="1">
      <alignment horizontal="center" wrapText="1"/>
    </xf>
    <xf numFmtId="192" fontId="23" fillId="9" borderId="0" xfId="55" applyNumberFormat="1" applyFont="1" applyFill="1" applyAlignment="1">
      <alignment horizontal="center" wrapText="1"/>
    </xf>
    <xf numFmtId="186" fontId="18" fillId="0" borderId="0" xfId="55" applyNumberFormat="1" applyFont="1"/>
    <xf numFmtId="49" fontId="23" fillId="13" borderId="29" xfId="55" applyNumberFormat="1" applyFont="1" applyFill="1" applyBorder="1" applyAlignment="1">
      <alignment horizontal="center" vertical="center" wrapText="1"/>
    </xf>
    <xf numFmtId="49" fontId="23" fillId="15" borderId="48" xfId="55" applyNumberFormat="1" applyFont="1" applyFill="1" applyBorder="1" applyAlignment="1">
      <alignment horizontal="center" vertical="center" wrapText="1"/>
    </xf>
    <xf numFmtId="49" fontId="23" fillId="13" borderId="48" xfId="55" applyNumberFormat="1" applyFont="1" applyFill="1" applyBorder="1" applyAlignment="1">
      <alignment horizontal="center" vertical="center" wrapText="1"/>
    </xf>
    <xf numFmtId="49" fontId="23" fillId="13" borderId="43" xfId="55" applyNumberFormat="1" applyFont="1" applyFill="1" applyBorder="1" applyAlignment="1">
      <alignment horizontal="center" vertical="center" wrapText="1"/>
    </xf>
    <xf numFmtId="2" fontId="18" fillId="15" borderId="6" xfId="55" applyNumberFormat="1" applyFont="1" applyFill="1" applyBorder="1" applyAlignment="1">
      <alignment horizontal="center" wrapText="1"/>
    </xf>
    <xf numFmtId="10" fontId="18" fillId="15" borderId="4" xfId="3" applyNumberFormat="1" applyFont="1" applyFill="1" applyBorder="1" applyAlignment="1">
      <alignment horizontal="center" wrapText="1"/>
    </xf>
    <xf numFmtId="176" fontId="18" fillId="15" borderId="4" xfId="1" applyFont="1" applyFill="1" applyBorder="1" applyAlignment="1">
      <alignment horizontal="center" wrapText="1"/>
    </xf>
    <xf numFmtId="2" fontId="18" fillId="15" borderId="4" xfId="3" applyNumberFormat="1" applyFont="1" applyFill="1" applyBorder="1" applyAlignment="1">
      <alignment horizontal="center" wrapText="1"/>
    </xf>
    <xf numFmtId="2" fontId="18" fillId="15" borderId="4" xfId="55" applyNumberFormat="1" applyFont="1" applyFill="1" applyBorder="1" applyAlignment="1">
      <alignment horizontal="center" wrapText="1"/>
    </xf>
    <xf numFmtId="181" fontId="18" fillId="13" borderId="6" xfId="3" applyNumberFormat="1" applyFont="1" applyFill="1" applyBorder="1" applyAlignment="1">
      <alignment horizontal="center" wrapText="1"/>
    </xf>
    <xf numFmtId="4" fontId="18" fillId="13" borderId="6" xfId="55" applyNumberFormat="1" applyFont="1" applyFill="1" applyBorder="1" applyAlignment="1">
      <alignment horizontal="center" wrapText="1"/>
    </xf>
    <xf numFmtId="193" fontId="18" fillId="13" borderId="6" xfId="55" applyNumberFormat="1" applyFont="1" applyFill="1" applyBorder="1" applyAlignment="1">
      <alignment horizontal="center" wrapText="1"/>
    </xf>
    <xf numFmtId="4" fontId="24" fillId="13" borderId="6" xfId="55" applyNumberFormat="1" applyFont="1" applyFill="1" applyBorder="1"/>
    <xf numFmtId="0" fontId="24" fillId="13" borderId="6" xfId="55" applyFont="1" applyFill="1" applyBorder="1"/>
    <xf numFmtId="0" fontId="18" fillId="15" borderId="6" xfId="50" applyNumberFormat="1" applyFont="1" applyFill="1" applyBorder="1" applyAlignment="1">
      <alignment horizontal="center" wrapText="1"/>
    </xf>
    <xf numFmtId="2" fontId="18" fillId="15" borderId="4" xfId="50" applyNumberFormat="1" applyFont="1" applyFill="1" applyBorder="1" applyAlignment="1">
      <alignment horizontal="center" wrapText="1"/>
    </xf>
    <xf numFmtId="3" fontId="18" fillId="13" borderId="6" xfId="55" applyNumberFormat="1" applyFont="1" applyFill="1" applyBorder="1" applyAlignment="1">
      <alignment horizontal="center" wrapText="1"/>
    </xf>
    <xf numFmtId="4" fontId="17" fillId="9" borderId="0" xfId="55" applyNumberFormat="1" applyFont="1" applyFill="1" applyAlignment="1">
      <alignment horizontal="center" wrapText="1"/>
    </xf>
    <xf numFmtId="2" fontId="18" fillId="0" borderId="0" xfId="55" applyNumberFormat="1" applyFont="1" applyAlignment="1">
      <alignment horizontal="left" indent="1"/>
    </xf>
    <xf numFmtId="2" fontId="28" fillId="0" borderId="0" xfId="55" applyNumberFormat="1" applyFont="1" applyAlignment="1">
      <alignment horizontal="left" vertical="center" wrapText="1" indent="1"/>
    </xf>
    <xf numFmtId="49" fontId="23" fillId="15" borderId="49" xfId="55" applyNumberFormat="1" applyFont="1" applyFill="1" applyBorder="1" applyAlignment="1">
      <alignment horizontal="center" vertical="center" wrapText="1"/>
    </xf>
    <xf numFmtId="2" fontId="18" fillId="13" borderId="6" xfId="50" applyNumberFormat="1" applyFont="1" applyFill="1" applyBorder="1" applyAlignment="1">
      <alignment horizontal="center" wrapText="1"/>
    </xf>
    <xf numFmtId="177" fontId="18" fillId="15" borderId="6" xfId="50" applyFont="1" applyFill="1" applyBorder="1" applyAlignment="1">
      <alignment horizontal="center" wrapText="1"/>
    </xf>
    <xf numFmtId="177" fontId="18" fillId="15" borderId="6" xfId="2" applyFont="1" applyFill="1" applyBorder="1">
      <alignment horizontal="right" vertical="center"/>
    </xf>
    <xf numFmtId="177" fontId="18" fillId="15" borderId="4" xfId="2" applyFont="1" applyFill="1" applyBorder="1">
      <alignment horizontal="right" vertical="center"/>
    </xf>
    <xf numFmtId="178" fontId="18" fillId="15" borderId="4" xfId="55" applyNumberFormat="1" applyFont="1" applyFill="1" applyBorder="1" applyAlignment="1">
      <alignment horizontal="center" wrapText="1"/>
    </xf>
    <xf numFmtId="177" fontId="18" fillId="13" borderId="6" xfId="50" applyFont="1" applyFill="1" applyBorder="1" applyAlignment="1">
      <alignment horizontal="center" wrapText="1"/>
    </xf>
    <xf numFmtId="194" fontId="18" fillId="15" borderId="6" xfId="50" applyNumberFormat="1" applyFont="1" applyFill="1" applyBorder="1" applyAlignment="1">
      <alignment horizontal="center" wrapText="1"/>
    </xf>
    <xf numFmtId="194" fontId="18" fillId="15" borderId="4" xfId="50" applyNumberFormat="1" applyFont="1" applyFill="1" applyBorder="1" applyAlignment="1">
      <alignment horizontal="center" wrapText="1"/>
    </xf>
    <xf numFmtId="177" fontId="18" fillId="15" borderId="4" xfId="50" applyFont="1" applyFill="1" applyBorder="1" applyAlignment="1">
      <alignment horizontal="center" wrapText="1"/>
    </xf>
    <xf numFmtId="177" fontId="17" fillId="9" borderId="0" xfId="2" applyFont="1" applyFill="1">
      <alignment horizontal="right" vertical="center"/>
    </xf>
    <xf numFmtId="177" fontId="23" fillId="9" borderId="0" xfId="55" applyNumberFormat="1" applyFont="1" applyFill="1" applyAlignment="1">
      <alignment horizontal="center" wrapText="1"/>
    </xf>
    <xf numFmtId="177" fontId="28" fillId="0" borderId="0" xfId="2" applyFont="1">
      <alignment horizontal="right" vertical="center"/>
    </xf>
    <xf numFmtId="178" fontId="18" fillId="0" borderId="0" xfId="55" applyNumberFormat="1" applyFont="1"/>
    <xf numFmtId="4" fontId="28" fillId="0" borderId="0" xfId="55" applyNumberFormat="1" applyFont="1" applyAlignment="1">
      <alignment horizontal="left" vertical="center" wrapText="1" indent="1"/>
    </xf>
    <xf numFmtId="4" fontId="28" fillId="0" borderId="0" xfId="55" applyNumberFormat="1" applyFont="1" applyAlignment="1">
      <alignment horizontal="left" wrapText="1" indent="1"/>
    </xf>
    <xf numFmtId="2" fontId="23" fillId="0" borderId="0" xfId="55" applyNumberFormat="1" applyFont="1" applyAlignment="1">
      <alignment horizontal="center"/>
    </xf>
    <xf numFmtId="2" fontId="18" fillId="0" borderId="0" xfId="55" applyNumberFormat="1" applyFont="1" applyAlignment="1">
      <alignment horizontal="center"/>
    </xf>
    <xf numFmtId="0" fontId="18" fillId="0" borderId="0" xfId="55" applyFont="1" applyAlignment="1">
      <alignment horizontal="center"/>
    </xf>
    <xf numFmtId="49" fontId="23" fillId="15" borderId="30" xfId="55" applyNumberFormat="1" applyFont="1" applyFill="1" applyBorder="1" applyAlignment="1">
      <alignment horizontal="center" vertical="center" wrapText="1"/>
    </xf>
    <xf numFmtId="49" fontId="23" fillId="16" borderId="28" xfId="55" applyNumberFormat="1" applyFont="1" applyFill="1" applyBorder="1" applyAlignment="1">
      <alignment horizontal="center" vertical="center" wrapText="1"/>
    </xf>
    <xf numFmtId="49" fontId="23" fillId="16" borderId="29" xfId="55" applyNumberFormat="1" applyFont="1" applyFill="1" applyBorder="1" applyAlignment="1">
      <alignment horizontal="center" vertical="center" wrapText="1"/>
    </xf>
    <xf numFmtId="49" fontId="23" fillId="15" borderId="50" xfId="55" applyNumberFormat="1" applyFont="1" applyFill="1" applyBorder="1" applyAlignment="1">
      <alignment horizontal="center" vertical="center" wrapText="1"/>
    </xf>
    <xf numFmtId="4" fontId="23" fillId="14" borderId="51" xfId="55" applyNumberFormat="1" applyFont="1" applyFill="1" applyBorder="1" applyAlignment="1">
      <alignment horizontal="center" vertical="center" wrapText="1"/>
    </xf>
    <xf numFmtId="49" fontId="23" fillId="16" borderId="45" xfId="55" applyNumberFormat="1" applyFont="1" applyFill="1" applyBorder="1" applyAlignment="1">
      <alignment horizontal="center" vertical="center" wrapText="1"/>
    </xf>
    <xf numFmtId="186" fontId="18" fillId="15" borderId="47" xfId="50" applyNumberFormat="1" applyFont="1" applyFill="1" applyBorder="1" applyAlignment="1">
      <alignment horizontal="center" wrapText="1"/>
    </xf>
    <xf numFmtId="3" fontId="18" fillId="16" borderId="52" xfId="55" applyNumberFormat="1" applyFont="1" applyFill="1" applyBorder="1" applyAlignment="1">
      <alignment horizontal="center" wrapText="1"/>
    </xf>
    <xf numFmtId="3" fontId="18" fillId="16" borderId="46" xfId="55" applyNumberFormat="1" applyFont="1" applyFill="1" applyBorder="1" applyAlignment="1">
      <alignment horizontal="center" wrapText="1"/>
    </xf>
    <xf numFmtId="181" fontId="18" fillId="16" borderId="49" xfId="3" applyNumberFormat="1" applyFont="1" applyFill="1" applyBorder="1" applyAlignment="1">
      <alignment horizontal="center" wrapText="1"/>
    </xf>
    <xf numFmtId="3" fontId="18" fillId="16" borderId="49" xfId="55" applyNumberFormat="1" applyFont="1" applyFill="1" applyBorder="1" applyAlignment="1">
      <alignment horizontal="center" wrapText="1"/>
    </xf>
    <xf numFmtId="4" fontId="18" fillId="16" borderId="49" xfId="55" applyNumberFormat="1" applyFont="1" applyFill="1" applyBorder="1" applyAlignment="1">
      <alignment horizontal="center" wrapText="1"/>
    </xf>
    <xf numFmtId="3" fontId="18" fillId="16" borderId="23" xfId="55" applyNumberFormat="1" applyFont="1" applyFill="1" applyBorder="1" applyAlignment="1">
      <alignment horizontal="center" wrapText="1"/>
    </xf>
    <xf numFmtId="3" fontId="18" fillId="16" borderId="33" xfId="55" applyNumberFormat="1" applyFont="1" applyFill="1" applyBorder="1" applyAlignment="1">
      <alignment horizontal="center" wrapText="1"/>
    </xf>
    <xf numFmtId="3" fontId="18" fillId="16" borderId="47" xfId="55" applyNumberFormat="1" applyFont="1" applyFill="1" applyBorder="1" applyAlignment="1">
      <alignment horizontal="center" wrapText="1"/>
    </xf>
    <xf numFmtId="186" fontId="18" fillId="15" borderId="53" xfId="50" applyNumberFormat="1" applyFont="1" applyFill="1" applyBorder="1" applyAlignment="1">
      <alignment horizontal="center" wrapText="1"/>
    </xf>
    <xf numFmtId="3" fontId="18" fillId="16" borderId="54" xfId="55" applyNumberFormat="1" applyFont="1" applyFill="1" applyBorder="1" applyAlignment="1">
      <alignment horizontal="center" wrapText="1"/>
    </xf>
    <xf numFmtId="3" fontId="18" fillId="16" borderId="38" xfId="55" applyNumberFormat="1" applyFont="1" applyFill="1" applyBorder="1" applyAlignment="1">
      <alignment horizontal="center" wrapText="1"/>
    </xf>
    <xf numFmtId="3" fontId="18" fillId="16" borderId="53" xfId="55" applyNumberFormat="1" applyFont="1" applyFill="1" applyBorder="1" applyAlignment="1">
      <alignment horizontal="center" wrapText="1"/>
    </xf>
    <xf numFmtId="3" fontId="18" fillId="16" borderId="55" xfId="55" applyNumberFormat="1" applyFont="1" applyFill="1" applyBorder="1" applyAlignment="1">
      <alignment horizontal="center" wrapText="1"/>
    </xf>
    <xf numFmtId="186" fontId="17" fillId="9" borderId="0" xfId="2" applyNumberFormat="1" applyFont="1" applyFill="1">
      <alignment horizontal="right" vertical="center"/>
    </xf>
    <xf numFmtId="177" fontId="18" fillId="0" borderId="0" xfId="55" applyNumberFormat="1" applyFont="1" applyAlignment="1">
      <alignment wrapText="1"/>
    </xf>
    <xf numFmtId="3" fontId="18" fillId="0" borderId="0" xfId="55" applyNumberFormat="1" applyFont="1"/>
    <xf numFmtId="49" fontId="23" fillId="17" borderId="29" xfId="55" applyNumberFormat="1" applyFont="1" applyFill="1" applyBorder="1" applyAlignment="1">
      <alignment horizontal="center" vertical="center" wrapText="1"/>
    </xf>
    <xf numFmtId="177" fontId="18" fillId="17" borderId="49" xfId="55" applyNumberFormat="1" applyFont="1" applyFill="1" applyBorder="1" applyAlignment="1">
      <alignment horizontal="center" wrapText="1"/>
    </xf>
    <xf numFmtId="195" fontId="18" fillId="16" borderId="49" xfId="55" applyNumberFormat="1" applyFont="1" applyFill="1" applyBorder="1" applyAlignment="1">
      <alignment horizontal="center" wrapText="1"/>
    </xf>
    <xf numFmtId="3" fontId="18" fillId="17" borderId="49" xfId="55" applyNumberFormat="1" applyFont="1" applyFill="1" applyBorder="1" applyAlignment="1">
      <alignment horizontal="center" wrapText="1"/>
    </xf>
    <xf numFmtId="195" fontId="18" fillId="16" borderId="55" xfId="55" applyNumberFormat="1" applyFont="1" applyFill="1" applyBorder="1" applyAlignment="1">
      <alignment horizontal="center" wrapText="1"/>
    </xf>
    <xf numFmtId="3" fontId="18" fillId="17" borderId="55" xfId="55" applyNumberFormat="1" applyFont="1" applyFill="1" applyBorder="1" applyAlignment="1">
      <alignment horizontal="center" wrapText="1"/>
    </xf>
    <xf numFmtId="2" fontId="23" fillId="9" borderId="0" xfId="2" applyNumberFormat="1" applyFont="1" applyFill="1">
      <alignment horizontal="right" vertical="center"/>
    </xf>
    <xf numFmtId="177" fontId="23" fillId="17" borderId="0" xfId="2" applyFont="1" applyFill="1">
      <alignment horizontal="right" vertical="center"/>
    </xf>
    <xf numFmtId="0" fontId="23" fillId="10" borderId="28" xfId="55" applyFont="1" applyFill="1" applyBorder="1" applyAlignment="1">
      <alignment horizontal="left" vertical="center" indent="1"/>
    </xf>
    <xf numFmtId="0" fontId="23" fillId="10" borderId="29" xfId="55" applyFont="1" applyFill="1" applyBorder="1" applyAlignment="1">
      <alignment horizontal="left" wrapText="1" indent="1"/>
    </xf>
    <xf numFmtId="182" fontId="23" fillId="17" borderId="29" xfId="55" applyNumberFormat="1" applyFont="1" applyFill="1" applyBorder="1" applyAlignment="1">
      <alignment horizontal="center" vertical="center" wrapText="1"/>
    </xf>
    <xf numFmtId="49" fontId="23" fillId="10" borderId="56" xfId="55" applyNumberFormat="1" applyFont="1" applyFill="1" applyBorder="1" applyAlignment="1">
      <alignment horizontal="center" vertical="center" wrapText="1"/>
    </xf>
    <xf numFmtId="49" fontId="23" fillId="10" borderId="57" xfId="55" applyNumberFormat="1" applyFont="1" applyFill="1" applyBorder="1" applyAlignment="1">
      <alignment horizontal="center" vertical="center" wrapText="1"/>
    </xf>
    <xf numFmtId="178" fontId="18" fillId="17" borderId="49" xfId="55" applyNumberFormat="1" applyFont="1" applyFill="1" applyBorder="1" applyAlignment="1">
      <alignment horizontal="center" wrapText="1"/>
    </xf>
    <xf numFmtId="178" fontId="18" fillId="10" borderId="44" xfId="55" applyNumberFormat="1" applyFont="1" applyFill="1" applyBorder="1" applyAlignment="1">
      <alignment horizontal="center" wrapText="1"/>
    </xf>
    <xf numFmtId="178" fontId="18" fillId="10" borderId="48" xfId="55" applyNumberFormat="1" applyFont="1" applyFill="1" applyBorder="1" applyAlignment="1">
      <alignment horizontal="center" wrapText="1"/>
    </xf>
    <xf numFmtId="195" fontId="18" fillId="17" borderId="49" xfId="55" applyNumberFormat="1" applyFont="1" applyFill="1" applyBorder="1" applyAlignment="1">
      <alignment horizontal="center" wrapText="1"/>
    </xf>
    <xf numFmtId="3" fontId="18" fillId="17" borderId="4" xfId="55" applyNumberFormat="1" applyFont="1" applyFill="1" applyBorder="1" applyAlignment="1">
      <alignment horizontal="center" wrapText="1"/>
    </xf>
    <xf numFmtId="3" fontId="18" fillId="10" borderId="13" xfId="55" applyNumberFormat="1" applyFont="1" applyFill="1" applyBorder="1" applyAlignment="1">
      <alignment horizontal="center" wrapText="1"/>
    </xf>
    <xf numFmtId="3" fontId="18" fillId="10" borderId="6" xfId="55" applyNumberFormat="1" applyFont="1" applyFill="1" applyBorder="1" applyAlignment="1">
      <alignment horizontal="center" wrapText="1"/>
    </xf>
    <xf numFmtId="195" fontId="18" fillId="17" borderId="55" xfId="55" applyNumberFormat="1" applyFont="1" applyFill="1" applyBorder="1" applyAlignment="1">
      <alignment horizontal="center" wrapText="1"/>
    </xf>
    <xf numFmtId="178" fontId="18" fillId="17" borderId="55" xfId="55" applyNumberFormat="1" applyFont="1" applyFill="1" applyBorder="1" applyAlignment="1">
      <alignment horizontal="center" wrapText="1"/>
    </xf>
    <xf numFmtId="178" fontId="18" fillId="17" borderId="58" xfId="55" applyNumberFormat="1" applyFont="1" applyFill="1" applyBorder="1" applyAlignment="1">
      <alignment horizontal="center" wrapText="1"/>
    </xf>
    <xf numFmtId="3" fontId="18" fillId="17" borderId="58" xfId="55" applyNumberFormat="1" applyFont="1" applyFill="1" applyBorder="1" applyAlignment="1">
      <alignment horizontal="center" wrapText="1"/>
    </xf>
    <xf numFmtId="3" fontId="18" fillId="10" borderId="16" xfId="55" applyNumberFormat="1" applyFont="1" applyFill="1" applyBorder="1" applyAlignment="1">
      <alignment horizontal="center" wrapText="1"/>
    </xf>
    <xf numFmtId="3" fontId="18" fillId="10" borderId="19" xfId="55" applyNumberFormat="1" applyFont="1" applyFill="1" applyBorder="1" applyAlignment="1">
      <alignment horizontal="center" wrapText="1"/>
    </xf>
    <xf numFmtId="177" fontId="23" fillId="9" borderId="0" xfId="2" applyFont="1" applyFill="1">
      <alignment horizontal="right" vertical="center"/>
    </xf>
    <xf numFmtId="177" fontId="19" fillId="0" borderId="0" xfId="55" applyNumberFormat="1" applyFont="1"/>
    <xf numFmtId="0" fontId="23" fillId="10" borderId="30" xfId="55" applyFont="1" applyFill="1" applyBorder="1" applyAlignment="1">
      <alignment horizontal="left" wrapText="1" indent="1"/>
    </xf>
    <xf numFmtId="177" fontId="23" fillId="3" borderId="30" xfId="55" applyNumberFormat="1" applyFont="1" applyFill="1" applyBorder="1" applyAlignment="1">
      <alignment horizontal="center" vertical="center"/>
    </xf>
    <xf numFmtId="49" fontId="23" fillId="2" borderId="59" xfId="55" applyNumberFormat="1" applyFont="1" applyFill="1" applyBorder="1" applyAlignment="1">
      <alignment horizontal="left" indent="1"/>
    </xf>
    <xf numFmtId="49" fontId="23" fillId="2" borderId="22" xfId="55" applyNumberFormat="1" applyFont="1" applyFill="1" applyBorder="1" applyAlignment="1">
      <alignment horizontal="left" indent="1"/>
    </xf>
    <xf numFmtId="177" fontId="23" fillId="3" borderId="45" xfId="55" applyNumberFormat="1" applyFont="1" applyFill="1" applyBorder="1" applyAlignment="1">
      <alignment horizontal="center" vertical="center" wrapText="1"/>
    </xf>
    <xf numFmtId="0" fontId="23" fillId="0" borderId="17" xfId="55" applyFont="1" applyBorder="1" applyAlignment="1">
      <alignment horizontal="center" vertical="center" wrapText="1"/>
    </xf>
    <xf numFmtId="178" fontId="18" fillId="10" borderId="49" xfId="55" applyNumberFormat="1" applyFont="1" applyFill="1" applyBorder="1" applyAlignment="1">
      <alignment horizontal="center" wrapText="1"/>
    </xf>
    <xf numFmtId="186" fontId="23" fillId="3" borderId="47" xfId="2" applyNumberFormat="1" applyFont="1" applyFill="1" applyBorder="1">
      <alignment horizontal="right" vertical="center"/>
    </xf>
    <xf numFmtId="196" fontId="18" fillId="0" borderId="60" xfId="55" applyNumberFormat="1" applyFont="1" applyBorder="1" applyAlignment="1">
      <alignment horizontal="left" indent="1"/>
    </xf>
    <xf numFmtId="196" fontId="18" fillId="0" borderId="61" xfId="55" applyNumberFormat="1" applyFont="1" applyBorder="1" applyAlignment="1">
      <alignment horizontal="left" indent="1"/>
    </xf>
    <xf numFmtId="0" fontId="18" fillId="0" borderId="6" xfId="55" applyFont="1" applyBorder="1" applyAlignment="1">
      <alignment horizontal="left"/>
    </xf>
    <xf numFmtId="196" fontId="24" fillId="0" borderId="62" xfId="55" applyNumberFormat="1" applyFont="1" applyBorder="1" applyAlignment="1">
      <alignment horizontal="left" indent="1"/>
    </xf>
    <xf numFmtId="196" fontId="24" fillId="0" borderId="63" xfId="55" applyNumberFormat="1" applyFont="1" applyBorder="1" applyAlignment="1">
      <alignment horizontal="left" indent="1"/>
    </xf>
    <xf numFmtId="0" fontId="24" fillId="0" borderId="6" xfId="55" applyFont="1" applyBorder="1" applyAlignment="1">
      <alignment horizontal="left"/>
    </xf>
    <xf numFmtId="196" fontId="18" fillId="0" borderId="62" xfId="55" applyNumberFormat="1" applyFont="1" applyBorder="1" applyAlignment="1">
      <alignment horizontal="left" indent="1"/>
    </xf>
    <xf numFmtId="196" fontId="18" fillId="0" borderId="63" xfId="55" applyNumberFormat="1" applyFont="1" applyBorder="1" applyAlignment="1">
      <alignment horizontal="left" indent="1"/>
    </xf>
    <xf numFmtId="3" fontId="18" fillId="10" borderId="4" xfId="55" applyNumberFormat="1" applyFont="1" applyFill="1" applyBorder="1" applyAlignment="1">
      <alignment horizontal="center" wrapText="1"/>
    </xf>
    <xf numFmtId="177" fontId="23" fillId="3" borderId="47" xfId="2" applyFont="1" applyFill="1" applyBorder="1">
      <alignment horizontal="right" vertical="center"/>
    </xf>
    <xf numFmtId="196" fontId="24" fillId="0" borderId="0" xfId="55" applyNumberFormat="1" applyFont="1" applyAlignment="1">
      <alignment horizontal="left" indent="1"/>
    </xf>
    <xf numFmtId="196" fontId="24" fillId="0" borderId="64" xfId="55" applyNumberFormat="1" applyFont="1" applyBorder="1" applyAlignment="1">
      <alignment horizontal="left" indent="1"/>
    </xf>
    <xf numFmtId="0" fontId="24" fillId="0" borderId="0" xfId="55" applyFont="1" applyAlignment="1">
      <alignment horizontal="left"/>
    </xf>
    <xf numFmtId="3" fontId="18" fillId="10" borderId="58" xfId="55" applyNumberFormat="1" applyFont="1" applyFill="1" applyBorder="1" applyAlignment="1">
      <alignment horizontal="center" wrapText="1"/>
    </xf>
    <xf numFmtId="177" fontId="23" fillId="3" borderId="53" xfId="55" applyNumberFormat="1" applyFont="1" applyFill="1" applyBorder="1" applyAlignment="1">
      <alignment horizontal="center" wrapText="1"/>
    </xf>
    <xf numFmtId="196" fontId="18" fillId="0" borderId="65" xfId="55" applyNumberFormat="1" applyFont="1" applyBorder="1" applyAlignment="1">
      <alignment horizontal="left" indent="1"/>
    </xf>
    <xf numFmtId="196" fontId="18" fillId="0" borderId="66" xfId="55" applyNumberFormat="1" applyFont="1" applyBorder="1" applyAlignment="1">
      <alignment horizontal="left" indent="1"/>
    </xf>
    <xf numFmtId="177" fontId="17" fillId="9" borderId="0" xfId="55" applyNumberFormat="1" applyFont="1" applyFill="1" applyAlignment="1">
      <alignment horizontal="left" indent="1"/>
    </xf>
    <xf numFmtId="0" fontId="23" fillId="0" borderId="0" xfId="55" applyFont="1" applyAlignment="1">
      <alignment horizontal="left" indent="1"/>
    </xf>
    <xf numFmtId="177" fontId="18" fillId="0" borderId="0" xfId="2" applyFont="1">
      <alignment horizontal="right" vertical="center"/>
    </xf>
    <xf numFmtId="4" fontId="29" fillId="0" borderId="0" xfId="55" applyNumberFormat="1" applyFont="1"/>
    <xf numFmtId="1" fontId="18" fillId="0" borderId="0" xfId="55" applyNumberFormat="1" applyFont="1"/>
    <xf numFmtId="0" fontId="8" fillId="0" borderId="0" xfId="55" applyFont="1"/>
    <xf numFmtId="0" fontId="0" fillId="0" borderId="6" xfId="0" applyBorder="1">
      <alignment wrapText="1"/>
    </xf>
    <xf numFmtId="0" fontId="0" fillId="18" borderId="6" xfId="0" applyFill="1" applyBorder="1">
      <alignment wrapText="1"/>
    </xf>
    <xf numFmtId="0" fontId="0" fillId="0" borderId="48" xfId="0" applyBorder="1">
      <alignment wrapText="1"/>
    </xf>
    <xf numFmtId="0" fontId="0" fillId="0" borderId="49" xfId="0" applyBorder="1">
      <alignment wrapText="1"/>
    </xf>
    <xf numFmtId="0" fontId="0" fillId="18" borderId="48" xfId="0" applyFill="1" applyBorder="1">
      <alignment wrapText="1"/>
    </xf>
    <xf numFmtId="9" fontId="0" fillId="0" borderId="48" xfId="3" applyFont="1" applyBorder="1" applyAlignment="1">
      <alignment wrapText="1"/>
    </xf>
    <xf numFmtId="177" fontId="0" fillId="0" borderId="6" xfId="2" applyFont="1" applyBorder="1">
      <alignment horizontal="right" vertical="center"/>
    </xf>
    <xf numFmtId="177" fontId="0" fillId="0" borderId="4" xfId="2" applyFont="1" applyBorder="1">
      <alignment horizontal="right" vertical="center"/>
    </xf>
    <xf numFmtId="177" fontId="0" fillId="18" borderId="6" xfId="2" applyFont="1" applyFill="1" applyBorder="1">
      <alignment horizontal="right" vertical="center"/>
    </xf>
    <xf numFmtId="187" fontId="0" fillId="18" borderId="6" xfId="2" applyNumberFormat="1" applyFont="1" applyFill="1" applyBorder="1">
      <alignment horizontal="right" vertical="center"/>
    </xf>
    <xf numFmtId="0" fontId="30" fillId="0" borderId="0" xfId="57" applyFont="1" applyAlignment="1">
      <alignment horizontal="left" vertical="center" wrapText="1"/>
    </xf>
    <xf numFmtId="0" fontId="18" fillId="0" borderId="0" xfId="57" applyFont="1" applyAlignment="1">
      <alignment horizontal="left" vertical="center"/>
    </xf>
    <xf numFmtId="0" fontId="24" fillId="0" borderId="0" xfId="0" applyFont="1">
      <alignment wrapText="1"/>
    </xf>
    <xf numFmtId="0" fontId="23" fillId="0" borderId="43" xfId="57" applyFont="1" applyBorder="1" applyAlignment="1">
      <alignment horizontal="left" vertical="center" wrapText="1"/>
    </xf>
    <xf numFmtId="0" fontId="23" fillId="0" borderId="48" xfId="57" applyFont="1" applyBorder="1" applyAlignment="1">
      <alignment horizontal="left" vertical="center" wrapText="1"/>
    </xf>
    <xf numFmtId="58" fontId="17" fillId="0" borderId="48" xfId="0" applyNumberFormat="1" applyFont="1" applyBorder="1">
      <alignment wrapText="1"/>
    </xf>
    <xf numFmtId="58" fontId="17" fillId="0" borderId="49" xfId="0" applyNumberFormat="1" applyFont="1" applyBorder="1">
      <alignment wrapText="1"/>
    </xf>
    <xf numFmtId="0" fontId="18" fillId="0" borderId="15" xfId="57" applyFont="1" applyBorder="1" applyAlignment="1">
      <alignment horizontal="left" vertical="center"/>
    </xf>
    <xf numFmtId="0" fontId="18" fillId="0" borderId="6" xfId="57" applyFont="1" applyBorder="1" applyAlignment="1">
      <alignment horizontal="left" vertical="center"/>
    </xf>
    <xf numFmtId="0" fontId="31" fillId="0" borderId="6" xfId="0" applyFont="1" applyBorder="1">
      <alignment wrapText="1"/>
    </xf>
    <xf numFmtId="3" fontId="18" fillId="16" borderId="6" xfId="57" applyNumberFormat="1" applyFont="1" applyFill="1" applyBorder="1" applyAlignment="1">
      <alignment horizontal="center" wrapText="1"/>
    </xf>
    <xf numFmtId="3" fontId="18" fillId="16" borderId="4" xfId="57" applyNumberFormat="1" applyFont="1" applyFill="1" applyBorder="1" applyAlignment="1">
      <alignment horizontal="center" wrapText="1"/>
    </xf>
    <xf numFmtId="0" fontId="18" fillId="6" borderId="6" xfId="57" applyFont="1" applyFill="1" applyBorder="1"/>
    <xf numFmtId="0" fontId="18" fillId="19" borderId="6" xfId="57" applyFont="1" applyFill="1" applyBorder="1"/>
    <xf numFmtId="3" fontId="18" fillId="16" borderId="4" xfId="57" applyNumberFormat="1" applyFont="1" applyFill="1" applyBorder="1" applyAlignment="1">
      <alignment horizontal="center" vertical="center" wrapText="1"/>
    </xf>
    <xf numFmtId="0" fontId="30" fillId="0" borderId="15" xfId="57" applyFont="1" applyBorder="1" applyAlignment="1">
      <alignment horizontal="left" vertical="center" wrapText="1"/>
    </xf>
    <xf numFmtId="0" fontId="24" fillId="16" borderId="6" xfId="57" applyFont="1" applyFill="1" applyBorder="1"/>
    <xf numFmtId="3" fontId="18" fillId="16" borderId="6" xfId="57" applyNumberFormat="1" applyFont="1" applyFill="1" applyBorder="1" applyAlignment="1">
      <alignment horizontal="center" vertical="center" wrapText="1"/>
    </xf>
    <xf numFmtId="192" fontId="18" fillId="16" borderId="6" xfId="57" applyNumberFormat="1" applyFont="1" applyFill="1" applyBorder="1" applyAlignment="1">
      <alignment horizontal="center" wrapText="1"/>
    </xf>
    <xf numFmtId="192" fontId="18" fillId="16" borderId="4" xfId="57" applyNumberFormat="1" applyFont="1" applyFill="1" applyBorder="1" applyAlignment="1">
      <alignment horizontal="center" wrapText="1"/>
    </xf>
    <xf numFmtId="0" fontId="30" fillId="0" borderId="15" xfId="55" applyFont="1" applyBorder="1" applyAlignment="1">
      <alignment horizontal="left" vertical="center" wrapText="1"/>
    </xf>
    <xf numFmtId="0" fontId="30" fillId="0" borderId="67" xfId="55" applyFont="1" applyBorder="1" applyAlignment="1">
      <alignment horizontal="left" vertical="center" wrapText="1"/>
    </xf>
    <xf numFmtId="0" fontId="31" fillId="0" borderId="6" xfId="0" applyFont="1" applyBorder="1" applyAlignment="1"/>
    <xf numFmtId="0" fontId="18" fillId="0" borderId="6" xfId="0" applyFont="1" applyBorder="1" applyAlignment="1"/>
    <xf numFmtId="3" fontId="24" fillId="16" borderId="6" xfId="57" applyNumberFormat="1" applyFont="1" applyFill="1" applyBorder="1" applyAlignment="1">
      <alignment horizontal="center" wrapText="1"/>
    </xf>
    <xf numFmtId="58" fontId="0" fillId="0" borderId="0" xfId="0" applyNumberFormat="1">
      <alignment wrapText="1"/>
    </xf>
    <xf numFmtId="3" fontId="24" fillId="16" borderId="48" xfId="57" applyNumberFormat="1" applyFont="1" applyFill="1" applyBorder="1" applyAlignment="1">
      <alignment horizontal="center" wrapText="1"/>
    </xf>
    <xf numFmtId="3" fontId="24" fillId="16" borderId="6" xfId="57" applyNumberFormat="1" applyFont="1" applyFill="1" applyBorder="1" applyAlignment="1">
      <alignment horizontal="center" vertical="center" wrapText="1"/>
    </xf>
    <xf numFmtId="192" fontId="24" fillId="16" borderId="6" xfId="57" applyNumberFormat="1" applyFont="1" applyFill="1" applyBorder="1" applyAlignment="1">
      <alignment horizontal="center" wrapText="1"/>
    </xf>
    <xf numFmtId="0" fontId="18" fillId="6" borderId="15" xfId="57" applyFont="1" applyFill="1" applyBorder="1" applyAlignment="1">
      <alignment horizontal="left" vertical="center"/>
    </xf>
    <xf numFmtId="0" fontId="24" fillId="0" borderId="6" xfId="57" applyFont="1" applyBorder="1"/>
    <xf numFmtId="3" fontId="18" fillId="20" borderId="6" xfId="57" applyNumberFormat="1" applyFont="1" applyFill="1" applyBorder="1" applyAlignment="1">
      <alignment horizontal="center" wrapText="1"/>
    </xf>
    <xf numFmtId="0" fontId="24" fillId="6" borderId="6" xfId="57" applyFont="1" applyFill="1" applyBorder="1"/>
    <xf numFmtId="0" fontId="31" fillId="6" borderId="6" xfId="0" applyFont="1" applyFill="1" applyBorder="1" applyAlignment="1"/>
    <xf numFmtId="0" fontId="31" fillId="6" borderId="6" xfId="0" applyFont="1" applyFill="1" applyBorder="1">
      <alignment wrapText="1"/>
    </xf>
    <xf numFmtId="0" fontId="31" fillId="6" borderId="6" xfId="57" applyFont="1" applyFill="1" applyBorder="1"/>
    <xf numFmtId="0" fontId="30" fillId="0" borderId="15" xfId="0" applyFont="1" applyBorder="1" applyAlignment="1">
      <alignment horizontal="left" vertical="center" wrapText="1"/>
    </xf>
    <xf numFmtId="0" fontId="18" fillId="0" borderId="67" xfId="57" applyFont="1" applyBorder="1" applyAlignment="1">
      <alignment horizontal="left" vertical="center"/>
    </xf>
    <xf numFmtId="0" fontId="18" fillId="0" borderId="1" xfId="57" applyFont="1" applyBorder="1" applyAlignment="1">
      <alignment horizontal="left" vertical="center"/>
    </xf>
    <xf numFmtId="0" fontId="18" fillId="6" borderId="1" xfId="57" applyFont="1" applyFill="1" applyBorder="1"/>
    <xf numFmtId="0" fontId="30" fillId="0" borderId="67" xfId="57" applyFont="1" applyBorder="1" applyAlignment="1">
      <alignment horizontal="left" vertical="center" wrapText="1"/>
    </xf>
    <xf numFmtId="0" fontId="31" fillId="6" borderId="1" xfId="57" applyFont="1" applyFill="1" applyBorder="1"/>
    <xf numFmtId="0" fontId="32" fillId="0" borderId="0" xfId="0" applyFont="1">
      <alignment wrapText="1"/>
    </xf>
    <xf numFmtId="0" fontId="26" fillId="0" borderId="0" xfId="0" applyFont="1">
      <alignment wrapText="1"/>
    </xf>
    <xf numFmtId="2" fontId="24" fillId="7" borderId="6" xfId="0" applyNumberFormat="1" applyFont="1" applyFill="1" applyBorder="1">
      <alignment wrapText="1"/>
    </xf>
    <xf numFmtId="0" fontId="33" fillId="0" borderId="0" xfId="57" applyFont="1" applyAlignment="1">
      <alignment horizontal="left" vertical="center" wrapText="1"/>
    </xf>
    <xf numFmtId="0" fontId="27" fillId="0" borderId="0" xfId="57" applyAlignment="1">
      <alignment horizontal="left" vertical="center"/>
    </xf>
    <xf numFmtId="197" fontId="18" fillId="0" borderId="15" xfId="57" applyNumberFormat="1" applyFont="1" applyBorder="1" applyAlignment="1">
      <alignment horizontal="left" vertical="center"/>
    </xf>
    <xf numFmtId="197" fontId="18" fillId="0" borderId="6" xfId="57" applyNumberFormat="1" applyFont="1" applyBorder="1" applyAlignment="1">
      <alignment horizontal="left" vertical="center"/>
    </xf>
    <xf numFmtId="1" fontId="31" fillId="0" borderId="6" xfId="0" applyNumberFormat="1" applyFont="1" applyBorder="1">
      <alignment wrapText="1"/>
    </xf>
    <xf numFmtId="197" fontId="18" fillId="13" borderId="6" xfId="1" applyNumberFormat="1" applyFont="1" applyFill="1" applyBorder="1" applyAlignment="1">
      <alignment horizontal="center" vertical="center" wrapText="1"/>
    </xf>
    <xf numFmtId="197" fontId="18" fillId="13" borderId="6" xfId="57" applyNumberFormat="1" applyFont="1" applyFill="1" applyBorder="1" applyAlignment="1">
      <alignment horizontal="center" vertical="center" wrapText="1"/>
    </xf>
    <xf numFmtId="197" fontId="18" fillId="13" borderId="4" xfId="57" applyNumberFormat="1" applyFont="1" applyFill="1" applyBorder="1" applyAlignment="1">
      <alignment horizontal="center" vertical="center" wrapText="1"/>
    </xf>
    <xf numFmtId="1" fontId="18" fillId="0" borderId="6" xfId="57" applyNumberFormat="1" applyFont="1" applyBorder="1"/>
    <xf numFmtId="197" fontId="30" fillId="0" borderId="15" xfId="57" applyNumberFormat="1" applyFont="1" applyBorder="1" applyAlignment="1">
      <alignment horizontal="left" vertical="center" wrapText="1"/>
    </xf>
    <xf numFmtId="197" fontId="30" fillId="0" borderId="15" xfId="55" applyNumberFormat="1" applyFont="1" applyBorder="1" applyAlignment="1">
      <alignment horizontal="left" vertical="center" wrapText="1"/>
    </xf>
    <xf numFmtId="197" fontId="18" fillId="13" borderId="4" xfId="1" applyNumberFormat="1" applyFont="1" applyFill="1" applyBorder="1" applyAlignment="1">
      <alignment horizontal="center" vertical="center" wrapText="1"/>
    </xf>
    <xf numFmtId="197" fontId="30" fillId="0" borderId="67" xfId="55" applyNumberFormat="1" applyFont="1" applyBorder="1" applyAlignment="1">
      <alignment horizontal="left" vertical="center" wrapText="1"/>
    </xf>
    <xf numFmtId="1" fontId="31" fillId="0" borderId="6" xfId="0" applyNumberFormat="1" applyFont="1" applyBorder="1" applyAlignment="1"/>
    <xf numFmtId="1" fontId="18" fillId="0" borderId="6" xfId="0" applyNumberFormat="1" applyFont="1" applyBorder="1" applyAlignment="1"/>
    <xf numFmtId="58" fontId="25" fillId="0" borderId="0" xfId="0" applyNumberFormat="1" applyFont="1">
      <alignment wrapText="1"/>
    </xf>
    <xf numFmtId="197" fontId="18" fillId="21" borderId="4" xfId="57" applyNumberFormat="1" applyFont="1" applyFill="1" applyBorder="1" applyAlignment="1">
      <alignment horizontal="center" vertical="center" wrapText="1"/>
    </xf>
    <xf numFmtId="197" fontId="18" fillId="11" borderId="4" xfId="1" applyNumberFormat="1" applyFont="1" applyFill="1" applyBorder="1" applyAlignment="1">
      <alignment horizontal="center" vertical="center" wrapText="1"/>
    </xf>
    <xf numFmtId="197" fontId="24" fillId="7" borderId="6" xfId="0" applyNumberFormat="1" applyFont="1" applyFill="1" applyBorder="1">
      <alignment wrapText="1"/>
    </xf>
    <xf numFmtId="1" fontId="34" fillId="0" borderId="0" xfId="0" applyNumberFormat="1" applyFont="1">
      <alignment wrapText="1"/>
    </xf>
    <xf numFmtId="1" fontId="24" fillId="0" borderId="6" xfId="57" applyNumberFormat="1" applyFont="1" applyBorder="1"/>
    <xf numFmtId="0" fontId="34" fillId="0" borderId="0" xfId="0" applyFont="1">
      <alignment wrapText="1"/>
    </xf>
    <xf numFmtId="1" fontId="31" fillId="6" borderId="6" xfId="0" applyNumberFormat="1" applyFont="1" applyFill="1" applyBorder="1" applyAlignment="1"/>
    <xf numFmtId="1" fontId="24" fillId="6" borderId="6" xfId="57" applyNumberFormat="1" applyFont="1" applyFill="1" applyBorder="1"/>
    <xf numFmtId="197" fontId="18" fillId="18" borderId="4" xfId="1" applyNumberFormat="1" applyFont="1" applyFill="1" applyBorder="1" applyAlignment="1">
      <alignment horizontal="center" vertical="center" wrapText="1"/>
    </xf>
    <xf numFmtId="1" fontId="18" fillId="6" borderId="6" xfId="57" applyNumberFormat="1" applyFont="1" applyFill="1" applyBorder="1"/>
    <xf numFmtId="1" fontId="31" fillId="6" borderId="6" xfId="0" applyNumberFormat="1" applyFont="1" applyFill="1" applyBorder="1">
      <alignment wrapText="1"/>
    </xf>
    <xf numFmtId="197" fontId="30" fillId="0" borderId="15" xfId="0" applyNumberFormat="1" applyFont="1" applyBorder="1" applyAlignment="1">
      <alignment horizontal="left" vertical="center" wrapText="1"/>
    </xf>
    <xf numFmtId="1" fontId="31" fillId="6" borderId="6" xfId="57" applyNumberFormat="1" applyFont="1" applyFill="1" applyBorder="1"/>
    <xf numFmtId="1" fontId="35" fillId="6" borderId="6" xfId="57" applyNumberFormat="1" applyFont="1" applyFill="1" applyBorder="1"/>
    <xf numFmtId="197" fontId="18" fillId="22" borderId="6" xfId="1" applyNumberFormat="1" applyFont="1" applyFill="1" applyBorder="1" applyAlignment="1">
      <alignment horizontal="center" vertical="center" wrapText="1"/>
    </xf>
    <xf numFmtId="197" fontId="18" fillId="0" borderId="67" xfId="57" applyNumberFormat="1" applyFont="1" applyBorder="1" applyAlignment="1">
      <alignment horizontal="left" vertical="center"/>
    </xf>
    <xf numFmtId="197" fontId="18" fillId="0" borderId="1" xfId="57" applyNumberFormat="1" applyFont="1" applyBorder="1" applyAlignment="1">
      <alignment horizontal="left" vertical="center"/>
    </xf>
    <xf numFmtId="197" fontId="18" fillId="13" borderId="1" xfId="1" applyNumberFormat="1" applyFont="1" applyFill="1" applyBorder="1" applyAlignment="1">
      <alignment horizontal="center" vertical="center" wrapText="1"/>
    </xf>
    <xf numFmtId="1" fontId="31" fillId="0" borderId="1" xfId="57" applyNumberFormat="1" applyFont="1" applyBorder="1"/>
    <xf numFmtId="197" fontId="18" fillId="0" borderId="4" xfId="1" applyNumberFormat="1" applyFont="1" applyFill="1" applyBorder="1" applyAlignment="1">
      <alignment horizontal="center" vertical="center" wrapText="1"/>
    </xf>
    <xf numFmtId="197" fontId="18" fillId="13" borderId="4" xfId="1" applyNumberFormat="1" applyFont="1" applyFill="1" applyBorder="1" applyAlignment="1">
      <alignment horizontal="center" wrapText="1"/>
    </xf>
    <xf numFmtId="0" fontId="0" fillId="0" borderId="0" xfId="0" applyAlignment="1">
      <alignment horizontal="center" wrapText="1"/>
    </xf>
    <xf numFmtId="0" fontId="25" fillId="0" borderId="0" xfId="0" applyFont="1" applyAlignment="1">
      <alignment horizontal="center" vertical="center" wrapText="1"/>
    </xf>
    <xf numFmtId="177" fontId="25" fillId="0" borderId="0" xfId="0" applyNumberFormat="1" applyFont="1" applyAlignment="1">
      <alignment horizontal="center" vertical="center" wrapText="1"/>
    </xf>
    <xf numFmtId="0" fontId="29" fillId="0" borderId="0" xfId="55" applyFont="1" applyAlignment="1">
      <alignment horizontal="left" vertical="center" wrapText="1"/>
    </xf>
    <xf numFmtId="198" fontId="27" fillId="0" borderId="0" xfId="55" applyNumberFormat="1" applyAlignment="1">
      <alignment horizontal="left" vertical="center"/>
    </xf>
    <xf numFmtId="0" fontId="36" fillId="0" borderId="0" xfId="55" applyFont="1" applyAlignment="1">
      <alignment horizontal="left" vertical="center" wrapText="1"/>
    </xf>
    <xf numFmtId="0" fontId="27" fillId="0" borderId="0" xfId="55" applyAlignment="1">
      <alignment horizontal="left" vertical="center"/>
    </xf>
    <xf numFmtId="1" fontId="36" fillId="0" borderId="0" xfId="55" applyNumberFormat="1" applyFont="1" applyAlignment="1">
      <alignment horizontal="center" vertical="center" wrapText="1"/>
    </xf>
    <xf numFmtId="181" fontId="36" fillId="0" borderId="0" xfId="3" applyNumberFormat="1" applyFont="1" applyAlignment="1">
      <alignment horizontal="center" vertical="center" wrapText="1"/>
    </xf>
    <xf numFmtId="191" fontId="27" fillId="0" borderId="0" xfId="1" applyNumberFormat="1" applyFont="1" applyAlignment="1">
      <alignment horizontal="left" vertical="center"/>
    </xf>
    <xf numFmtId="198" fontId="29" fillId="0" borderId="0" xfId="55" applyNumberFormat="1" applyFont="1" applyAlignment="1">
      <alignment horizontal="center" vertical="center"/>
    </xf>
    <xf numFmtId="198" fontId="36" fillId="0" borderId="0" xfId="55" applyNumberFormat="1" applyFont="1" applyAlignment="1">
      <alignment horizontal="left" vertical="center"/>
    </xf>
    <xf numFmtId="49" fontId="27" fillId="0" borderId="0" xfId="55" applyNumberFormat="1" applyAlignment="1">
      <alignment horizontal="left" vertical="center"/>
    </xf>
    <xf numFmtId="198" fontId="37" fillId="0" borderId="0" xfId="6" applyNumberFormat="1" applyFont="1" applyAlignment="1">
      <alignment wrapText="1"/>
    </xf>
    <xf numFmtId="199" fontId="36" fillId="0" borderId="0" xfId="55" applyNumberFormat="1" applyFont="1" applyAlignment="1">
      <alignment horizontal="left" vertical="center" wrapText="1"/>
    </xf>
    <xf numFmtId="200" fontId="27" fillId="0" borderId="0" xfId="55" applyNumberFormat="1" applyAlignment="1">
      <alignment horizontal="left" vertical="center"/>
    </xf>
    <xf numFmtId="0" fontId="6" fillId="0" borderId="0" xfId="0" applyFont="1" applyAlignment="1">
      <alignment horizontal="left" vertical="center" wrapText="1"/>
    </xf>
    <xf numFmtId="0" fontId="36" fillId="0" borderId="0" xfId="0" applyFont="1" applyAlignment="1">
      <alignment horizontal="left" vertical="center" wrapText="1"/>
    </xf>
    <xf numFmtId="0" fontId="38" fillId="0" borderId="68" xfId="55" applyFont="1" applyBorder="1"/>
    <xf numFmtId="0" fontId="18" fillId="18" borderId="15" xfId="57" applyFont="1" applyFill="1" applyBorder="1" applyAlignment="1">
      <alignment horizontal="left" vertical="center"/>
    </xf>
    <xf numFmtId="0" fontId="18" fillId="18" borderId="6" xfId="57" applyFont="1" applyFill="1" applyBorder="1" applyAlignment="1">
      <alignment horizontal="left" vertical="center"/>
    </xf>
    <xf numFmtId="0" fontId="18" fillId="18" borderId="6" xfId="57" applyFont="1" applyFill="1" applyBorder="1"/>
    <xf numFmtId="181" fontId="29" fillId="0" borderId="0" xfId="3" applyNumberFormat="1" applyFont="1" applyAlignment="1">
      <alignment horizontal="left" vertical="center" wrapText="1"/>
    </xf>
    <xf numFmtId="191" fontId="29" fillId="0" borderId="0" xfId="1" applyNumberFormat="1" applyFont="1" applyAlignment="1">
      <alignment horizontal="left" vertical="center" wrapText="1"/>
    </xf>
    <xf numFmtId="1" fontId="6" fillId="0" borderId="0" xfId="61" applyNumberFormat="1" applyFont="1" applyAlignment="1">
      <alignment horizontal="center" vertical="center"/>
    </xf>
    <xf numFmtId="181" fontId="6" fillId="0" borderId="0" xfId="3" applyNumberFormat="1" applyFont="1" applyAlignment="1">
      <alignment horizontal="center" vertical="center"/>
    </xf>
    <xf numFmtId="198" fontId="27" fillId="0" borderId="0" xfId="55" applyNumberFormat="1" applyAlignment="1">
      <alignment horizontal="center"/>
    </xf>
    <xf numFmtId="1" fontId="36" fillId="0" borderId="0" xfId="61" applyNumberFormat="1" applyFont="1" applyAlignment="1">
      <alignment horizontal="center" vertical="center" wrapText="1"/>
    </xf>
    <xf numFmtId="0" fontId="27" fillId="0" borderId="0" xfId="55" applyAlignment="1">
      <alignment horizontal="center" vertical="center"/>
    </xf>
    <xf numFmtId="181" fontId="27" fillId="0" borderId="0" xfId="3" applyNumberFormat="1" applyFont="1" applyAlignment="1">
      <alignment horizontal="center" vertical="center"/>
    </xf>
    <xf numFmtId="0" fontId="27" fillId="23" borderId="0" xfId="55" applyFill="1" applyAlignment="1">
      <alignment horizontal="left" vertical="center"/>
    </xf>
    <xf numFmtId="1" fontId="6" fillId="11" borderId="0" xfId="61" applyNumberFormat="1" applyFont="1" applyFill="1" applyAlignment="1">
      <alignment horizontal="center" vertical="center"/>
    </xf>
    <xf numFmtId="181" fontId="6" fillId="0" borderId="0" xfId="3" applyNumberFormat="1" applyFont="1" applyFill="1" applyAlignment="1">
      <alignment horizontal="center" vertical="center"/>
    </xf>
    <xf numFmtId="191" fontId="27" fillId="11" borderId="0" xfId="1" applyNumberFormat="1" applyFont="1" applyFill="1" applyAlignment="1">
      <alignment horizontal="left" vertical="center"/>
    </xf>
    <xf numFmtId="1" fontId="6" fillId="0" borderId="0" xfId="61" applyNumberFormat="1" applyFont="1" applyFill="1" applyAlignment="1">
      <alignment horizontal="center" vertical="center"/>
    </xf>
    <xf numFmtId="1" fontId="38" fillId="0" borderId="69" xfId="0" applyNumberFormat="1" applyFont="1" applyBorder="1" applyAlignment="1">
      <alignment horizontal="center"/>
    </xf>
    <xf numFmtId="181" fontId="38" fillId="0" borderId="0" xfId="3" applyNumberFormat="1" applyFont="1" applyBorder="1" applyAlignment="1">
      <alignment horizontal="center"/>
    </xf>
    <xf numFmtId="198" fontId="39" fillId="0" borderId="0" xfId="0" applyNumberFormat="1" applyFont="1">
      <alignment wrapText="1"/>
    </xf>
    <xf numFmtId="0" fontId="29" fillId="24" borderId="70" xfId="55" applyFont="1" applyFill="1" applyBorder="1" applyAlignment="1">
      <alignment horizontal="left" vertical="center" wrapText="1"/>
    </xf>
    <xf numFmtId="58" fontId="29" fillId="0" borderId="0" xfId="55" applyNumberFormat="1" applyFont="1" applyAlignment="1">
      <alignment horizontal="left" vertical="center" wrapText="1"/>
    </xf>
    <xf numFmtId="198" fontId="40" fillId="0" borderId="0" xfId="55" applyNumberFormat="1" applyFont="1" applyAlignment="1">
      <alignment horizontal="left" vertical="center"/>
    </xf>
    <xf numFmtId="198" fontId="29" fillId="0" borderId="0" xfId="55" applyNumberFormat="1" applyFont="1" applyAlignment="1">
      <alignment horizontal="left" vertical="center"/>
    </xf>
    <xf numFmtId="58" fontId="27" fillId="0" borderId="0" xfId="55" applyNumberFormat="1" applyAlignment="1">
      <alignment horizontal="left" vertical="center"/>
    </xf>
    <xf numFmtId="0" fontId="18" fillId="14" borderId="6" xfId="57" applyFont="1" applyFill="1" applyBorder="1"/>
    <xf numFmtId="0" fontId="24" fillId="14" borderId="6" xfId="57" applyFont="1" applyFill="1" applyBorder="1"/>
    <xf numFmtId="0" fontId="31" fillId="18" borderId="6" xfId="0" applyFont="1" applyFill="1" applyBorder="1" applyAlignment="1"/>
    <xf numFmtId="0" fontId="27" fillId="6" borderId="0" xfId="55" applyFill="1" applyAlignment="1">
      <alignment horizontal="left" vertical="center"/>
    </xf>
    <xf numFmtId="1" fontId="38" fillId="6" borderId="69" xfId="0" applyNumberFormat="1" applyFont="1" applyFill="1" applyBorder="1" applyAlignment="1">
      <alignment horizontal="center"/>
    </xf>
    <xf numFmtId="181" fontId="38" fillId="6" borderId="0" xfId="3" applyNumberFormat="1" applyFont="1" applyFill="1" applyBorder="1" applyAlignment="1">
      <alignment horizontal="center"/>
    </xf>
    <xf numFmtId="191" fontId="27" fillId="6" borderId="0" xfId="1" applyNumberFormat="1" applyFont="1" applyFill="1" applyAlignment="1">
      <alignment horizontal="left" vertical="center"/>
    </xf>
    <xf numFmtId="198" fontId="27" fillId="6" borderId="0" xfId="55" applyNumberFormat="1" applyFill="1" applyAlignment="1">
      <alignment horizontal="left" vertical="center"/>
    </xf>
    <xf numFmtId="1" fontId="38" fillId="0" borderId="71" xfId="0" applyNumberFormat="1" applyFont="1" applyBorder="1" applyAlignment="1">
      <alignment horizontal="center"/>
    </xf>
    <xf numFmtId="1" fontId="36" fillId="0" borderId="0" xfId="0" applyNumberFormat="1" applyFont="1" applyAlignment="1">
      <alignment horizontal="center" vertical="center" wrapText="1"/>
    </xf>
    <xf numFmtId="181" fontId="36" fillId="0" borderId="0" xfId="3" applyNumberFormat="1" applyFont="1" applyBorder="1" applyAlignment="1">
      <alignment horizontal="center" vertical="center" wrapText="1"/>
    </xf>
    <xf numFmtId="1" fontId="38" fillId="0" borderId="0" xfId="0" applyNumberFormat="1" applyFont="1" applyAlignment="1">
      <alignment horizontal="center" vertical="center"/>
    </xf>
    <xf numFmtId="181" fontId="38" fillId="0" borderId="0" xfId="3" applyNumberFormat="1" applyFont="1" applyAlignment="1">
      <alignment horizontal="center" vertical="center"/>
    </xf>
    <xf numFmtId="49" fontId="27" fillId="6" borderId="0" xfId="55" applyNumberFormat="1" applyFill="1" applyAlignment="1">
      <alignment horizontal="left" vertical="center"/>
    </xf>
    <xf numFmtId="58" fontId="27" fillId="6" borderId="0" xfId="55" applyNumberFormat="1" applyFill="1" applyAlignment="1">
      <alignment horizontal="left" vertical="center"/>
    </xf>
    <xf numFmtId="200" fontId="27" fillId="6" borderId="0" xfId="55" applyNumberFormat="1" applyFill="1" applyAlignment="1">
      <alignment horizontal="left" vertical="center"/>
    </xf>
    <xf numFmtId="0" fontId="31" fillId="11" borderId="6" xfId="0" applyFont="1" applyFill="1" applyBorder="1">
      <alignment wrapText="1"/>
    </xf>
    <xf numFmtId="0" fontId="36" fillId="0" borderId="0" xfId="0" applyFont="1" applyAlignment="1">
      <alignment horizontal="center" vertical="center" wrapText="1"/>
    </xf>
    <xf numFmtId="0" fontId="6" fillId="0" borderId="0" xfId="55" applyFont="1" applyAlignment="1">
      <alignment horizontal="left" vertical="center"/>
    </xf>
    <xf numFmtId="0" fontId="27" fillId="0" borderId="0" xfId="0" applyFont="1" applyAlignment="1"/>
    <xf numFmtId="0" fontId="41" fillId="0" borderId="0" xfId="0" applyFont="1">
      <alignment wrapText="1"/>
    </xf>
    <xf numFmtId="58" fontId="27" fillId="0" borderId="0" xfId="0" applyNumberFormat="1" applyFont="1" applyAlignment="1"/>
    <xf numFmtId="0" fontId="6" fillId="0" borderId="0" xfId="0" applyFont="1">
      <alignment wrapText="1"/>
    </xf>
    <xf numFmtId="58" fontId="42" fillId="0" borderId="0" xfId="0" applyNumberFormat="1" applyFont="1" applyAlignment="1"/>
    <xf numFmtId="58" fontId="38" fillId="0" borderId="0" xfId="0" applyNumberFormat="1" applyFont="1" applyAlignment="1">
      <alignment horizontal="right"/>
    </xf>
    <xf numFmtId="49" fontId="27" fillId="0" borderId="0" xfId="0" applyNumberFormat="1" applyFont="1" applyAlignment="1"/>
    <xf numFmtId="58" fontId="38" fillId="0" borderId="0" xfId="0" applyNumberFormat="1" applyFont="1" applyAlignment="1"/>
    <xf numFmtId="58" fontId="42" fillId="0" borderId="0" xfId="0" applyNumberFormat="1" applyFont="1" applyAlignment="1">
      <alignment horizontal="left"/>
    </xf>
    <xf numFmtId="58" fontId="43" fillId="0" borderId="0" xfId="0" applyNumberFormat="1" applyFont="1" applyAlignment="1"/>
    <xf numFmtId="0" fontId="27" fillId="0" borderId="0" xfId="0" applyFont="1" applyAlignment="1">
      <alignment vertical="top"/>
    </xf>
    <xf numFmtId="0" fontId="36" fillId="0" borderId="0" xfId="0" applyFont="1">
      <alignment wrapText="1"/>
    </xf>
    <xf numFmtId="0" fontId="44" fillId="0" borderId="0" xfId="0" applyFont="1">
      <alignment wrapText="1"/>
    </xf>
    <xf numFmtId="58" fontId="36" fillId="0" borderId="0" xfId="0" applyNumberFormat="1" applyFont="1" applyAlignment="1">
      <alignment horizontal="left" vertical="center" wrapText="1"/>
    </xf>
    <xf numFmtId="0" fontId="37" fillId="0" borderId="0" xfId="6" applyFont="1" applyBorder="1" applyAlignment="1">
      <alignment wrapText="1"/>
    </xf>
    <xf numFmtId="0" fontId="45" fillId="0" borderId="0" xfId="0" applyFont="1">
      <alignment wrapText="1"/>
    </xf>
    <xf numFmtId="0" fontId="37" fillId="0" borderId="0" xfId="6" applyFont="1" applyBorder="1" applyAlignment="1">
      <alignment vertical="top" wrapText="1"/>
    </xf>
    <xf numFmtId="198" fontId="37" fillId="0" borderId="0" xfId="6" applyNumberFormat="1" applyFont="1" applyBorder="1" applyAlignment="1">
      <alignment wrapText="1"/>
    </xf>
    <xf numFmtId="58" fontId="46" fillId="0" borderId="0" xfId="0" applyNumberFormat="1" applyFont="1" applyAlignment="1">
      <alignment horizontal="left" vertical="center" wrapText="1"/>
    </xf>
    <xf numFmtId="0" fontId="47" fillId="0" borderId="0" xfId="59" applyFont="1"/>
    <xf numFmtId="0" fontId="48" fillId="0" borderId="72" xfId="59" applyFont="1" applyBorder="1" applyAlignment="1">
      <alignment vertical="center" wrapText="1"/>
    </xf>
    <xf numFmtId="0" fontId="48" fillId="0" borderId="73" xfId="59" applyFont="1" applyBorder="1" applyAlignment="1">
      <alignment vertical="center" wrapText="1"/>
    </xf>
    <xf numFmtId="0" fontId="48" fillId="0" borderId="57" xfId="59" applyFont="1" applyBorder="1" applyAlignment="1">
      <alignment vertical="center" wrapText="1"/>
    </xf>
    <xf numFmtId="0" fontId="49" fillId="0" borderId="74" xfId="59" applyFont="1" applyBorder="1" applyAlignment="1">
      <alignment vertical="center" wrapText="1"/>
    </xf>
    <xf numFmtId="0" fontId="50" fillId="0" borderId="39" xfId="59" applyFont="1" applyBorder="1" applyAlignment="1">
      <alignment vertical="center" wrapText="1"/>
    </xf>
    <xf numFmtId="0" fontId="37" fillId="0" borderId="3" xfId="54" applyBorder="1"/>
    <xf numFmtId="0" fontId="51" fillId="0" borderId="39" xfId="59" applyFont="1" applyBorder="1"/>
    <xf numFmtId="0" fontId="52" fillId="0" borderId="39" xfId="54" applyFont="1" applyBorder="1" applyAlignment="1">
      <alignment vertical="center" wrapText="1"/>
    </xf>
    <xf numFmtId="0" fontId="53" fillId="0" borderId="44" xfId="59" applyFont="1" applyBorder="1" applyAlignment="1">
      <alignment vertical="center" wrapText="1"/>
    </xf>
    <xf numFmtId="0" fontId="50" fillId="0" borderId="48" xfId="59" applyFont="1" applyBorder="1" applyAlignment="1">
      <alignment vertical="center" wrapText="1"/>
    </xf>
    <xf numFmtId="0" fontId="47" fillId="0" borderId="75" xfId="59" applyFont="1" applyBorder="1"/>
    <xf numFmtId="0" fontId="37" fillId="0" borderId="48" xfId="54" applyBorder="1"/>
    <xf numFmtId="0" fontId="47" fillId="0" borderId="48" xfId="59" applyFont="1" applyBorder="1"/>
    <xf numFmtId="0" fontId="52" fillId="0" borderId="48" xfId="54" applyFont="1" applyBorder="1" applyAlignment="1">
      <alignment vertical="center" wrapText="1"/>
    </xf>
    <xf numFmtId="0" fontId="50" fillId="0" borderId="3" xfId="59" applyFont="1" applyBorder="1" applyAlignment="1">
      <alignment vertical="center" wrapText="1"/>
    </xf>
    <xf numFmtId="0" fontId="37" fillId="0" borderId="1" xfId="54" applyBorder="1"/>
    <xf numFmtId="0" fontId="51" fillId="0" borderId="3" xfId="59" applyFont="1" applyBorder="1"/>
    <xf numFmtId="0" fontId="52" fillId="0" borderId="1" xfId="54" applyFont="1" applyBorder="1" applyAlignment="1">
      <alignment vertical="center" wrapText="1"/>
    </xf>
    <xf numFmtId="0" fontId="53" fillId="0" borderId="74" xfId="59" applyFont="1" applyBorder="1" applyAlignment="1">
      <alignment vertical="center" wrapText="1"/>
    </xf>
    <xf numFmtId="0" fontId="47" fillId="0" borderId="3" xfId="59" applyFont="1" applyBorder="1"/>
    <xf numFmtId="0" fontId="49" fillId="0" borderId="1" xfId="59" applyFont="1" applyBorder="1" applyAlignment="1">
      <alignment vertical="center" wrapText="1"/>
    </xf>
    <xf numFmtId="0" fontId="50" fillId="0" borderId="1" xfId="59" applyFont="1" applyBorder="1" applyAlignment="1">
      <alignment vertical="center" wrapText="1"/>
    </xf>
    <xf numFmtId="0" fontId="47" fillId="0" borderId="26" xfId="59" applyFont="1" applyBorder="1"/>
    <xf numFmtId="0" fontId="51" fillId="0" borderId="1" xfId="59" applyFont="1" applyBorder="1"/>
    <xf numFmtId="0" fontId="53" fillId="0" borderId="48" xfId="59" applyFont="1" applyBorder="1" applyAlignment="1">
      <alignment vertical="center" wrapText="1"/>
    </xf>
    <xf numFmtId="0" fontId="49" fillId="25" borderId="74" xfId="59" applyFont="1" applyFill="1" applyBorder="1" applyAlignment="1">
      <alignment vertical="center" wrapText="1"/>
    </xf>
    <xf numFmtId="0" fontId="50" fillId="25" borderId="3" xfId="59" applyFont="1" applyFill="1" applyBorder="1" applyAlignment="1">
      <alignment vertical="center" wrapText="1"/>
    </xf>
    <xf numFmtId="0" fontId="47" fillId="2" borderId="0" xfId="59" applyFont="1" applyFill="1"/>
    <xf numFmtId="0" fontId="47" fillId="2" borderId="3" xfId="59" applyFont="1" applyFill="1" applyBorder="1"/>
    <xf numFmtId="0" fontId="47" fillId="2" borderId="6" xfId="59" applyFont="1" applyFill="1" applyBorder="1"/>
    <xf numFmtId="0" fontId="47" fillId="25" borderId="3" xfId="59" applyFont="1" applyFill="1" applyBorder="1" applyAlignment="1">
      <alignment vertical="center" wrapText="1"/>
    </xf>
    <xf numFmtId="0" fontId="48" fillId="25" borderId="6" xfId="59" applyFont="1" applyFill="1" applyBorder="1" applyAlignment="1">
      <alignment vertical="center" wrapText="1"/>
    </xf>
    <xf numFmtId="0" fontId="47" fillId="2" borderId="8" xfId="59" applyFont="1" applyFill="1" applyBorder="1"/>
    <xf numFmtId="0" fontId="47" fillId="2" borderId="1" xfId="59" applyFont="1" applyFill="1" applyBorder="1"/>
    <xf numFmtId="0" fontId="47" fillId="0" borderId="3" xfId="59" applyFont="1" applyBorder="1" applyAlignment="1">
      <alignment vertical="center" wrapText="1"/>
    </xf>
    <xf numFmtId="0" fontId="54" fillId="0" borderId="76" xfId="59" applyFont="1" applyBorder="1"/>
    <xf numFmtId="0" fontId="51" fillId="0" borderId="77" xfId="59" applyFont="1" applyBorder="1"/>
    <xf numFmtId="0" fontId="47" fillId="0" borderId="78" xfId="59" applyFont="1" applyBorder="1"/>
    <xf numFmtId="0" fontId="47" fillId="0" borderId="1" xfId="59" applyFont="1" applyBorder="1" applyAlignment="1">
      <alignment vertical="center" wrapText="1"/>
    </xf>
    <xf numFmtId="0" fontId="54" fillId="0" borderId="79" xfId="59" applyFont="1" applyBorder="1" applyAlignment="1">
      <alignment vertical="top"/>
    </xf>
    <xf numFmtId="0" fontId="54" fillId="0" borderId="80" xfId="59" applyFont="1" applyBorder="1"/>
    <xf numFmtId="0" fontId="47" fillId="0" borderId="81" xfId="59" applyFont="1" applyBorder="1"/>
    <xf numFmtId="0" fontId="47" fillId="26" borderId="26" xfId="59" applyFont="1" applyFill="1" applyBorder="1"/>
    <xf numFmtId="0" fontId="47" fillId="0" borderId="1" xfId="59" applyFont="1" applyBorder="1"/>
    <xf numFmtId="0" fontId="47" fillId="0" borderId="48" xfId="59" applyFont="1" applyBorder="1" applyAlignment="1">
      <alignment vertical="center" wrapText="1"/>
    </xf>
    <xf numFmtId="0" fontId="47" fillId="26" borderId="0" xfId="59" applyFont="1" applyFill="1"/>
    <xf numFmtId="0" fontId="54" fillId="0" borderId="1" xfId="59" applyFont="1" applyBorder="1"/>
    <xf numFmtId="0" fontId="54" fillId="0" borderId="48" xfId="59" applyFont="1" applyBorder="1"/>
    <xf numFmtId="0" fontId="48" fillId="0" borderId="82" xfId="59" applyFont="1" applyBorder="1" applyAlignment="1">
      <alignment vertical="center" wrapText="1"/>
    </xf>
    <xf numFmtId="49" fontId="48" fillId="0" borderId="82" xfId="59" applyNumberFormat="1" applyFont="1" applyBorder="1" applyAlignment="1">
      <alignment vertical="center" wrapText="1"/>
    </xf>
    <xf numFmtId="0" fontId="47" fillId="0" borderId="39" xfId="59" applyFont="1" applyBorder="1"/>
    <xf numFmtId="0" fontId="47" fillId="0" borderId="0" xfId="59" applyFont="1" applyAlignment="1">
      <alignment horizontal="center" vertical="center"/>
    </xf>
    <xf numFmtId="49" fontId="47" fillId="0" borderId="39" xfId="59" applyNumberFormat="1" applyFont="1" applyBorder="1"/>
    <xf numFmtId="0" fontId="47" fillId="0" borderId="49" xfId="59" applyFont="1" applyBorder="1"/>
    <xf numFmtId="49" fontId="47" fillId="0" borderId="48" xfId="59" applyNumberFormat="1" applyFont="1" applyBorder="1"/>
    <xf numFmtId="49" fontId="47" fillId="0" borderId="3" xfId="59" applyNumberFormat="1" applyFont="1" applyBorder="1"/>
    <xf numFmtId="0" fontId="47" fillId="0" borderId="3" xfId="59" applyFont="1" applyBorder="1" applyAlignment="1">
      <alignment horizontal="center" vertical="center"/>
    </xf>
    <xf numFmtId="49" fontId="47" fillId="0" borderId="3" xfId="59" applyNumberFormat="1" applyFont="1" applyBorder="1" applyAlignment="1">
      <alignment horizontal="center" vertical="center"/>
    </xf>
    <xf numFmtId="0" fontId="12" fillId="0" borderId="0" xfId="0" applyFont="1" applyAlignment="1">
      <alignment vertical="center" wrapText="1"/>
    </xf>
    <xf numFmtId="0" fontId="12" fillId="0" borderId="0" xfId="0" applyFont="1" applyAlignment="1">
      <alignment vertical="center"/>
    </xf>
    <xf numFmtId="0" fontId="55" fillId="0" borderId="0" xfId="0" applyFont="1" applyAlignment="1"/>
    <xf numFmtId="0" fontId="56" fillId="0" borderId="0" xfId="0" applyFont="1" applyAlignment="1"/>
    <xf numFmtId="0" fontId="12" fillId="0" borderId="0" xfId="0" applyFont="1">
      <alignment wrapText="1"/>
    </xf>
    <xf numFmtId="0" fontId="56" fillId="6" borderId="0" xfId="0" applyFont="1" applyFill="1" applyAlignment="1"/>
    <xf numFmtId="0" fontId="6" fillId="6" borderId="0" xfId="0" applyFont="1" applyFill="1">
      <alignment wrapText="1"/>
    </xf>
    <xf numFmtId="0" fontId="12" fillId="0" borderId="0" xfId="0" applyFont="1" applyAlignment="1"/>
    <xf numFmtId="0" fontId="56" fillId="0" borderId="0" xfId="0" applyFont="1" applyAlignment="1">
      <alignment vertical="center"/>
    </xf>
    <xf numFmtId="0" fontId="57" fillId="6" borderId="0" xfId="0" applyFont="1" applyFill="1" applyAlignment="1">
      <alignment horizontal="left" vertical="top" wrapText="1"/>
    </xf>
    <xf numFmtId="0" fontId="58" fillId="0" borderId="0" xfId="0" applyFont="1" applyAlignment="1"/>
    <xf numFmtId="0" fontId="59" fillId="6" borderId="0" xfId="0" applyFont="1" applyFill="1" applyAlignment="1"/>
    <xf numFmtId="0" fontId="60" fillId="27" borderId="7" xfId="0" applyFont="1" applyFill="1" applyBorder="1" applyAlignment="1">
      <alignment horizontal="center" vertical="center" wrapText="1"/>
    </xf>
    <xf numFmtId="0" fontId="29" fillId="0" borderId="7" xfId="0" applyFont="1" applyBorder="1" applyAlignment="1">
      <alignment horizontal="center" vertical="center" wrapText="1"/>
    </xf>
    <xf numFmtId="0" fontId="61" fillId="3" borderId="7" xfId="0" applyFont="1" applyFill="1" applyBorder="1" applyAlignment="1">
      <alignment horizontal="center" vertical="center" wrapText="1"/>
    </xf>
    <xf numFmtId="0" fontId="61" fillId="7" borderId="7" xfId="0" applyFont="1" applyFill="1" applyBorder="1" applyAlignment="1">
      <alignment horizontal="center" vertical="center" wrapText="1"/>
    </xf>
    <xf numFmtId="0" fontId="61" fillId="11" borderId="7" xfId="0" applyFont="1" applyFill="1" applyBorder="1" applyAlignment="1">
      <alignment horizontal="center" vertical="center" wrapText="1"/>
    </xf>
    <xf numFmtId="0" fontId="29" fillId="0" borderId="4" xfId="0" applyFont="1" applyBorder="1" applyAlignment="1">
      <alignment horizontal="center" vertical="center" wrapText="1"/>
    </xf>
    <xf numFmtId="0" fontId="61" fillId="3" borderId="4" xfId="0" applyFont="1" applyFill="1" applyBorder="1" applyAlignment="1">
      <alignment horizontal="center" vertical="center" wrapText="1"/>
    </xf>
    <xf numFmtId="0" fontId="61" fillId="7" borderId="4" xfId="0" applyFont="1" applyFill="1" applyBorder="1" applyAlignment="1">
      <alignment horizontal="center" vertical="center" wrapText="1"/>
    </xf>
    <xf numFmtId="0" fontId="61" fillId="11" borderId="4" xfId="0" applyFont="1" applyFill="1" applyBorder="1" applyAlignment="1">
      <alignment horizontal="center" vertical="center" wrapText="1"/>
    </xf>
    <xf numFmtId="0" fontId="62" fillId="6" borderId="0" xfId="0" applyFont="1" applyFill="1" applyAlignment="1"/>
    <xf numFmtId="0" fontId="63" fillId="27" borderId="6" xfId="0" applyFont="1" applyFill="1" applyBorder="1" applyAlignment="1">
      <alignment horizontal="center" vertical="center" wrapText="1"/>
    </xf>
    <xf numFmtId="0" fontId="29"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4" fillId="0" borderId="6" xfId="0" applyFont="1" applyBorder="1" applyAlignment="1">
      <alignment horizontal="center" vertical="center" wrapText="1"/>
    </xf>
    <xf numFmtId="0" fontId="65" fillId="0" borderId="0" xfId="0" applyFont="1" applyAlignment="1">
      <alignment horizontal="center" vertical="center" wrapText="1"/>
    </xf>
    <xf numFmtId="0" fontId="65" fillId="0" borderId="0" xfId="0" applyFont="1" applyAlignment="1">
      <alignment horizontal="left" vertical="top" wrapText="1"/>
    </xf>
    <xf numFmtId="0" fontId="66" fillId="0" borderId="0" xfId="0" applyFont="1">
      <alignment wrapText="1"/>
    </xf>
    <xf numFmtId="0" fontId="63" fillId="27" borderId="7" xfId="0" applyFont="1" applyFill="1" applyBorder="1" applyAlignment="1">
      <alignment horizontal="center" vertical="center" wrapText="1"/>
    </xf>
    <xf numFmtId="0" fontId="60" fillId="27" borderId="1" xfId="0" applyFont="1" applyFill="1" applyBorder="1" applyAlignment="1">
      <alignment horizontal="center" vertical="center" wrapText="1"/>
    </xf>
    <xf numFmtId="0" fontId="61" fillId="26" borderId="7" xfId="0" applyFont="1" applyFill="1" applyBorder="1" applyAlignment="1">
      <alignment horizontal="center" vertical="center" wrapText="1"/>
    </xf>
    <xf numFmtId="0" fontId="61" fillId="0" borderId="1" xfId="0" applyFont="1" applyBorder="1" applyAlignment="1">
      <alignment horizontal="center" vertical="center" wrapText="1"/>
    </xf>
    <xf numFmtId="0" fontId="61" fillId="0" borderId="83" xfId="0" applyFont="1" applyBorder="1" applyAlignment="1">
      <alignment horizontal="center" vertical="center" wrapText="1"/>
    </xf>
    <xf numFmtId="0" fontId="0" fillId="3" borderId="6" xfId="0" applyFill="1" applyBorder="1" applyAlignment="1">
      <alignment horizontal="center" vertical="center" wrapText="1"/>
    </xf>
    <xf numFmtId="0" fontId="0" fillId="11" borderId="6" xfId="0" applyFill="1" applyBorder="1" applyAlignment="1">
      <alignment horizontal="center" vertical="center" wrapText="1"/>
    </xf>
    <xf numFmtId="0" fontId="0" fillId="26" borderId="6" xfId="0" applyFill="1" applyBorder="1" applyAlignment="1">
      <alignment horizontal="center" vertical="center" wrapText="1"/>
    </xf>
    <xf numFmtId="0" fontId="0" fillId="7" borderId="6" xfId="0" applyFill="1" applyBorder="1" applyAlignment="1">
      <alignment horizontal="center" vertical="center" wrapText="1"/>
    </xf>
    <xf numFmtId="0" fontId="61" fillId="26" borderId="4" xfId="0" applyFont="1" applyFill="1" applyBorder="1" applyAlignment="1">
      <alignment horizontal="center" vertical="center" wrapText="1"/>
    </xf>
    <xf numFmtId="0" fontId="61" fillId="0" borderId="84" xfId="0" applyFont="1" applyBorder="1" applyAlignment="1">
      <alignment horizontal="center" vertical="center" wrapText="1"/>
    </xf>
    <xf numFmtId="0" fontId="61" fillId="0" borderId="0" xfId="0" applyFont="1" applyAlignment="1">
      <alignment horizontal="center" vertical="center" wrapText="1"/>
    </xf>
    <xf numFmtId="0" fontId="6" fillId="14" borderId="6" xfId="0" applyFont="1" applyFill="1" applyBorder="1" applyAlignment="1">
      <alignment horizontal="center" vertical="center" wrapText="1"/>
    </xf>
    <xf numFmtId="0" fontId="65" fillId="0" borderId="0" xfId="0" applyFont="1">
      <alignment wrapText="1"/>
    </xf>
    <xf numFmtId="58" fontId="36" fillId="0" borderId="0" xfId="0" applyNumberFormat="1" applyFont="1" applyAlignment="1" quotePrefix="1">
      <alignment horizontal="left" vertical="center" wrapText="1"/>
    </xf>
    <xf numFmtId="0" fontId="26" fillId="0" borderId="0" xfId="0" applyFont="1" quotePrefix="1">
      <alignment wrapText="1"/>
    </xf>
    <xf numFmtId="0" fontId="20" fillId="6" borderId="0" xfId="55" applyFont="1" applyFill="1" quotePrefix="1"/>
    <xf numFmtId="2" fontId="28" fillId="0" borderId="0" xfId="55" applyNumberFormat="1" applyFont="1" applyAlignment="1" quotePrefix="1">
      <alignment horizontal="left" vertical="center" wrapText="1" indent="1"/>
    </xf>
    <xf numFmtId="0" fontId="26" fillId="0" borderId="6" xfId="0" applyFont="1" applyBorder="1" applyAlignment="1" quotePrefix="1">
      <alignment horizontal="center" wrapText="1"/>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Currency 3" xfId="51"/>
    <cellStyle name="Date" xfId="52"/>
    <cellStyle name="Description" xfId="53"/>
    <cellStyle name="Hyperlink 2" xfId="54"/>
    <cellStyle name="Normal 2" xfId="55"/>
    <cellStyle name="Normal 2 2" xfId="56"/>
    <cellStyle name="Normal 2 3" xfId="57"/>
    <cellStyle name="Normal 3" xfId="58"/>
    <cellStyle name="Normal 4" xfId="59"/>
    <cellStyle name="Normal 5" xfId="60"/>
    <cellStyle name="Per cent 2" xfId="61"/>
    <cellStyle name="Phone" xfId="62"/>
    <cellStyle name="Right Aligned" xfId="63"/>
    <cellStyle name="Top Aligned" xfId="64"/>
  </cellStyles>
  <dxfs count="191">
    <dxf>
      <font>
        <name val="Avenir Book"/>
        <scheme val="none"/>
        <family val="2"/>
        <b val="0"/>
        <i val="0"/>
        <strike val="0"/>
        <u val="none"/>
        <sz val="12"/>
        <color theme="1"/>
      </font>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0"/>
        <color theme="1"/>
      </font>
      <alignment vertical="center" wrapText="1"/>
      <border>
        <left style="thin">
          <color auto="1"/>
        </left>
        <right style="thin">
          <color auto="1"/>
        </right>
        <top/>
        <bottom/>
      </border>
    </dxf>
    <dxf>
      <font>
        <name val="Avenir Book"/>
        <scheme val="none"/>
        <family val="2"/>
        <b val="0"/>
        <i val="0"/>
        <strike val="0"/>
        <u val="none"/>
        <sz val="12"/>
        <color theme="1"/>
      </font>
    </dxf>
    <dxf>
      <font>
        <name val="Avenir Book"/>
        <scheme val="none"/>
        <family val="2"/>
        <b val="0"/>
        <i val="0"/>
        <strike val="0"/>
        <u val="none"/>
        <sz val="12"/>
        <color theme="1"/>
      </font>
      <border>
        <left style="thin">
          <color auto="1"/>
        </left>
        <right style="thin">
          <color auto="1"/>
        </right>
        <top/>
        <bottom style="thin">
          <color auto="1"/>
        </bottom>
      </border>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Avenir Book"/>
        <scheme val="none"/>
        <family val="2"/>
        <b val="0"/>
        <i val="0"/>
        <strike val="0"/>
        <u val="none"/>
        <sz val="12"/>
        <color theme="1"/>
      </font>
    </dxf>
    <dxf>
      <font>
        <name val="Calibri"/>
        <scheme val="none"/>
        <family val="2"/>
        <strike val="0"/>
        <u val="none"/>
        <sz val="12"/>
        <color theme="1"/>
      </font>
      <alignment horizontal="left" vertical="center" wrapText="1"/>
    </dxf>
    <dxf>
      <font>
        <strike val="0"/>
        <u val="none"/>
        <sz val="12"/>
        <color theme="1"/>
      </font>
      <alignment horizontal="left" vertical="center"/>
    </dxf>
    <dxf>
      <font>
        <name val="Arial"/>
        <scheme val="none"/>
        <family val="2"/>
        <b val="0"/>
        <i val="0"/>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alignment horizontal="left" vertical="center" wrapText="1"/>
    </dxf>
    <dxf>
      <font>
        <name val="Calibri"/>
        <scheme val="none"/>
        <family val="2"/>
        <strike val="0"/>
        <u val="none"/>
        <sz val="12"/>
        <color theme="1"/>
      </font>
      <alignment horizontal="left" vertical="center" wrapText="1"/>
    </dxf>
    <dxf>
      <font>
        <strike val="0"/>
        <u val="none"/>
        <sz val="12"/>
        <color theme="1"/>
      </font>
      <alignment horizontal="left" vertical="center"/>
    </dxf>
    <dxf>
      <font>
        <strike val="0"/>
        <u val="none"/>
        <sz val="12"/>
        <color theme="1"/>
      </font>
      <alignment horizontal="left" vertical="center"/>
    </dxf>
    <dxf>
      <font>
        <strike val="0"/>
        <u val="none"/>
        <sz val="12"/>
        <color theme="1"/>
      </font>
      <alignment horizontal="left" vertical="center"/>
    </dxf>
    <dxf>
      <font>
        <name val="Calibri"/>
        <scheme val="none"/>
        <family val="2"/>
        <strike val="0"/>
        <u val="none"/>
        <sz val="12"/>
        <color theme="1"/>
      </font>
      <numFmt numFmtId="1" formatCode="0"/>
      <alignment horizontal="center" vertical="center" wrapText="1"/>
    </dxf>
    <dxf>
      <font>
        <name val="Calibri"/>
        <scheme val="none"/>
        <family val="2"/>
        <b val="0"/>
        <i val="0"/>
        <strike val="0"/>
        <u val="none"/>
        <sz val="12"/>
        <color theme="1"/>
      </font>
      <numFmt numFmtId="181" formatCode="0.0%"/>
      <alignment horizontal="center" vertical="center" wrapText="1"/>
    </dxf>
    <dxf>
      <font>
        <strike val="0"/>
        <u val="none"/>
        <sz val="12"/>
        <color theme="1"/>
      </font>
      <numFmt numFmtId="191" formatCode="_(* #,##0.0_);_(* \(#,##0.0\);_(* &quot;-&quot;??_);_(@_)"/>
      <alignment horizontal="left" vertical="center"/>
    </dxf>
    <dxf>
      <font>
        <strike val="0"/>
        <u val="none"/>
        <sz val="12"/>
        <color theme="1"/>
      </font>
      <alignment horizontal="left" vertical="center"/>
    </dxf>
    <dxf>
      <font>
        <b val="1"/>
        <strike val="0"/>
        <u val="none"/>
        <sz val="12"/>
        <color theme="1"/>
      </font>
      <numFmt numFmtId="198" formatCode="0.0"/>
      <alignment horizontal="center"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strike val="0"/>
        <u val="none"/>
        <sz val="12"/>
        <color theme="1"/>
      </font>
      <numFmt numFmtId="198" formatCode="0.0"/>
      <alignment horizontal="left" vertical="center"/>
    </dxf>
    <dxf>
      <font>
        <name val="Calibri"/>
        <scheme val="none"/>
        <family val="2"/>
        <strike val="0"/>
        <u val="none"/>
        <sz val="12"/>
        <color theme="1"/>
      </font>
      <numFmt numFmtId="198" formatCode="0.0"/>
      <alignment horizontal="left" vertical="center"/>
    </dxf>
    <dxf>
      <font>
        <strike val="0"/>
        <u val="none"/>
        <sz val="12"/>
        <color theme="1"/>
      </font>
      <numFmt numFmtId="49" formatCode="@"/>
      <alignment horizontal="left" vertical="center"/>
    </dxf>
    <dxf>
      <font>
        <strike val="0"/>
        <u val="single"/>
        <sz val="12"/>
        <color theme="10"/>
      </font>
      <numFmt numFmtId="198" formatCode="0.0"/>
      <alignment wrapText="1"/>
    </dxf>
    <dxf>
      <font>
        <strike val="0"/>
        <u val="none"/>
        <sz val="12"/>
        <color theme="1"/>
      </font>
      <numFmt numFmtId="198" formatCode="0.0"/>
      <alignment horizontal="left" vertical="center"/>
    </dxf>
    <dxf>
      <font>
        <name val="Calibri"/>
        <scheme val="none"/>
        <family val="2"/>
        <strike val="0"/>
        <u val="none"/>
        <sz val="12"/>
        <color theme="1"/>
      </font>
      <numFmt numFmtId="199" formatCode="d/mm/yyyy"/>
      <alignment horizontal="left" vertical="center" wrapText="1"/>
    </dxf>
    <dxf>
      <font>
        <strike val="0"/>
        <u val="none"/>
        <sz val="12"/>
        <color theme="1"/>
      </font>
      <numFmt numFmtId="200" formatCode="mm/dd/yy;@"/>
      <alignment horizontal="left" vertical="center"/>
    </dxf>
    <dxf>
      <font>
        <strike val="0"/>
        <u val="none"/>
        <sz val="12"/>
      </font>
      <alignment horizontal="left" vertical="center"/>
    </dxf>
    <dxf>
      <font>
        <color theme="0"/>
      </font>
      <fill>
        <patternFill patternType="solid"/>
      </fill>
    </dxf>
    <dxf>
      <font>
        <color rgb="FF9C0006"/>
      </font>
      <fill>
        <patternFill patternType="solid">
          <bgColor rgb="FFFFC7CE"/>
        </patternFill>
      </fill>
    </dxf>
    <dxf>
      <font>
        <name val="Calibri"/>
        <scheme val="none"/>
        <family val="2"/>
        <b val="0"/>
        <i val="0"/>
        <strike val="0"/>
        <u val="none"/>
        <sz val="14"/>
        <color theme="1"/>
      </font>
      <numFmt numFmtId="197" formatCode="_(* #,##0_);_(* \(#,##0\);_(* &quot;-&quot;_);_(@_)"/>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numFmt numFmtId="1" formatCode="0"/>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20651875362"/>
        </patternFill>
      </fill>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strike val="0"/>
        <u val="none"/>
        <sz val="14"/>
      </font>
      <numFmt numFmtId="197" formatCode="_(* #,##0_);_(* \(#,##0\);_(* &quot;-&quot;_);_(@_)"/>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7" formatCode="_(* #,##0_);_(* \(#,##0\);_(* &quot;-&quot;_);_(@_)"/>
      <fill>
        <patternFill patternType="solid">
          <bgColor theme="7" tint="0.799920651875362"/>
        </patternFill>
      </fill>
      <alignment horizontal="center" vertical="center" wrapText="1"/>
      <border>
        <left style="thin">
          <color auto="1"/>
        </left>
        <right style="thin">
          <color auto="1"/>
        </right>
        <top style="thin">
          <color auto="1"/>
        </top>
        <bottom style="thin">
          <color auto="1"/>
        </bottom>
      </border>
    </dxf>
    <dxf>
      <font>
        <strike val="0"/>
        <u val="none"/>
        <sz val="14"/>
        <color theme="1"/>
      </font>
      <numFmt numFmtId="197" formatCode="_(* #,##0_);_(* \(#,##0\);_(* &quot;-&quot;_);_(@_)"/>
      <fill>
        <patternFill patternType="solid">
          <bgColor theme="0" tint="-0.349986266670736"/>
        </patternFill>
      </fill>
      <alignment horizontal="center" vertical="center" wrapText="1"/>
      <border>
        <left style="thin">
          <color auto="1"/>
        </left>
        <right style="thin">
          <color auto="1"/>
        </right>
        <top style="thin">
          <color auto="1"/>
        </top>
        <bottom style="thin">
          <color auto="1"/>
        </bottom>
      </border>
    </dxf>
    <dxf>
      <numFmt numFmtId="197" formatCode="_(* #,##0_);_(* \(#,##0\);_(* &quot;-&quot;_);_(@_)"/>
    </dxf>
    <dxf>
      <font>
        <name val="Calibri"/>
        <scheme val="none"/>
        <family val="2"/>
        <b val="0"/>
        <i val="0"/>
        <strike val="0"/>
        <u val="none"/>
        <sz val="14"/>
        <color theme="1"/>
      </font>
      <alignment horizontal="left" vertical="center" wrapText="1"/>
      <border>
        <left/>
        <right style="thin">
          <color auto="1"/>
        </right>
        <top style="thin">
          <color auto="1"/>
        </top>
        <bottom style="thin">
          <color auto="1"/>
        </bottom>
      </border>
    </dxf>
    <dxf>
      <font>
        <name val="Arial"/>
        <scheme val="none"/>
        <family val="2"/>
        <b val="0"/>
        <i val="0"/>
        <strike val="0"/>
        <u val="none"/>
        <sz val="14"/>
        <color theme="1"/>
      </font>
      <alignment horizontal="left" vertical="center"/>
      <border>
        <left style="thin">
          <color auto="1"/>
        </left>
        <right style="thin">
          <color auto="1"/>
        </right>
        <top style="thin">
          <color auto="1"/>
        </top>
        <bottom style="thin">
          <color auto="1"/>
        </bottom>
      </border>
    </dxf>
    <dxf>
      <font>
        <name val="Arial"/>
        <scheme val="none"/>
        <family val="2"/>
        <b val="0"/>
        <i val="0"/>
        <strike val="0"/>
        <u val="none"/>
        <sz val="14"/>
        <color rgb="FF222421"/>
      </font>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fill>
        <patternFill patternType="solid">
          <bgColor theme="6" tint="0.799920651875362"/>
        </patternFill>
      </fill>
      <border>
        <left style="thin">
          <color auto="1"/>
        </left>
        <right style="thin">
          <color auto="1"/>
        </right>
        <top style="thin">
          <color auto="1"/>
        </top>
        <bottom style="thin">
          <color auto="1"/>
        </bottom>
      </border>
    </dxf>
    <dxf>
      <font>
        <name val="Arial"/>
        <scheme val="none"/>
        <family val="2"/>
        <b val="0"/>
        <i val="0"/>
        <strike val="0"/>
        <u val="none"/>
        <sz val="14"/>
        <color auto="1"/>
      </font>
      <fill>
        <patternFill patternType="solid">
          <bgColor theme="8" tint="0.799920651875362"/>
        </patternFill>
      </fill>
      <alignment horizontal="center"/>
    </dxf>
    <dxf>
      <font>
        <name val="Arial"/>
        <scheme val="none"/>
        <family val="2"/>
        <b val="0"/>
        <i val="0"/>
        <strike val="0"/>
        <u val="none"/>
        <sz val="14"/>
        <color theme="1"/>
      </font>
      <fill>
        <patternFill patternType="solid">
          <bgColor rgb="FFFF0000"/>
        </patternFill>
      </fill>
      <border>
        <left style="thin">
          <color auto="1"/>
        </left>
        <right style="dashed">
          <color auto="1"/>
        </right>
        <top style="dashed">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0"/>
        <i val="0"/>
        <strike val="0"/>
        <u val="none"/>
        <sz val="14"/>
        <color theme="1"/>
      </font>
      <numFmt numFmtId="0" formatCode="General"/>
      <fill>
        <patternFill patternType="solid">
          <bgColor rgb="FFFFFF00"/>
        </patternFill>
      </fill>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medium">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3"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alignment horizontal="center" vertic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3" tint="0.799920651875362"/>
        </patternFill>
      </fill>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20651875362"/>
        </patternFill>
      </fill>
      <alignment horizontal="center" wrapText="1"/>
      <border>
        <left style="medium">
          <color auto="1"/>
        </left>
        <right style="thin">
          <color auto="1"/>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799920651875362"/>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799920651875362"/>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92" formatCode="#,##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0"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6" formatCode="_(* #,##0.00_);_(* \(#,##0.00\);_(*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20651875362"/>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2" formatCode="0.00"/>
      <fill>
        <patternFill patternType="solid">
          <bgColor theme="7" tint="0.799920651875362"/>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1"/>
        <i val="0"/>
        <strike val="0"/>
        <u val="none"/>
        <sz val="14"/>
        <color theme="1"/>
      </font>
      <numFmt numFmtId="186" formatCode="&quot;$&quot;#,##0.00"/>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auto="1"/>
      </font>
      <numFmt numFmtId="4" formatCode="#,##0.00"/>
      <fill>
        <patternFill patternType="solid">
          <bgColor theme="7" tint="0.599993896298105"/>
        </patternFill>
      </fill>
      <alignment horizontal="center" wrapText="1"/>
      <border>
        <left style="thin">
          <color auto="1"/>
        </left>
        <right/>
        <top style="thin">
          <color auto="1"/>
        </top>
        <bottom style="thin">
          <color auto="1"/>
        </bottom>
      </border>
    </dxf>
    <dxf>
      <font>
        <name val="Arial"/>
        <scheme val="none"/>
        <family val="2"/>
        <b val="0"/>
        <i val="0"/>
        <strike val="0"/>
        <u val="none"/>
        <sz val="14"/>
        <color theme="1"/>
      </font>
      <numFmt numFmtId="186" formatCode="&quot;$&quot;#,##0.00"/>
      <fill>
        <patternFill patternType="solid">
          <bgColor theme="7" tint="0.599993896298105"/>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medium">
          <color auto="1"/>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style="medium">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medium">
          <color auto="1"/>
        </left>
        <right style="medium">
          <color auto="1"/>
        </right>
        <top style="thin">
          <color auto="1"/>
        </top>
        <bottom style="thin">
          <color auto="1"/>
        </bottom>
      </border>
    </dxf>
    <dxf>
      <font>
        <name val="Arial"/>
        <scheme val="none"/>
        <family val="2"/>
        <b val="0"/>
        <i val="0"/>
        <strike val="0"/>
        <u val="none"/>
        <sz val="14"/>
        <color theme="1"/>
      </font>
      <numFmt numFmtId="181" formatCode="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4" formatCode="#,##0.00"/>
      <fill>
        <patternFill patternType="solid">
          <bgColor theme="6" tint="0.799920651875362"/>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style="thin">
          <color auto="1"/>
        </left>
        <right/>
        <top/>
        <bottom style="medium">
          <color auto="1"/>
        </bottom>
      </border>
    </dxf>
    <dxf>
      <font>
        <name val="Arial"/>
        <scheme val="none"/>
        <family val="2"/>
        <b val="0"/>
        <i val="0"/>
        <strike val="0"/>
        <u val="none"/>
        <sz val="14"/>
        <color theme="1"/>
      </font>
      <numFmt numFmtId="4" formatCode="#,##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7" formatCode="_(&quot;$&quot;* #,##0.00_);_(&quot;$&quot;* \(#,##0.00\);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195" formatCode="#,##0.00000"/>
      <fill>
        <patternFill patternType="solid">
          <bgColor theme="6" tint="0.599993896298105"/>
        </patternFill>
      </fill>
      <alignment horizontal="center" wrapText="1"/>
      <border>
        <left/>
        <right/>
        <top/>
        <bottom style="thin">
          <color auto="1"/>
        </bottom>
      </border>
    </dxf>
    <dxf>
      <font>
        <name val="Arial"/>
        <scheme val="none"/>
        <family val="2"/>
        <b val="0"/>
        <i val="0"/>
        <strike val="0"/>
        <u val="none"/>
        <sz val="14"/>
        <color theme="1"/>
      </font>
      <numFmt numFmtId="178" formatCode="_-&quot;$&quot;* #,##0.00_-;\-&quot;$&quot;* #,##0.00_-;_-&quot;$&quot;* &quot;-&quot;??_-;_-@_-"/>
      <fill>
        <patternFill patternType="solid">
          <bgColor theme="6" tint="0.599993896298105"/>
        </patternFill>
      </fill>
      <alignment horizontal="center" wrapText="1"/>
      <border>
        <left style="thin">
          <color auto="1"/>
        </left>
        <right/>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6" tint="0.599993896298105"/>
        </patternFill>
      </fill>
      <alignment horizontal="center" wrapText="1"/>
      <border>
        <left/>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medium">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style="thin">
          <color auto="1"/>
        </right>
        <top style="thin">
          <color auto="1"/>
        </top>
        <bottom style="thin">
          <color auto="1"/>
        </bottom>
      </border>
    </dxf>
    <dxf>
      <font>
        <name val="Arial"/>
        <scheme val="none"/>
        <family val="2"/>
        <b val="0"/>
        <i val="0"/>
        <strike val="0"/>
        <u val="none"/>
        <sz val="14"/>
        <color theme="1"/>
      </font>
      <numFmt numFmtId="3" formatCode="#,##0"/>
      <fill>
        <patternFill patternType="solid">
          <bgColor theme="2" tint="-0.0999786370433668"/>
        </patternFill>
      </fill>
      <alignment horizontal="center" wrapText="1"/>
      <border>
        <left style="thin">
          <color auto="1"/>
        </left>
        <right/>
        <top style="thin">
          <color auto="1"/>
        </top>
        <bottom style="thin">
          <color auto="1"/>
        </bottom>
      </border>
    </dxf>
    <dxf>
      <font>
        <name val="Arial"/>
        <scheme val="none"/>
        <family val="2"/>
        <b val="1"/>
        <i val="0"/>
        <strike val="0"/>
        <u val="none"/>
        <sz val="14"/>
        <color theme="1"/>
      </font>
      <fill>
        <patternFill patternType="solid">
          <bgColor theme="9" tint="0.799920651875362"/>
        </patternFill>
      </fill>
      <border>
        <left style="medium">
          <color auto="1"/>
        </left>
        <right style="medium">
          <color auto="1"/>
        </right>
        <top style="thin">
          <color auto="1"/>
        </top>
        <bottom style="thin">
          <color auto="1"/>
        </bottom>
      </border>
    </dxf>
    <dxf>
      <font>
        <name val="Arial"/>
        <scheme val="none"/>
        <family val="2"/>
        <b val="0"/>
        <i val="0"/>
        <strike val="0"/>
        <u val="none"/>
        <sz val="14"/>
        <color auto="1"/>
      </font>
      <numFmt numFmtId="196" formatCode="d/mm/yy;@"/>
      <fill>
        <patternFill patternType="none"/>
      </fill>
      <alignment horizontal="left" indent="1"/>
    </dxf>
    <dxf>
      <font>
        <name val="Arial"/>
        <scheme val="none"/>
        <family val="2"/>
        <b val="0"/>
        <i val="0"/>
        <strike val="0"/>
        <u val="none"/>
        <sz val="14"/>
        <color auto="1"/>
      </font>
      <numFmt numFmtId="196" formatCode="d/mm/yy;@"/>
      <fill>
        <patternFill patternType="none"/>
      </fill>
      <alignment horizontal="left" indent="1"/>
      <border>
        <left/>
        <right style="medium">
          <color rgb="FF000000"/>
        </right>
        <top style="dashed">
          <color auto="1"/>
        </top>
        <bottom/>
      </border>
    </dxf>
    <dxf>
      <font>
        <color rgb="FF9C5700"/>
      </font>
      <fill>
        <patternFill patternType="solid">
          <bgColor rgb="FFFFEB9C"/>
        </patternFill>
      </fill>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color rgb="FF9C0006"/>
      </font>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name val="Arial"/>
        <scheme val="none"/>
        <family val="2"/>
        <b val="0"/>
        <i val="0"/>
        <strike val="0"/>
        <u val="none"/>
        <sz val="11"/>
        <color auto="1"/>
      </font>
    </dxf>
    <dxf>
      <numFmt numFmtId="183" formatCode="_(&quot;$&quot;* #,##0.00000_);_(&quot;$&quot;* \(#,##0.00000\);_(&quot;$&quot;* &quot;-&quot;??_);_(@_)"/>
      <border>
        <left style="thin">
          <color auto="1"/>
        </left>
        <right/>
        <top/>
        <bottom/>
      </border>
    </dxf>
    <dxf>
      <numFmt numFmtId="2" formatCode="0.00"/>
    </dxf>
    <dxf>
      <font>
        <b val="0"/>
        <i val="0"/>
      </font>
      <fill>
        <patternFill patternType="solid">
          <bgColor theme="0" tint="-0.0499893185216834"/>
        </patternFill>
      </fill>
      <border>
        <left style="thin">
          <color auto="1"/>
        </left>
        <right style="thin">
          <color auto="1"/>
        </right>
        <top style="thin">
          <color auto="1"/>
        </top>
        <bottom style="thin">
          <color auto="1"/>
        </bottom>
      </border>
    </dxf>
    <dxf>
      <border>
        <left style="thin">
          <color auto="1"/>
        </left>
      </border>
    </dxf>
    <dxf>
      <border>
        <left style="thin">
          <color auto="1"/>
        </left>
      </border>
    </dxf>
    <dxf>
      <border>
        <left style="thin">
          <color auto="1"/>
        </left>
      </border>
    </dxf>
    <dxf>
      <font>
        <b val="1"/>
        <i val="0"/>
      </font>
      <border>
        <left/>
        <right/>
        <top style="thin">
          <color auto="1"/>
        </top>
        <bottom/>
        <vertical/>
        <horizontal/>
      </border>
    </dxf>
    <dxf>
      <font>
        <b val="1"/>
        <i val="0"/>
      </font>
      <fill>
        <patternFill patternType="solid">
          <bgColor theme="0" tint="-0.0499893185216834"/>
        </patternFill>
      </fill>
      <border>
        <left style="thin">
          <color auto="1"/>
        </left>
        <right style="thin">
          <color auto="1"/>
        </right>
        <top style="thin">
          <color auto="1"/>
        </top>
        <bottom style="thin">
          <color auto="1"/>
        </bottom>
        <vertical/>
      </border>
    </dxf>
    <dxf>
      <border>
        <left style="thin">
          <color auto="1"/>
        </left>
        <right style="thin">
          <color auto="1"/>
        </right>
        <top style="thin">
          <color auto="1"/>
        </top>
        <bottom style="thin">
          <color auto="1"/>
        </bottom>
        <horizontal style="thin">
          <color auto="1"/>
        </horizontal>
      </border>
    </dxf>
  </dxfs>
  <tableStyles count="1" defaultTableStyle="Invoice that calculates total" defaultPivotStyle="PivotStyleLight16">
    <tableStyle name="Invoice that calculates total" pivot="0" count="7" xr9:uid="{BDAE3A01-728B-4680-90D5-081DDF9DAA4C}">
      <tableStyleElement type="wholeTable" dxfId="190"/>
      <tableStyleElement type="headerRow" dxfId="189"/>
      <tableStyleElement type="totalRow" dxfId="188"/>
      <tableStyleElement type="lastColumn" dxfId="187"/>
      <tableStyleElement type="secondColumnStripe" dxfId="186"/>
      <tableStyleElement type="lastHeaderCell" dxfId="185"/>
      <tableStyleElement type="lastTotalCell" dxfId="18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8EAADB"/>
      <color rgb="00A8D08D"/>
      <color rgb="00F39F33"/>
      <color rgb="00FCD965"/>
      <color rgb="00ED7165"/>
      <color rgb="00255F7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eetMetadata" Target="metadata.xml"/><Relationship Id="rId31" Type="http://schemas.openxmlformats.org/officeDocument/2006/relationships/sharedStrings" Target="sharedStrings.xml"/><Relationship Id="rId30" Type="http://schemas.openxmlformats.org/officeDocument/2006/relationships/theme" Target="theme/theme1.xml"/><Relationship Id="rId3" Type="http://schemas.openxmlformats.org/officeDocument/2006/relationships/worksheet" Target="worksheets/sheet3.xml"/><Relationship Id="rId29" Type="http://schemas.openxmlformats.org/officeDocument/2006/relationships/customXml" Target="../customXml/item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file:///C:\Users\Shane\AppData\Local\Temp\msohtmlclip1\01\clip_image001.png" TargetMode="External"/><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image" Target="file:///C:\Users\Shane\AppData\Local\Temp\msohtmlclip1\01\clip_image001.png" TargetMode="External"/><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twoCellAnchor editAs="oneCell">
    <xdr:from>
      <xdr:col>0</xdr:col>
      <xdr:colOff>0</xdr:colOff>
      <xdr:row>0</xdr:row>
      <xdr:rowOff>0</xdr:rowOff>
    </xdr:from>
    <xdr:to>
      <xdr:col>0</xdr:col>
      <xdr:colOff>3333750</xdr:colOff>
      <xdr:row>0</xdr:row>
      <xdr:rowOff>620395</xdr:rowOff>
    </xdr:to>
    <xdr:pic>
      <xdr:nvPicPr>
        <xdr:cNvPr id="3" name="Picture 2"/>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twoCellAnchor editAs="oneCell">
    <xdr:from>
      <xdr:col>0</xdr:col>
      <xdr:colOff>0</xdr:colOff>
      <xdr:row>0</xdr:row>
      <xdr:rowOff>0</xdr:rowOff>
    </xdr:from>
    <xdr:to>
      <xdr:col>0</xdr:col>
      <xdr:colOff>3337560</xdr:colOff>
      <xdr:row>0</xdr:row>
      <xdr:rowOff>624840</xdr:rowOff>
    </xdr:to>
    <xdr:pic>
      <xdr:nvPicPr>
        <xdr:cNvPr id="43009" name="Picture 1"/>
        <xdr:cNvPicPr>
          <a:picLocks noChangeAspect="1"/>
        </xdr:cNvPicPr>
      </xdr:nvPicPr>
      <xdr:blipFill>
        <a:blip r:embed="rId2" r:link="rId3"/>
        <a:stretch>
          <a:fillRect/>
        </a:stretch>
      </xdr:blipFill>
      <xdr:spPr>
        <a:xfrm>
          <a:off x="0" y="0"/>
          <a:ext cx="3337560" cy="624840"/>
        </a:xfrm>
        <a:prstGeom prst="rect">
          <a:avLst/>
        </a:prstGeom>
        <a:noFill/>
        <a:ln w="9525">
          <a:noFill/>
        </a:ln>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twoCellAnchor editAs="oneCell">
    <xdr:from>
      <xdr:col>0</xdr:col>
      <xdr:colOff>0</xdr:colOff>
      <xdr:row>0</xdr:row>
      <xdr:rowOff>0</xdr:rowOff>
    </xdr:from>
    <xdr:to>
      <xdr:col>0</xdr:col>
      <xdr:colOff>3337560</xdr:colOff>
      <xdr:row>0</xdr:row>
      <xdr:rowOff>624840</xdr:rowOff>
    </xdr:to>
    <xdr:pic>
      <xdr:nvPicPr>
        <xdr:cNvPr id="44033" name="Picture 1"/>
        <xdr:cNvPicPr>
          <a:picLocks noChangeAspect="1"/>
        </xdr:cNvPicPr>
      </xdr:nvPicPr>
      <xdr:blipFill>
        <a:blip r:embed="rId2" r:link="rId3"/>
        <a:stretch>
          <a:fillRect/>
        </a:stretch>
      </xdr:blipFill>
      <xdr:spPr>
        <a:xfrm>
          <a:off x="0" y="0"/>
          <a:ext cx="3337560" cy="624840"/>
        </a:xfrm>
        <a:prstGeom prst="rect">
          <a:avLst/>
        </a:prstGeom>
        <a:noFill/>
        <a:ln w="9525">
          <a:noFill/>
        </a:ln>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3333750</xdr:colOff>
      <xdr:row>0</xdr:row>
      <xdr:rowOff>620395</xdr:rowOff>
    </xdr:to>
    <xdr:pic>
      <xdr:nvPicPr>
        <xdr:cNvPr id="2" name="Picture 1"/>
        <xdr:cNvPicPr>
          <a:picLocks noChangeAspect="1"/>
        </xdr:cNvPicPr>
      </xdr:nvPicPr>
      <xdr:blipFill>
        <a:blip r:embed="rId1"/>
        <a:stretch>
          <a:fillRect/>
        </a:stretch>
      </xdr:blipFill>
      <xdr:spPr>
        <a:xfrm>
          <a:off x="0" y="0"/>
          <a:ext cx="3333750" cy="620395"/>
        </a:xfrm>
        <a:prstGeom prst="rect">
          <a:avLst/>
        </a:prstGeom>
      </xdr:spPr>
    </xdr:pic>
    <xdr:clientData/>
  </xdr:twoCellAnchor>
</xdr:wsDr>
</file>

<file path=xl/tables/table1.xml><?xml version="1.0" encoding="utf-8"?>
<table xmlns="http://schemas.openxmlformats.org/spreadsheetml/2006/main" id="4" name="Rep_table" displayName="Rep_table" ref="A1:O24" totalsRowShown="0">
  <autoFilter xmlns:etc="http://www.wps.cn/officeDocument/2017/etCustomData" ref="A1:O24" etc:filterBottomFollowUsedRange="0"/>
  <tableColumns count="15">
    <tableColumn id="1" name="Cluster " dataDxfId="0"/>
    <tableColumn id="2" name="Strata company name"/>
    <tableColumn id="3" name="ABN" dataDxfId="1"/>
    <tableColumn id="4" name="Parcel Address" dataDxfId="2"/>
    <tableColumn id="5" name="Energy Representative"/>
    <tableColumn id="6" name="Energy Representative email"/>
    <tableColumn id="7" name="Strata Council Chair"/>
    <tableColumn id="8" name="Strata Council Email"/>
    <tableColumn id="9" name="Energy supply charge incl in strata fees"/>
    <tableColumn id="10" name="Cluster battery" dataDxfId="3"/>
    <tableColumn id="11" name="Invividual lot battery" dataDxfId="4"/>
    <tableColumn id="12" name="number of lots" dataDxfId="5"/>
    <tableColumn id="13" name="Account Name" dataDxfId="6"/>
    <tableColumn id="14" name="BSB" dataDxfId="7"/>
    <tableColumn id="15" name="Account #" dataDxfId="8"/>
  </tableColumns>
  <tableStyleInfo name="Invoice that calculates total" showFirstColumn="0" showLastColumn="0" showRowStripes="1" showColumnStripes="0"/>
</table>
</file>

<file path=xl/tables/table2.xml><?xml version="1.0" encoding="utf-8"?>
<table xmlns="http://schemas.openxmlformats.org/spreadsheetml/2006/main" id="26" name="Table_Household_Alloc" displayName="Table_Household_Alloc" ref="A1:Z193" totalsRowShown="0">
  <autoFilter xmlns:etc="http://www.wps.cn/officeDocument/2017/etCustomData" ref="A1:Z193" etc:filterBottomFollowUsedRange="0"/>
  <tableColumns count="26">
    <tableColumn id="1" name="Lot" dataDxfId="9"/>
    <tableColumn id="17" name="cluster" dataDxfId="10"/>
    <tableColumn id="32" name="Meter#" dataDxfId="11"/>
    <tableColumn id="3" name="Block Type" dataDxfId="12"/>
    <tableColumn id="13" name="Owner" dataDxfId="13"/>
    <tableColumn id="9" name="Street Address" dataDxfId="14"/>
    <tableColumn id="10" name="Suburb" dataDxfId="15"/>
    <tableColumn id="12" name="State" dataDxfId="16"/>
    <tableColumn id="11" name="Post Code" dataDxfId="17"/>
    <tableColumn id="8" name="Unit Entitlement" dataDxfId="18"/>
    <tableColumn id="21" name="UE % over Cluster" dataDxfId="19">
      <calculatedColumnFormula>Table_Household_Alloc[[#This Row],[Unit Entitlement]]/1000</calculatedColumnFormula>
    </tableColumn>
    <tableColumn id="4" name="Calculated Battery Allocation (kWh)" dataDxfId="20"/>
    <tableColumn id="5" name="Inverter Model" dataDxfId="21"/>
    <tableColumn id="16" name="Applied Battery Allocation (kWh)" dataDxfId="22">
      <calculatedColumnFormula>IF(Table_Household_Alloc[[#This Row],[PV Installed]]="Y",1,0)*Table_Household_Alloc[[#This Row],[Calculated Battery Allocation (kWh)]]</calculatedColumnFormula>
    </tableColumn>
    <tableColumn id="6" name="Export Capacity (kW)" dataDxfId="23"/>
    <tableColumn id="14" name="Energy Meter Installed" dataDxfId="24"/>
    <tableColumn id="2" name="PV Installed" dataDxfId="25"/>
    <tableColumn id="7" name="Functional Droplet" dataDxfId="26"/>
    <tableColumn id="18" name="Stage of Dev." dataDxfId="27"/>
    <tableColumn id="15" name="Phone 1" dataDxfId="28"/>
    <tableColumn id="19" name="Phone 2" dataDxfId="29"/>
    <tableColumn id="20" name="Email" dataDxfId="30"/>
    <tableColumn id="23" name="Meter Number " dataDxfId="31"/>
    <tableColumn id="24" name="Occupant 1 Start Date" dataDxfId="32"/>
    <tableColumn id="25" name="Occupant 1 End date" dataDxfId="33"/>
    <tableColumn id="26" name="Inverter start date" dataDxfId="34"/>
  </tableColumns>
  <tableStyleInfo name="TableStyleLight11" showFirstColumn="0" showLastColumn="0" showRowStripes="1" showColumnStripes="0"/>
</table>
</file>

<file path=xl/tables/table3.xml><?xml version="1.0" encoding="utf-8"?>
<table xmlns="http://schemas.openxmlformats.org/spreadsheetml/2006/main" id="25" name="Amanda_energy" displayName="Amanda_energy" ref="A1:J24" totalsRowShown="0">
  <autoFilter xmlns:etc="http://www.wps.cn/officeDocument/2017/etCustomData" ref="A1:J24" etc:filterBottomFollowUsedRange="0"/>
  <tableColumns count="10">
    <tableColumn id="1" name="Cluster"/>
    <tableColumn id="2" name="Year"/>
    <tableColumn id="3" name="Month"/>
    <tableColumn id="4" name="Consumption_kWh"/>
    <tableColumn id="5" name="Export_kWh"/>
    <tableColumn id="6" name="Amanda_consumption_incl_GST"/>
    <tableColumn id="7" name="Amanda_export_buyback_incl_GST"/>
    <tableColumn id="8" name="Daily_Supply_incl_GST"/>
    <tableColumn id="9" name="Other_Fees_incl_GST"/>
    <tableColumn id="10" name="Total_incl_GST"/>
  </tableColumns>
  <tableStyleInfo name="Invoice that calculates total" showFirstColumn="0" showLastColumn="0" showRowStripes="1" showColumnStripes="0"/>
</table>
</file>

<file path=xl/tables/table4.xml><?xml version="1.0" encoding="utf-8"?>
<table xmlns="http://schemas.openxmlformats.org/spreadsheetml/2006/main" id="27" name="Reading_import" displayName="Reading_import" ref="A1:K191" totalsRowShown="0">
  <autoFilter xmlns:etc="http://www.wps.cn/officeDocument/2017/etCustomData" ref="A1:K191" etc:filterBottomFollowUsedRange="0">
    <filterColumn colId="1">
      <customFilters>
        <customFilter operator="equal" val="1C"/>
      </customFilters>
    </filterColumn>
  </autoFilter>
  <tableColumns count="11">
    <tableColumn id="1" name="Lot" dataDxfId="37"/>
    <tableColumn id="2" name="cluster" dataDxfId="38"/>
    <tableColumn id="3" name="Meter#" dataDxfId="39"/>
    <tableColumn id="4" name="1/2/2024" dataDxfId="40"/>
    <tableColumn id="5" name="1/5/2024" dataDxfId="41"/>
    <tableColumn id="6" name="1/8/2024" dataDxfId="42"/>
    <tableColumn id="7" name="1/10/2024" dataDxfId="43"/>
    <tableColumn id="8" name="9/10/2024" dataDxfId="44"/>
    <tableColumn id="9" name="1/1/2025" dataDxfId="45"/>
    <tableColumn id="10" name="1/3/2025" dataDxfId="46"/>
    <tableColumn id="11" name="01/04/2025"/>
  </tableColumns>
  <tableStyleInfo name="Invoice that calculates total" showFirstColumn="0" showLastColumn="0" showRowStripes="1" showColumnStripes="0"/>
</table>
</file>

<file path=xl/tables/table5.xml><?xml version="1.0" encoding="utf-8"?>
<table xmlns="http://schemas.openxmlformats.org/spreadsheetml/2006/main" id="28" name="Reading_export" displayName="Reading_export" ref="A1:L191" totalsRowShown="0">
  <autoFilter xmlns:etc="http://www.wps.cn/officeDocument/2017/etCustomData" ref="A1:L191" etc:filterBottomFollowUsedRange="0">
    <filterColumn colId="1">
      <customFilters>
        <customFilter operator="equal" val="1C"/>
      </customFilters>
    </filterColumn>
  </autoFilter>
  <tableColumns count="12">
    <tableColumn id="1" name="Lot" dataDxfId="47"/>
    <tableColumn id="2" name="cluster" dataDxfId="48"/>
    <tableColumn id="3" name="Meter#" dataDxfId="49"/>
    <tableColumn id="4" name="1/2/2024" dataDxfId="50"/>
    <tableColumn id="5" name="1/5/2024" dataDxfId="51"/>
    <tableColumn id="6" name="1/8/2024" dataDxfId="52"/>
    <tableColumn id="7" name="1/10/2024" dataDxfId="53"/>
    <tableColumn id="8" name="9/10/2024" dataDxfId="54"/>
    <tableColumn id="9" name="1/1/2025" dataDxfId="55"/>
    <tableColumn id="10" name="1/3/2025"/>
    <tableColumn id="11" name="01/04/2025"/>
    <tableColumn id="12" name="01/05/2025"/>
  </tableColumns>
  <tableStyleInfo name="Invoice that calculates total" showFirstColumn="0" showLastColumn="0" showRowStripes="1" showColumnStripes="0"/>
</table>
</file>

<file path=xl/tables/table6.xml><?xml version="1.0" encoding="utf-8"?>
<table xmlns="http://schemas.openxmlformats.org/spreadsheetml/2006/main" id="1" name="Table1" displayName="Table1" ref="A4:BS29" totalsRowShown="0">
  <autoFilter xmlns:etc="http://www.wps.cn/officeDocument/2017/etCustomData" ref="A4:BS29" etc:filterBottomFollowUsedRang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autoFilter>
  <tableColumns count="71">
    <tableColumn id="1" name="Lot" dataDxfId="56"/>
    <tableColumn id="2" name="Name" dataDxfId="57"/>
    <tableColumn id="3" name="Meter Numbers" dataDxfId="58">
      <calculatedColumnFormula array="1">INDEX(Reading_import[Meter'#],MATCH(1,(Table_Household_Alloc[Lot]=A5)*(Table_Household_Alloc[cluster]=$B$1),0))</calculatedColumnFormula>
    </tableColumn>
    <tableColumn id="19" name="Percentage of Unit Entitlement (%)" dataDxfId="59">
      <calculatedColumnFormula array="1">INDEX(Table_Household_Alloc[UE % over Cluster],MATCH(1,(Table_Household_Alloc[Lot]=A5)*(Table_Household_Alloc[cluster]=$B$1),0))</calculatedColumnFormula>
    </tableColumn>
    <tableColumn id="11" name="Stage of Dev." dataDxfId="60">
      <calculatedColumnFormula array="1">INDEX(Table_Household_Alloc[Stage of Dev.],MATCH(1,(Table_Household_Alloc[Lot]=A5)*(Table_Household_Alloc[cluster]=$B$1),0))</calculatedColumnFormula>
    </tableColumn>
    <tableColumn id="4" name="Amanda Energy Daily Supply Charge ($)" dataDxfId="61">
      <calculatedColumnFormula array="1">INDEX(Amanda_energy[Daily_Supply_incl_GST],MATCH(1,(Amanda_energy[Cluster]=$B$1)*(Amanda_energy[Month]=$F$2),0))/MAX($A:$A)</calculatedColumnFormula>
    </tableColumn>
    <tableColumn id="58" name="Amanda Energy Daily Supply Charge ($)2" dataDxfId="62"/>
    <tableColumn id="37" name="Amanda Energy Daily Supply Charge ($)3" dataDxfId="63">
      <calculatedColumnFormula array="1">INDEX(Amanda_energy[Daily_Supply_incl_GST],MATCH(1,(Amanda_energy[Cluster]=$B$1)*(Amanda_energy[Month]=$H$2),0))/MAX($A:$A)</calculatedColumnFormula>
    </tableColumn>
    <tableColumn id="33" name="Amanda Energy Other fees ($)" dataDxfId="64">
      <calculatedColumnFormula array="1">INDEX(Amanda_energy[Other_Fees_incl_GST],MATCH(1,(Amanda_energy[Cluster]=$B$1)*(Amanda_energy[Month]=$F$2),0))/MAX($A:$A)</calculatedColumnFormula>
    </tableColumn>
    <tableColumn id="7" name="SwitchdIn Cost Daily Supply Charge ($)" dataDxfId="65">
      <calculatedColumnFormula>'Tariff Rates'!$B$8*$J$3</calculatedColumnFormula>
    </tableColumn>
    <tableColumn id="8" name="Chargefox Daily Supply Charge ($)" dataDxfId="66">
      <calculatedColumnFormula>'Tariff Rates'!$C$8*Table1[[#This Row],[Percentage of Unit Entitlement (%)]]*'Energy billing Mastersheet_fml'!$K$3</calculatedColumnFormula>
    </tableColumn>
    <tableColumn id="9" name="Element47 Embedded Network Daily Supply Charges" dataDxfId="67"/>
    <tableColumn id="10" name="Element47 Embedded Network Invoicing Fees" dataDxfId="68"/>
    <tableColumn id="12" name="Total supply" dataDxfId="69"/>
    <tableColumn id="13" name="1st day of reporting period: import" dataDxfId="70">
      <calculatedColumnFormula array="1">INDEX(Reading_import[1/1/2025],MATCH(1,(Reading_import[Lot]=A5)*(Reading_import[cluster]=$B$1),0))</calculatedColumnFormula>
    </tableColumn>
    <tableColumn id="14" name="Last day of reporting period: import" dataDxfId="71">
      <calculatedColumnFormula array="1">INDEX(Reading_import[1/3/2025],MATCH(1,(Reading_import[Lot]=A5)*(Reading_import[cluster]=$B$1),0))</calculatedColumnFormula>
    </tableColumn>
    <tableColumn id="15" name="Total Consumption Import  (kWh)" dataDxfId="72"/>
    <tableColumn id="16" name="Total Daily Average Consumptio for Billing Period (kWh)" dataDxfId="73"/>
    <tableColumn id="17" name="Percentage of Total Import for Billing Period (%)" dataDxfId="74"/>
    <tableColumn id="18" name="Daily Battery allowance based on UE% (kWh)" dataDxfId="75"/>
    <tableColumn id="20" name="Applicable Battery Allowance Daily Consumption (kWh)" dataDxfId="76"/>
    <tableColumn id="24" name="Unused Daily Allowance (kWh)" dataDxfId="77">
      <calculatedColumnFormula>Table1[[#This Row],[Daily Battery allowance based on UE% (kWh)]]-Table1[[#This Row],[Applicable Battery Allowance Daily Consumption (kWh)]]</calculatedColumnFormula>
    </tableColumn>
    <tableColumn id="25" name="Unused Daily Allowance %" dataDxfId="78">
      <calculatedColumnFormula>Table1[[#This Row],[Unused Daily Allowance (kWh)]]/$V$30</calculatedColumnFormula>
    </tableColumn>
    <tableColumn id="21" name="P2P Import Consumption within Battery Allowance(kWh)" dataDxfId="79"/>
    <tableColumn id="74" name="Energy Exceeding Battery Allowance (kWh)" dataDxfId="80"/>
    <tableColumn id="75" name="Energy Exceeding Battery Allowance %" dataDxfId="81"/>
    <tableColumn id="76" name="Total Cluster Energy Balance for P2P Trading (kWh)" dataDxfId="82">
      <calculatedColumnFormula>$Y$30-$E$38</calculatedColumnFormula>
    </tableColumn>
    <tableColumn id="65" name="P2P Import Consumption over Battery Allowance based on Energy Exceeding Allowance % (kWh)" dataDxfId="83"/>
    <tableColumn id="77" name="Total P2P import (kWh)" dataDxfId="84">
      <calculatedColumnFormula>Table1[[#This Row],[P2P Import Consumption within Battery Allowance(kWh)]]+Table1[[#This Row],[P2P Import Consumption over Battery Allowance based on Energy Exceeding Allowance % (kWh)]]</calculatedColumnFormula>
    </tableColumn>
    <tableColumn id="78" name="Energy Import from Grid (kWh)" dataDxfId="85">
      <calculatedColumnFormula>Table1[[#This Row],[Total Consumption Import  (kWh)]]-Table1[[#This Row],[Total P2P import (kWh)]]</calculatedColumnFormula>
    </tableColumn>
    <tableColumn id="73" name="P2P import%" dataDxfId="86"/>
    <tableColumn id="22" name="Cluster's Total Battery Loss (kWh)"/>
    <tableColumn id="23" name="Axillary Battery Losses based upon P2P import % (kWh)"/>
    <tableColumn id="55" name="Cluster's Total Common Services (kWh)" dataDxfId="87">
      <calculatedColumnFormula>SUM($Q$26:$Q$28)</calculatedColumnFormula>
    </tableColumn>
    <tableColumn id="56" name="Common Services based on Split per Unit Entitlement % to battery (kWh)" dataDxfId="88">
      <calculatedColumnFormula array="1">Table1[[#This Row],[Cluster''s Total Common Services (kWh)]]*INDEX(Table_Household_Alloc[UE % over Cluster],MATCH(1,(Table_Household_Alloc[Lot]=A5)*(Table_Household_Alloc[cluster]=$B$1),0))</calculatedColumnFormula>
    </tableColumn>
    <tableColumn id="79" name="Axillary Battery Loss Charges at P2P Rates based upon P2P import % ($)" dataDxfId="89"/>
    <tableColumn id="54" name="Common Services Cost Split per Unit Entitlement at P2P rate ($)" dataDxfId="90"/>
    <tableColumn id="64" name="P2P Import Cost ($)" dataDxfId="91">
      <calculatedColumnFormula>Table1[[#This Row],[Total P2P import (kWh)]]*IF(Table1[[#This Row],[Total Lot Export (kWh)]]=0,'Tariff Rates'!$B$3,'Tariff Rates'!$L$3)</calculatedColumnFormula>
    </tableColumn>
    <tableColumn id="5" name="Exceeding Battery Allowance P2P Fee ($)" dataDxfId="92">
      <calculatedColumnFormula>Table1[[#This Row],[P2P Import Consumption over Battery Allowance based on Energy Exceeding Allowance % (kWh)]]*0.05</calculatedColumnFormula>
    </tableColumn>
    <tableColumn id="27" name="Import From Grid Cost ($)" dataDxfId="93"/>
    <tableColumn id="28" name="Total Consumption Cost/Lot" dataDxfId="94"/>
    <tableColumn id="29" name="1st day of reporting period: export" dataDxfId="95">
      <calculatedColumnFormula array="1">INDEX(Reading_export[1/1/2025],MATCH(1,(Reading_export[Lot]=A5)*(Reading_export[cluster]=$B$1),0))</calculatedColumnFormula>
    </tableColumn>
    <tableColumn id="30" name="Last day of reporting period: export" dataDxfId="96">
      <calculatedColumnFormula array="1">INDEX(Reading_export[1/3/2025],MATCH(1,(Reading_export[Lot]=A5)*(Reading_export[cluster]=$B$1),0))</calculatedColumnFormula>
    </tableColumn>
    <tableColumn id="31" name="Total Lot Export (kWh)" dataDxfId="97"/>
    <tableColumn id="34" name="Percentage of Total export for Billing Period (%)" dataDxfId="98">
      <calculatedColumnFormula>AR5/#REF!</calculatedColumnFormula>
    </tableColumn>
    <tableColumn id="35" name="Total Energy Export P2P to battery (kWh)" dataDxfId="99">
      <calculatedColumnFormula>Table1[[#This Row],[Percentage of Total export for Billing Period (%)]]*$AC$30</calculatedColumnFormula>
    </tableColumn>
    <tableColumn id="26" name="Total Cluster Energy Balance for P2P Trading (kWh)2" dataDxfId="100"/>
    <tableColumn id="32" name="Borrowed Allowance Based on Unused Daily Allowance % (kWh)" dataDxfId="101">
      <calculatedColumnFormula>Table1[[#This Row],[Total Cluster Energy Balance for P2P Trading (kWh)2]]*Table1[[#This Row],[Unused Daily Allowance %]]</calculatedColumnFormula>
    </tableColumn>
    <tableColumn id="36" name="Axillary Battery Losses based upon Adjusted % total export (kWh)" dataDxfId="102"/>
    <tableColumn id="52" name="Common Service based upon % total export to battery (kWh)" dataDxfId="103">
      <calculatedColumnFormula>$Q$26*Table1[[#This Row],[Percentage of Total export for Billing Period (%)]]</calculatedColumnFormula>
    </tableColumn>
    <tableColumn id="39" name="EV Charger based upon % total export to battery (kWh)" dataDxfId="104">
      <calculatedColumnFormula>$Q$25*Table1[[#This Row],[Percentage of Total export for Billing Period (%)]]</calculatedColumnFormula>
    </tableColumn>
    <tableColumn id="53" name="Therotical Energy Export to Grid (kWh)" dataDxfId="105"/>
    <tableColumn id="60" name="Energy Losses When Export to Grid (kWh)" dataDxfId="106">
      <calculatedColumnFormula>$AZ$30-$F$38</calculatedColumnFormula>
    </tableColumn>
    <tableColumn id="62" name="Energy Losses When Export to Grid based up % total export (kWh)" dataDxfId="107">
      <calculatedColumnFormula>Table1[[#This Row],[Energy Losses When Export to Grid (kWh)]]*Table1[[#This Row],[Percentage of Total export for Billing Period (%)]]</calculatedColumnFormula>
    </tableColumn>
    <tableColumn id="63" name="Energy Export to Grid after Losses (kWh)" dataDxfId="108">
      <calculatedColumnFormula>Table1[[#This Row],[Total Lot Export (kWh)]]-Table1[[#This Row],[Axillary Battery Losses based upon Adjusted % total export (kWh)]]-Table1[[#This Row],[Common Service based upon % total export to battery (kWh)]]-Table1[[#This Row],[Energy Losses When Export to Grid based up % total export (kWh)]]</calculatedColumnFormula>
    </tableColumn>
    <tableColumn id="59" name="Axillary Battery Losses based upon % total export  ($)" dataDxfId="109"/>
    <tableColumn id="38" name="Common Service Earning based upon % total export to Load ($)" dataDxfId="110">
      <calculatedColumnFormula>$Q$26*'Tariff Rates'!$C$4*Table1[[#This Row],[Percentage of Total export for Billing Period (%)]]</calculatedColumnFormula>
    </tableColumn>
    <tableColumn id="57" name="EV Charger based upon % total export ($)" dataDxfId="111">
      <calculatedColumnFormula>Table1[[#This Row],[EV Charger based upon % total export to battery (kWh)]]*'Tariff Rates'!$C$3</calculatedColumnFormula>
    </tableColumn>
    <tableColumn id="40" name="P2P Export Earnings ($)" dataDxfId="112"/>
    <tableColumn id="6" name="Passive Compensation ($)" dataDxfId="113">
      <calculatedColumnFormula>Table1[[#This Row],[Borrowed Allowance Based on Unused Daily Allowance % (kWh)]]*-0.05</calculatedColumnFormula>
    </tableColumn>
    <tableColumn id="41" name="Grid Export Earnings ($)" dataDxfId="114"/>
    <tableColumn id="42" name="Total Export Earnings Per Lot After P2P Battery Energy Storage and Use ($)" dataDxfId="115"/>
    <tableColumn id="43" name="EV Charger Income from Sales Equitable Distribution on UE ($)" dataDxfId="116"/>
    <tableColumn id="44" name="Chargefox Commission on EV Charge Consumption Sales Cost Split by Unit Entitlement ($)" dataDxfId="117"/>
    <tableColumn id="45" name="EV Charger Cost of Electricity Supply at P2P Rates ($)" dataDxfId="118"/>
    <tableColumn id="46" name="Total EV Charger Operating Cost ($)" dataDxfId="119"/>
    <tableColumn id="47" name="Total EV Charger Revenue ($)" dataDxfId="120"/>
    <tableColumn id="48" name="EV Charger Profit per lot owner ($)" dataDxfId="121"/>
    <tableColumn id="49" name="Energy Invoice Total Charges or Revenue $" dataDxfId="122"/>
    <tableColumn id="50" name="Date issued" dataDxfId="123"/>
    <tableColumn id="51" name="Date Paid" dataDxfId="124"/>
  </tableColumns>
  <tableStyleInfo name="Invoice that calculates total" showFirstColumn="0" showLastColumn="0" showRowStripes="1" showColumnStripes="0"/>
</table>
</file>

<file path=xl/tables/table7.xml><?xml version="1.0" encoding="utf-8"?>
<table xmlns="http://schemas.openxmlformats.org/spreadsheetml/2006/main" id="2" name="Invoice3" displayName="Invoice3" ref="A15:E48" totalsRowShown="0">
  <autoFilter xmlns:etc="http://www.wps.cn/officeDocument/2017/etCustomData" ref="A15:E48" etc:filterBottomFollowUsedRange="0"/>
  <tableColumns count="5">
    <tableColumn id="1" name="Items" dataDxfId="126"/>
    <tableColumn id="2" name=" Charge Rate ($ Inc. GST) " dataDxfId="127"/>
    <tableColumn id="4" name="Usage" dataDxfId="128"/>
    <tableColumn id="5" name=" "/>
    <tableColumn id="3" name="Amount due ($ Inc. GST)"/>
  </tableColumns>
  <tableStyleInfo name="Invoice that calculates total" showFirstColumn="0" showLastColumn="1" showRowStripes="1" showColumnStripes="0"/>
</table>
</file>

<file path=xl/tables/table8.xml><?xml version="1.0" encoding="utf-8"?>
<table xmlns="http://schemas.openxmlformats.org/spreadsheetml/2006/main" id="3" name="Invoice34" displayName="Invoice34" ref="A15:E48" totalsRowShown="0">
  <autoFilter xmlns:etc="http://www.wps.cn/officeDocument/2017/etCustomData" ref="A15:E48" etc:filterBottomFollowUsedRange="0"/>
  <tableColumns count="5">
    <tableColumn id="1" name="Items" dataDxfId="130"/>
    <tableColumn id="2" name=" Charge Rate ($ Inc. GST) " dataDxfId="131"/>
    <tableColumn id="4" name="Usage" dataDxfId="132"/>
    <tableColumn id="5" name=" "/>
    <tableColumn id="3" name="Amount due ($ Inc. GST)"/>
  </tableColumns>
  <tableStyleInfo name="Invoice that calculates total" showFirstColumn="0" showLastColumn="1" showRowStripes="1" showColumnStripes="0"/>
</table>
</file>

<file path=xl/tables/table9.xml><?xml version="1.0" encoding="utf-8"?>
<table xmlns="http://schemas.openxmlformats.org/spreadsheetml/2006/main" id="5" name="Invoice36" displayName="Invoice36" ref="A15:E48" totalsRowShown="0">
  <autoFilter xmlns:etc="http://www.wps.cn/officeDocument/2017/etCustomData" ref="A15:E48" etc:filterBottomFollowUsedRange="0"/>
  <tableColumns count="5">
    <tableColumn id="1" name="Items" dataDxfId="133"/>
    <tableColumn id="2" name=" Charge Rate ($ Inc. GST) " dataDxfId="134"/>
    <tableColumn id="4" name="Usage" dataDxfId="135"/>
    <tableColumn id="5" name=" "/>
    <tableColumn id="3" name="Amount due ($ Inc. GST)"/>
  </tableColumns>
  <tableStyleInfo name="Invoice that calculates total" showFirstColumn="0" showLastColumn="1" showRowStripes="1" showColumnStripes="0"/>
</table>
</file>

<file path=xl/tables/table10.xml><?xml version="1.0" encoding="utf-8"?>
<table xmlns="http://schemas.openxmlformats.org/spreadsheetml/2006/main" id="6" name="Invoice37" displayName="Invoice37" ref="A15:E48" totalsRowShown="0">
  <autoFilter xmlns:etc="http://www.wps.cn/officeDocument/2017/etCustomData" ref="A15:E48" etc:filterBottomFollowUsedRange="0"/>
  <tableColumns count="5">
    <tableColumn id="1" name="Items" dataDxfId="136"/>
    <tableColumn id="2" name=" Charge Rate ($ Inc. GST) " dataDxfId="137"/>
    <tableColumn id="4" name="Usage" dataDxfId="138"/>
    <tableColumn id="5" name=" "/>
    <tableColumn id="3" name="Amount due ($ Inc. GST)"/>
  </tableColumns>
  <tableStyleInfo name="Invoice that calculates total" showFirstColumn="0" showLastColumn="1" showRowStripes="1" showColumnStripes="0"/>
</table>
</file>

<file path=xl/tables/table11.xml><?xml version="1.0" encoding="utf-8"?>
<table xmlns="http://schemas.openxmlformats.org/spreadsheetml/2006/main" id="7" name="Invoice38" displayName="Invoice38" ref="A15:E48" totalsRowShown="0">
  <autoFilter xmlns:etc="http://www.wps.cn/officeDocument/2017/etCustomData" ref="A15:E48" etc:filterBottomFollowUsedRange="0"/>
  <tableColumns count="5">
    <tableColumn id="1" name="Items" dataDxfId="139"/>
    <tableColumn id="2" name=" Charge Rate ($ Inc. GST) " dataDxfId="140"/>
    <tableColumn id="4" name="Usage" dataDxfId="141"/>
    <tableColumn id="5" name=" "/>
    <tableColumn id="3" name="Amount due ($ Inc. GST)"/>
  </tableColumns>
  <tableStyleInfo name="Invoice that calculates total" showFirstColumn="0" showLastColumn="1" showRowStripes="1" showColumnStripes="0"/>
</table>
</file>

<file path=xl/tables/table12.xml><?xml version="1.0" encoding="utf-8"?>
<table xmlns="http://schemas.openxmlformats.org/spreadsheetml/2006/main" id="8" name="Invoice39" displayName="Invoice39" ref="A15:E48" totalsRowShown="0">
  <autoFilter xmlns:etc="http://www.wps.cn/officeDocument/2017/etCustomData" ref="A15:E48" etc:filterBottomFollowUsedRange="0"/>
  <tableColumns count="5">
    <tableColumn id="1" name="Items" dataDxfId="142"/>
    <tableColumn id="2" name=" Charge Rate ($ Inc. GST) " dataDxfId="143"/>
    <tableColumn id="4" name="Usage" dataDxfId="144"/>
    <tableColumn id="5" name=" "/>
    <tableColumn id="3" name="Amount due ($ Inc. GST)"/>
  </tableColumns>
  <tableStyleInfo name="Invoice that calculates total" showFirstColumn="0" showLastColumn="1" showRowStripes="1" showColumnStripes="0"/>
</table>
</file>

<file path=xl/tables/table13.xml><?xml version="1.0" encoding="utf-8"?>
<table xmlns="http://schemas.openxmlformats.org/spreadsheetml/2006/main" id="9" name="Invoice310" displayName="Invoice310" ref="A15:E48" totalsRowShown="0">
  <autoFilter xmlns:etc="http://www.wps.cn/officeDocument/2017/etCustomData" ref="A15:E48" etc:filterBottomFollowUsedRange="0"/>
  <tableColumns count="5">
    <tableColumn id="1" name="Items" dataDxfId="145"/>
    <tableColumn id="2" name=" Charge Rate ($ Inc. GST) " dataDxfId="146"/>
    <tableColumn id="4" name="Usage" dataDxfId="147"/>
    <tableColumn id="5" name=" "/>
    <tableColumn id="3" name="Amount due ($ Inc. GST)"/>
  </tableColumns>
  <tableStyleInfo name="Invoice that calculates total" showFirstColumn="0" showLastColumn="1" showRowStripes="1" showColumnStripes="0"/>
</table>
</file>

<file path=xl/tables/table14.xml><?xml version="1.0" encoding="utf-8"?>
<table xmlns="http://schemas.openxmlformats.org/spreadsheetml/2006/main" id="10" name="Invoice311" displayName="Invoice311" ref="A15:E48" totalsRowShown="0">
  <autoFilter xmlns:etc="http://www.wps.cn/officeDocument/2017/etCustomData" ref="A15:E48" etc:filterBottomFollowUsedRange="0"/>
  <tableColumns count="5">
    <tableColumn id="1" name="Items" dataDxfId="148"/>
    <tableColumn id="2" name=" Charge Rate ($ Inc. GST) " dataDxfId="149"/>
    <tableColumn id="4" name="Usage" dataDxfId="150"/>
    <tableColumn id="5" name=" "/>
    <tableColumn id="3" name="Amount due ($ Inc. GST)"/>
  </tableColumns>
  <tableStyleInfo name="Invoice that calculates total" showFirstColumn="0" showLastColumn="1" showRowStripes="1" showColumnStripes="0"/>
</table>
</file>

<file path=xl/tables/table15.xml><?xml version="1.0" encoding="utf-8"?>
<table xmlns="http://schemas.openxmlformats.org/spreadsheetml/2006/main" id="11" name="Invoice312" displayName="Invoice312" ref="A15:E48" totalsRowShown="0">
  <autoFilter xmlns:etc="http://www.wps.cn/officeDocument/2017/etCustomData" ref="A15:E48" etc:filterBottomFollowUsedRange="0"/>
  <tableColumns count="5">
    <tableColumn id="1" name="Items" dataDxfId="151"/>
    <tableColumn id="2" name=" Charge Rate ($ Inc. GST) " dataDxfId="152"/>
    <tableColumn id="4" name="Usage" dataDxfId="153"/>
    <tableColumn id="5" name=" "/>
    <tableColumn id="3" name="Amount due ($ Inc. GST)"/>
  </tableColumns>
  <tableStyleInfo name="Invoice that calculates total" showFirstColumn="0" showLastColumn="1" showRowStripes="1" showColumnStripes="0"/>
</table>
</file>

<file path=xl/tables/table16.xml><?xml version="1.0" encoding="utf-8"?>
<table xmlns="http://schemas.openxmlformats.org/spreadsheetml/2006/main" id="12" name="Invoice313" displayName="Invoice313" ref="A15:E48" totalsRowShown="0">
  <autoFilter xmlns:etc="http://www.wps.cn/officeDocument/2017/etCustomData" ref="A15:E48" etc:filterBottomFollowUsedRange="0"/>
  <tableColumns count="5">
    <tableColumn id="1" name="Items" dataDxfId="154"/>
    <tableColumn id="2" name=" Charge Rate ($ Inc. GST) " dataDxfId="155"/>
    <tableColumn id="4" name="Usage" dataDxfId="156"/>
    <tableColumn id="5" name=" "/>
    <tableColumn id="3" name="Amount due ($ Inc. GST)"/>
  </tableColumns>
  <tableStyleInfo name="Invoice that calculates total" showFirstColumn="0" showLastColumn="1" showRowStripes="1" showColumnStripes="0"/>
</table>
</file>

<file path=xl/tables/table17.xml><?xml version="1.0" encoding="utf-8"?>
<table xmlns="http://schemas.openxmlformats.org/spreadsheetml/2006/main" id="13" name="Invoice314" displayName="Invoice314" ref="A15:E48" totalsRowShown="0">
  <autoFilter xmlns:etc="http://www.wps.cn/officeDocument/2017/etCustomData" ref="A15:E48" etc:filterBottomFollowUsedRange="0"/>
  <tableColumns count="5">
    <tableColumn id="1" name="Items" dataDxfId="157"/>
    <tableColumn id="2" name=" Charge Rate ($ Inc. GST) " dataDxfId="158"/>
    <tableColumn id="4" name="Usage" dataDxfId="159"/>
    <tableColumn id="5" name=" "/>
    <tableColumn id="3" name="Amount due ($ Inc. GST)"/>
  </tableColumns>
  <tableStyleInfo name="Invoice that calculates total" showFirstColumn="0" showLastColumn="1" showRowStripes="1" showColumnStripes="0"/>
</table>
</file>

<file path=xl/tables/table18.xml><?xml version="1.0" encoding="utf-8"?>
<table xmlns="http://schemas.openxmlformats.org/spreadsheetml/2006/main" id="14" name="Invoice315" displayName="Invoice315" ref="A15:E48" totalsRowShown="0">
  <autoFilter xmlns:etc="http://www.wps.cn/officeDocument/2017/etCustomData" ref="A15:E48" etc:filterBottomFollowUsedRange="0"/>
  <tableColumns count="5">
    <tableColumn id="1" name="Items" dataDxfId="160"/>
    <tableColumn id="2" name=" Charge Rate ($ Inc. GST) " dataDxfId="161"/>
    <tableColumn id="4" name="Usage" dataDxfId="162"/>
    <tableColumn id="5" name=" "/>
    <tableColumn id="3" name="Amount due ($ Inc. GST)"/>
  </tableColumns>
  <tableStyleInfo name="Invoice that calculates total" showFirstColumn="0" showLastColumn="1" showRowStripes="1" showColumnStripes="0"/>
</table>
</file>

<file path=xl/tables/table19.xml><?xml version="1.0" encoding="utf-8"?>
<table xmlns="http://schemas.openxmlformats.org/spreadsheetml/2006/main" id="15" name="Invoice316" displayName="Invoice316" ref="A15:E48" totalsRowShown="0">
  <autoFilter xmlns:etc="http://www.wps.cn/officeDocument/2017/etCustomData" ref="A15:E48" etc:filterBottomFollowUsedRange="0"/>
  <tableColumns count="5">
    <tableColumn id="1" name="Items" dataDxfId="163"/>
    <tableColumn id="2" name=" Charge Rate ($ Inc. GST) " dataDxfId="164"/>
    <tableColumn id="4" name="Usage" dataDxfId="165"/>
    <tableColumn id="5" name=" "/>
    <tableColumn id="3" name="Amount due ($ Inc. GST)"/>
  </tableColumns>
  <tableStyleInfo name="Invoice that calculates total" showFirstColumn="0" showLastColumn="1" showRowStripes="1" showColumnStripes="0"/>
</table>
</file>

<file path=xl/tables/table20.xml><?xml version="1.0" encoding="utf-8"?>
<table xmlns="http://schemas.openxmlformats.org/spreadsheetml/2006/main" id="16" name="Invoice317" displayName="Invoice317" ref="A15:E48" totalsRowShown="0">
  <autoFilter xmlns:etc="http://www.wps.cn/officeDocument/2017/etCustomData" ref="A15:E48" etc:filterBottomFollowUsedRange="0"/>
  <tableColumns count="5">
    <tableColumn id="1" name="Items" dataDxfId="166"/>
    <tableColumn id="2" name=" Charge Rate ($ Inc. GST) " dataDxfId="167"/>
    <tableColumn id="4" name="Usage" dataDxfId="168"/>
    <tableColumn id="5" name=" "/>
    <tableColumn id="3" name="Amount due ($ Inc. GST)"/>
  </tableColumns>
  <tableStyleInfo name="Invoice that calculates total" showFirstColumn="0" showLastColumn="1" showRowStripes="1" showColumnStripes="0"/>
</table>
</file>

<file path=xl/tables/table21.xml><?xml version="1.0" encoding="utf-8"?>
<table xmlns="http://schemas.openxmlformats.org/spreadsheetml/2006/main" id="17" name="Invoice318" displayName="Invoice318" ref="A15:E48" totalsRowShown="0">
  <autoFilter xmlns:etc="http://www.wps.cn/officeDocument/2017/etCustomData" ref="A15:E48" etc:filterBottomFollowUsedRange="0"/>
  <tableColumns count="5">
    <tableColumn id="1" name="Items" dataDxfId="169"/>
    <tableColumn id="2" name=" Charge Rate ($ Inc. GST) " dataDxfId="170"/>
    <tableColumn id="4" name="Usage" dataDxfId="171"/>
    <tableColumn id="5" name=" "/>
    <tableColumn id="3" name="Amount due ($ Inc. GST)"/>
  </tableColumns>
  <tableStyleInfo name="Invoice that calculates total" showFirstColumn="0" showLastColumn="1" showRowStripes="1" showColumnStripes="0"/>
</table>
</file>

<file path=xl/tables/table22.xml><?xml version="1.0" encoding="utf-8"?>
<table xmlns="http://schemas.openxmlformats.org/spreadsheetml/2006/main" id="18" name="Invoice319" displayName="Invoice319" ref="A15:E48" totalsRowShown="0">
  <autoFilter xmlns:etc="http://www.wps.cn/officeDocument/2017/etCustomData" ref="A15:E48" etc:filterBottomFollowUsedRange="0"/>
  <tableColumns count="5">
    <tableColumn id="1" name="Items" dataDxfId="172"/>
    <tableColumn id="2" name=" Charge Rate ($ Inc. GST) " dataDxfId="173"/>
    <tableColumn id="4" name="Usage" dataDxfId="174"/>
    <tableColumn id="5" name=" "/>
    <tableColumn id="3" name="Amount due ($ Inc. GST)"/>
  </tableColumns>
  <tableStyleInfo name="Invoice that calculates total" showFirstColumn="0" showLastColumn="1" showRowStripes="1" showColumnStripes="0"/>
</table>
</file>

<file path=xl/tables/table23.xml><?xml version="1.0" encoding="utf-8"?>
<table xmlns="http://schemas.openxmlformats.org/spreadsheetml/2006/main" id="19" name="Invoice320" displayName="Invoice320" ref="A15:E48" totalsRowShown="0">
  <autoFilter xmlns:etc="http://www.wps.cn/officeDocument/2017/etCustomData" ref="A15:E48" etc:filterBottomFollowUsedRange="0"/>
  <tableColumns count="5">
    <tableColumn id="1" name="Items" dataDxfId="175"/>
    <tableColumn id="2" name=" Charge Rate ($ Inc. GST) " dataDxfId="176"/>
    <tableColumn id="4" name="Usage" dataDxfId="177"/>
    <tableColumn id="5" name=" "/>
    <tableColumn id="3" name="Amount due ($ Inc. GST)"/>
  </tableColumns>
  <tableStyleInfo name="Invoice that calculates total" showFirstColumn="0" showLastColumn="1" showRowStripes="1" showColumnStripes="0"/>
</table>
</file>

<file path=xl/tables/table24.xml><?xml version="1.0" encoding="utf-8"?>
<table xmlns="http://schemas.openxmlformats.org/spreadsheetml/2006/main" id="20" name="Invoice321" displayName="Invoice321" ref="A15:E48" totalsRowShown="0">
  <autoFilter xmlns:etc="http://www.wps.cn/officeDocument/2017/etCustomData" ref="A15:E48" etc:filterBottomFollowUsedRange="0"/>
  <tableColumns count="5">
    <tableColumn id="1" name="Items" dataDxfId="178"/>
    <tableColumn id="2" name=" Charge Rate ($ Inc. GST) " dataDxfId="179"/>
    <tableColumn id="4" name="Usage" dataDxfId="180"/>
    <tableColumn id="5" name=" "/>
    <tableColumn id="3" name="Amount due ($ Inc. GST)"/>
  </tableColumns>
  <tableStyleInfo name="Invoice that calculates total" showFirstColumn="0" showLastColumn="1" showRowStripes="1" showColumnStripes="0"/>
</table>
</file>

<file path=xl/tables/table25.xml><?xml version="1.0" encoding="utf-8"?>
<table xmlns="http://schemas.openxmlformats.org/spreadsheetml/2006/main" id="21" name="Invoice322" displayName="Invoice322" ref="A15:E48" totalsRowShown="0">
  <autoFilter xmlns:etc="http://www.wps.cn/officeDocument/2017/etCustomData" ref="A15:E48" etc:filterBottomFollowUsedRange="0"/>
  <tableColumns count="5">
    <tableColumn id="1" name="Items" dataDxfId="181"/>
    <tableColumn id="2" name=" Charge Rate ($ Inc. GST) " dataDxfId="182"/>
    <tableColumn id="4" name="Usage" dataDxfId="183"/>
    <tableColumn id="5" name=" "/>
    <tableColumn id="3" name="Amount due ($ Inc. GST)"/>
  </tableColumns>
  <tableStyleInfo name="Invoice that calculates total" showFirstColumn="0"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9" Type="http://schemas.openxmlformats.org/officeDocument/2006/relationships/hyperlink" Target="mailto:wevcluster3c@gmail.com" TargetMode="External"/><Relationship Id="rId8" Type="http://schemas.openxmlformats.org/officeDocument/2006/relationships/hyperlink" Target="mailto:wevcluster3b@gmail.com" TargetMode="External"/><Relationship Id="rId7" Type="http://schemas.openxmlformats.org/officeDocument/2006/relationships/hyperlink" Target="mailto:wevcluster3a@gmail.com" TargetMode="External"/><Relationship Id="rId6" Type="http://schemas.openxmlformats.org/officeDocument/2006/relationships/hyperlink" Target="mailto:wevcluster2b@gmail.com" TargetMode="External"/><Relationship Id="rId5" Type="http://schemas.openxmlformats.org/officeDocument/2006/relationships/hyperlink" Target="mailto:wevcluster2a@gmail.com" TargetMode="External"/><Relationship Id="rId4" Type="http://schemas.openxmlformats.org/officeDocument/2006/relationships/hyperlink" Target="mailto:wevcluster1c@gmail.com" TargetMode="External"/><Relationship Id="rId3" Type="http://schemas.openxmlformats.org/officeDocument/2006/relationships/hyperlink" Target="mailto:wevcluster1b@gmail.com" TargetMode="External"/><Relationship Id="rId22" Type="http://schemas.openxmlformats.org/officeDocument/2006/relationships/hyperlink" Target="mailto:mail2paul07@gmail.com" TargetMode="External"/><Relationship Id="rId21" Type="http://schemas.openxmlformats.org/officeDocument/2006/relationships/hyperlink" Target="mailto:logs1@iinet.net.au" TargetMode="External"/><Relationship Id="rId20" Type="http://schemas.openxmlformats.org/officeDocument/2006/relationships/hyperlink" Target="mailto:bouwe.hamersma@gmail.com" TargetMode="External"/><Relationship Id="rId2" Type="http://schemas.openxmlformats.org/officeDocument/2006/relationships/hyperlink" Target="mailto:wevcluster1a@gmail.com" TargetMode="External"/><Relationship Id="rId19" Type="http://schemas.openxmlformats.org/officeDocument/2006/relationships/hyperlink" Target="mailto:alisonaskew123@gmail.com" TargetMode="External"/><Relationship Id="rId18" Type="http://schemas.openxmlformats.org/officeDocument/2006/relationships/hyperlink" Target="mailto:elaineclocherty@gmail.com" TargetMode="External"/><Relationship Id="rId17" Type="http://schemas.openxmlformats.org/officeDocument/2006/relationships/hyperlink" Target="mailto:timjcthomson@gmail.com" TargetMode="External"/><Relationship Id="rId16" Type="http://schemas.openxmlformats.org/officeDocument/2006/relationships/hyperlink" Target="mailto:jasonmchattan@gmail.com" TargetMode="External"/><Relationship Id="rId15" Type="http://schemas.openxmlformats.org/officeDocument/2006/relationships/hyperlink" Target="mailto:jenny@challen.com.au" TargetMode="External"/><Relationship Id="rId14" Type="http://schemas.openxmlformats.org/officeDocument/2006/relationships/hyperlink" Target="mailto:carolinandmanuel@gmail.com" TargetMode="External"/><Relationship Id="rId13" Type="http://schemas.openxmlformats.org/officeDocument/2006/relationships/hyperlink" Target="mailto:mammoth@iinet.net.au" TargetMode="External"/><Relationship Id="rId12" Type="http://schemas.openxmlformats.org/officeDocument/2006/relationships/hyperlink" Target="mailto:froehlich.fp@gmail.com" TargetMode="External"/><Relationship Id="rId11" Type="http://schemas.openxmlformats.org/officeDocument/2006/relationships/hyperlink" Target="mailto:wevcluster4b@gmail.com" TargetMode="External"/><Relationship Id="rId10" Type="http://schemas.openxmlformats.org/officeDocument/2006/relationships/hyperlink" Target="mailto:wevcluster4a@" TargetMode="Externa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hyperlink" Target="mailto:fiona_skoglund@hotmail.com" TargetMode="External"/><Relationship Id="rId8" Type="http://schemas.openxmlformats.org/officeDocument/2006/relationships/hyperlink" Target="mailto:jasonmchattan@gmail.com" TargetMode="External"/><Relationship Id="rId7" Type="http://schemas.openxmlformats.org/officeDocument/2006/relationships/hyperlink" Target="mailto:riverlcp@gmail.com" TargetMode="External"/><Relationship Id="rId6" Type="http://schemas.openxmlformats.org/officeDocument/2006/relationships/hyperlink" Target="mailto:meish.b98@gmail.com" TargetMode="External"/><Relationship Id="rId5" Type="http://schemas.openxmlformats.org/officeDocument/2006/relationships/hyperlink" Target="mailto:Chloe_lovelidge@hotmail.com" TargetMode="External"/><Relationship Id="rId41" Type="http://schemas.openxmlformats.org/officeDocument/2006/relationships/hyperlink" Target="mailto:nicholasjamesmead@gmail.co" TargetMode="External"/><Relationship Id="rId40" Type="http://schemas.openxmlformats.org/officeDocument/2006/relationships/hyperlink" Target="mailto:maroeck@gmail.com" TargetMode="External"/><Relationship Id="rId4" Type="http://schemas.openxmlformats.org/officeDocument/2006/relationships/hyperlink" Target="mailto:brunomartinangeli09@gmail.com" TargetMode="External"/><Relationship Id="rId39" Type="http://schemas.openxmlformats.org/officeDocument/2006/relationships/hyperlink" Target="mailto:emailalexhughes@gmail.com" TargetMode="External"/><Relationship Id="rId38" Type="http://schemas.openxmlformats.org/officeDocument/2006/relationships/hyperlink" Target="mailto:mulloway9@icloud.com" TargetMode="External"/><Relationship Id="rId37" Type="http://schemas.openxmlformats.org/officeDocument/2006/relationships/hyperlink" Target="mailto:mammoth@iinet.net.au" TargetMode="External"/><Relationship Id="rId36" Type="http://schemas.openxmlformats.org/officeDocument/2006/relationships/hyperlink" Target="mailto:tim.hewson@iinet.net.au" TargetMode="External"/><Relationship Id="rId35" Type="http://schemas.openxmlformats.org/officeDocument/2006/relationships/hyperlink" Target="mailto:alixward@gmail.com" TargetMode="External"/><Relationship Id="rId34" Type="http://schemas.openxmlformats.org/officeDocument/2006/relationships/hyperlink" Target="mailto:marcus@mishack.com.au" TargetMode="External"/><Relationship Id="rId33" Type="http://schemas.openxmlformats.org/officeDocument/2006/relationships/hyperlink" Target="mailto:jasmine_heah@hotmail.com" TargetMode="External"/><Relationship Id="rId32" Type="http://schemas.openxmlformats.org/officeDocument/2006/relationships/hyperlink" Target="mailto:pernille@designbutton.net.au" TargetMode="External"/><Relationship Id="rId31" Type="http://schemas.openxmlformats.org/officeDocument/2006/relationships/hyperlink" Target="mailto:levi.holden@optusnet.com.au" TargetMode="External"/><Relationship Id="rId30" Type="http://schemas.openxmlformats.org/officeDocument/2006/relationships/hyperlink" Target="mailto:shaw76@hotmail.co.uk" TargetMode="External"/><Relationship Id="rId3" Type="http://schemas.openxmlformats.org/officeDocument/2006/relationships/table" Target="../tables/table2.xml"/><Relationship Id="rId29" Type="http://schemas.openxmlformats.org/officeDocument/2006/relationships/hyperlink" Target="mailto:froehlich.fp@gmail.com" TargetMode="External"/><Relationship Id="rId28" Type="http://schemas.openxmlformats.org/officeDocument/2006/relationships/hyperlink" Target="mailto:diego.barneche@ymail.com" TargetMode="External"/><Relationship Id="rId27" Type="http://schemas.openxmlformats.org/officeDocument/2006/relationships/hyperlink" Target="mailto:je&#64256;.thierfelder@iinet.net.au" TargetMode="External"/><Relationship Id="rId26" Type="http://schemas.openxmlformats.org/officeDocument/2006/relationships/hyperlink" Target="mailto:libby@humanbells.com" TargetMode="External"/><Relationship Id="rId25" Type="http://schemas.openxmlformats.org/officeDocument/2006/relationships/hyperlink" Target="mailto:henryweldon90@gmail.com" TargetMode="External"/><Relationship Id="rId24" Type="http://schemas.openxmlformats.org/officeDocument/2006/relationships/hyperlink" Target="mailto:lizk@beyondergo.com.au" TargetMode="External"/><Relationship Id="rId23" Type="http://schemas.openxmlformats.org/officeDocument/2006/relationships/hyperlink" Target="mailto:lindyjdunlop@hotmail.com" TargetMode="External"/><Relationship Id="rId22" Type="http://schemas.openxmlformats.org/officeDocument/2006/relationships/hyperlink" Target="mailto:lightelke@gmail.com" TargetMode="External"/><Relationship Id="rId21" Type="http://schemas.openxmlformats.org/officeDocument/2006/relationships/hyperlink" Target="mailto:woodmandj55@gmail.com" TargetMode="External"/><Relationship Id="rId20" Type="http://schemas.openxmlformats.org/officeDocument/2006/relationships/hyperlink" Target="mailto:carrieandwarrick@gmail.com" TargetMode="External"/><Relationship Id="rId2" Type="http://schemas.openxmlformats.org/officeDocument/2006/relationships/vmlDrawing" Target="../drawings/vmlDrawing1.vml"/><Relationship Id="rId19" Type="http://schemas.openxmlformats.org/officeDocument/2006/relationships/hyperlink" Target="mailto:hogire1948@hotmail.com" TargetMode="External"/><Relationship Id="rId18" Type="http://schemas.openxmlformats.org/officeDocument/2006/relationships/hyperlink" Target="mailto:rosebunch5@gmail.com" TargetMode="External"/><Relationship Id="rId17" Type="http://schemas.openxmlformats.org/officeDocument/2006/relationships/hyperlink" Target="mailto:ggreenwell2@outlook.com" TargetMode="External"/><Relationship Id="rId16" Type="http://schemas.openxmlformats.org/officeDocument/2006/relationships/hyperlink" Target="mailto:sarahhewer@me.com" TargetMode="External"/><Relationship Id="rId15" Type="http://schemas.openxmlformats.org/officeDocument/2006/relationships/hyperlink" Target="mailto:bronwyn_edwards@yahoo.com.au" TargetMode="External"/><Relationship Id="rId14" Type="http://schemas.openxmlformats.org/officeDocument/2006/relationships/hyperlink" Target="mailto:hansendagmarvandiest@gmail.com" TargetMode="External"/><Relationship Id="rId13" Type="http://schemas.openxmlformats.org/officeDocument/2006/relationships/hyperlink" Target="mailto:karenkotze@outlook.com" TargetMode="External"/><Relationship Id="rId12" Type="http://schemas.openxmlformats.org/officeDocument/2006/relationships/hyperlink" Target="mailto:timjcthomson@gmail.com" TargetMode="External"/><Relationship Id="rId11" Type="http://schemas.openxmlformats.org/officeDocument/2006/relationships/hyperlink" Target="mailto:msannieawilson@gmail.com" TargetMode="External"/><Relationship Id="rId10" Type="http://schemas.openxmlformats.org/officeDocument/2006/relationships/hyperlink" Target="mailto:pamezdroz@protonmail.com" TargetMode="Externa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S85"/>
  <sheetViews>
    <sheetView zoomScale="91" zoomScaleNormal="91" topLeftCell="A5" workbookViewId="0">
      <selection activeCell="C13" sqref="C13"/>
    </sheetView>
  </sheetViews>
  <sheetFormatPr defaultColWidth="11" defaultRowHeight="13.8"/>
  <cols>
    <col min="1" max="1" width="11.2" customWidth="1"/>
    <col min="2" max="2" width="49.5" customWidth="1"/>
    <col min="3" max="3" width="16.3" customWidth="1"/>
    <col min="4" max="4" width="24.8" customWidth="1"/>
    <col min="7" max="7" width="14.2" customWidth="1"/>
    <col min="10" max="10" width="20.2" customWidth="1"/>
  </cols>
  <sheetData>
    <row r="1" s="549" customFormat="1" ht="15.6" spans="1:2">
      <c r="A1" s="624" t="s">
        <v>0</v>
      </c>
      <c r="B1" s="625" t="s">
        <v>1</v>
      </c>
    </row>
    <row r="2" s="549" customFormat="1" ht="15.6" spans="1:2">
      <c r="A2" s="549" t="b">
        <v>0</v>
      </c>
      <c r="B2" s="626" t="s">
        <v>2</v>
      </c>
    </row>
    <row r="3" s="549" customFormat="1" ht="15" spans="1:2">
      <c r="A3" s="549" t="b">
        <v>0</v>
      </c>
      <c r="B3" s="627" t="s">
        <v>3</v>
      </c>
    </row>
    <row r="4" s="549" customFormat="1" ht="15" spans="1:2">
      <c r="A4" s="549" t="b">
        <v>0</v>
      </c>
      <c r="B4" s="627" t="s">
        <v>4</v>
      </c>
    </row>
    <row r="5" s="549" customFormat="1" ht="45" spans="1:5">
      <c r="A5" s="549" t="b">
        <v>0</v>
      </c>
      <c r="B5" s="627" t="s">
        <v>5</v>
      </c>
      <c r="C5" s="549" t="s">
        <v>6</v>
      </c>
      <c r="D5" s="628" t="s">
        <v>7</v>
      </c>
      <c r="E5" s="549" t="s">
        <v>8</v>
      </c>
    </row>
    <row r="6" s="549" customFormat="1" ht="45" spans="1:5">
      <c r="A6" s="549" t="b">
        <v>0</v>
      </c>
      <c r="B6" s="627" t="s">
        <v>9</v>
      </c>
      <c r="C6" s="549" t="s">
        <v>10</v>
      </c>
      <c r="D6" s="628" t="s">
        <v>11</v>
      </c>
      <c r="E6" s="549" t="s">
        <v>12</v>
      </c>
    </row>
    <row r="7" s="549" customFormat="1" ht="45" spans="1:19">
      <c r="A7" s="549" t="b">
        <v>0</v>
      </c>
      <c r="B7" s="627" t="s">
        <v>13</v>
      </c>
      <c r="C7" s="549" t="s">
        <v>14</v>
      </c>
      <c r="D7" s="549" t="s">
        <v>15</v>
      </c>
      <c r="E7" s="549" t="s">
        <v>16</v>
      </c>
      <c r="F7" s="549" t="s">
        <v>17</v>
      </c>
      <c r="G7" s="549" t="s">
        <v>18</v>
      </c>
      <c r="J7" s="652"/>
      <c r="L7"/>
      <c r="M7"/>
      <c r="N7"/>
      <c r="O7"/>
      <c r="P7"/>
      <c r="Q7"/>
      <c r="R7"/>
      <c r="S7"/>
    </row>
    <row r="8" s="549" customFormat="1" ht="15" spans="1:19">
      <c r="A8" s="549" t="b">
        <v>0</v>
      </c>
      <c r="B8" s="627" t="s">
        <v>19</v>
      </c>
      <c r="J8" s="652"/>
      <c r="L8"/>
      <c r="M8"/>
      <c r="N8"/>
      <c r="O8"/>
      <c r="P8"/>
      <c r="Q8"/>
      <c r="R8"/>
      <c r="S8"/>
    </row>
    <row r="9" s="549" customFormat="1" ht="15" spans="1:19">
      <c r="A9" s="549" t="b">
        <v>0</v>
      </c>
      <c r="B9" s="627" t="s">
        <v>20</v>
      </c>
      <c r="C9" s="629" t="s">
        <v>21</v>
      </c>
      <c r="D9" s="630"/>
      <c r="J9" s="652"/>
      <c r="L9"/>
      <c r="M9"/>
      <c r="N9"/>
      <c r="O9"/>
      <c r="P9"/>
      <c r="Q9"/>
      <c r="R9"/>
      <c r="S9"/>
    </row>
    <row r="10" s="549" customFormat="1" ht="15" spans="1:19">
      <c r="A10" s="549" t="b">
        <v>0</v>
      </c>
      <c r="B10" s="627" t="s">
        <v>22</v>
      </c>
      <c r="J10" s="652"/>
      <c r="L10"/>
      <c r="M10"/>
      <c r="N10"/>
      <c r="O10"/>
      <c r="P10"/>
      <c r="Q10"/>
      <c r="R10"/>
      <c r="S10"/>
    </row>
    <row r="11" s="549" customFormat="1" ht="15" spans="1:19">
      <c r="A11" s="549" t="b">
        <v>0</v>
      </c>
      <c r="B11" s="627" t="s">
        <v>23</v>
      </c>
      <c r="L11"/>
      <c r="M11"/>
      <c r="N11"/>
      <c r="O11"/>
      <c r="P11"/>
      <c r="Q11"/>
      <c r="R11"/>
      <c r="S11"/>
    </row>
    <row r="12" s="549" customFormat="1" ht="15" spans="1:2">
      <c r="A12" s="549" t="b">
        <v>0</v>
      </c>
      <c r="B12" s="627" t="s">
        <v>24</v>
      </c>
    </row>
    <row r="13" s="549" customFormat="1" ht="15" spans="2:2">
      <c r="B13" s="627"/>
    </row>
    <row r="14" s="549" customFormat="1" ht="15.6" spans="2:2">
      <c r="B14" s="631" t="s">
        <v>25</v>
      </c>
    </row>
    <row r="15" s="549" customFormat="1" ht="15" spans="1:2">
      <c r="A15" s="549" t="b">
        <v>0</v>
      </c>
      <c r="B15" s="627" t="s">
        <v>26</v>
      </c>
    </row>
    <row r="16" s="549" customFormat="1" ht="15" spans="1:2">
      <c r="A16" s="549" t="b">
        <v>0</v>
      </c>
      <c r="B16" s="627" t="s">
        <v>27</v>
      </c>
    </row>
    <row r="17" s="549" customFormat="1" ht="15" spans="1:2">
      <c r="A17" s="549" t="b">
        <v>0</v>
      </c>
      <c r="B17" s="627" t="s">
        <v>28</v>
      </c>
    </row>
    <row r="18" s="549" customFormat="1" ht="58.05" customHeight="1" spans="1:9">
      <c r="A18" s="549" t="b">
        <v>0</v>
      </c>
      <c r="B18" s="632" t="s">
        <v>29</v>
      </c>
      <c r="F18" s="633" t="s">
        <v>30</v>
      </c>
      <c r="G18" s="633"/>
      <c r="H18" s="633"/>
      <c r="I18" s="633"/>
    </row>
    <row r="19" s="549" customFormat="1" ht="15" spans="1:2">
      <c r="A19" s="549" t="b">
        <v>0</v>
      </c>
      <c r="B19" s="627" t="s">
        <v>31</v>
      </c>
    </row>
    <row r="20" s="549" customFormat="1" ht="15" spans="1:2">
      <c r="A20" s="549" t="b">
        <v>0</v>
      </c>
      <c r="B20" s="627" t="s">
        <v>32</v>
      </c>
    </row>
    <row r="21" ht="44.4" spans="2:2">
      <c r="B21" s="634"/>
    </row>
    <row r="22" ht="30" spans="2:2">
      <c r="B22" s="635" t="s">
        <v>33</v>
      </c>
    </row>
    <row r="23" ht="27.6" spans="2:13">
      <c r="B23" s="636" t="s">
        <v>34</v>
      </c>
      <c r="C23" s="636" t="s">
        <v>35</v>
      </c>
      <c r="D23" s="636" t="s">
        <v>36</v>
      </c>
      <c r="E23" s="636" t="s">
        <v>37</v>
      </c>
      <c r="F23" s="636" t="s">
        <v>38</v>
      </c>
      <c r="G23" s="636" t="s">
        <v>39</v>
      </c>
      <c r="H23" s="636" t="s">
        <v>40</v>
      </c>
      <c r="I23" s="636" t="s">
        <v>41</v>
      </c>
      <c r="J23" s="653" t="s">
        <v>42</v>
      </c>
      <c r="K23" s="654" t="s">
        <v>43</v>
      </c>
      <c r="L23" s="216"/>
      <c r="M23" s="216"/>
    </row>
    <row r="24" ht="15.6" spans="2:13">
      <c r="B24" s="637" t="s">
        <v>44</v>
      </c>
      <c r="C24" s="638">
        <v>1018</v>
      </c>
      <c r="D24" s="639" t="s">
        <v>45</v>
      </c>
      <c r="E24" s="639" t="s">
        <v>45</v>
      </c>
      <c r="F24" s="639" t="s">
        <v>45</v>
      </c>
      <c r="G24" s="638">
        <v>1077</v>
      </c>
      <c r="H24" s="640">
        <v>1091</v>
      </c>
      <c r="I24" s="637"/>
      <c r="J24" s="655" t="s">
        <v>46</v>
      </c>
      <c r="K24" s="656" t="s">
        <v>47</v>
      </c>
      <c r="L24" s="216"/>
      <c r="M24" s="216"/>
    </row>
    <row r="25" ht="15.6" spans="2:13">
      <c r="B25" s="637" t="s">
        <v>48</v>
      </c>
      <c r="C25" s="638">
        <v>1019</v>
      </c>
      <c r="D25" s="639" t="s">
        <v>45</v>
      </c>
      <c r="E25" s="639" t="s">
        <v>45</v>
      </c>
      <c r="F25" s="639" t="s">
        <v>45</v>
      </c>
      <c r="G25" s="638">
        <v>1069</v>
      </c>
      <c r="H25" s="640">
        <v>1092</v>
      </c>
      <c r="I25" s="637"/>
      <c r="J25" s="655" t="s">
        <v>49</v>
      </c>
      <c r="K25" s="657" t="s">
        <v>50</v>
      </c>
      <c r="L25" s="216"/>
      <c r="M25" s="658" t="s">
        <v>51</v>
      </c>
    </row>
    <row r="26" ht="15.6" spans="2:13">
      <c r="B26" s="637" t="s">
        <v>52</v>
      </c>
      <c r="C26" s="638">
        <v>1020</v>
      </c>
      <c r="D26" s="638">
        <v>1044</v>
      </c>
      <c r="E26" s="638">
        <v>1044</v>
      </c>
      <c r="F26" s="638">
        <v>1044</v>
      </c>
      <c r="G26" s="638">
        <v>1070</v>
      </c>
      <c r="H26" s="640">
        <v>1093</v>
      </c>
      <c r="I26" s="637"/>
      <c r="J26" s="637"/>
      <c r="K26" s="657" t="s">
        <v>47</v>
      </c>
      <c r="L26" s="216"/>
      <c r="M26" s="659" t="s">
        <v>53</v>
      </c>
    </row>
    <row r="27" ht="27.6" spans="2:13">
      <c r="B27" s="637" t="s">
        <v>54</v>
      </c>
      <c r="C27" s="638">
        <v>1021</v>
      </c>
      <c r="D27" s="639" t="s">
        <v>45</v>
      </c>
      <c r="E27" s="639" t="s">
        <v>45</v>
      </c>
      <c r="F27" s="639" t="s">
        <v>45</v>
      </c>
      <c r="G27" s="640">
        <v>1071</v>
      </c>
      <c r="H27" s="637"/>
      <c r="I27" s="637"/>
      <c r="J27" s="655" t="s">
        <v>55</v>
      </c>
      <c r="K27" s="657" t="s">
        <v>56</v>
      </c>
      <c r="L27" s="216"/>
      <c r="M27" s="660" t="s">
        <v>57</v>
      </c>
    </row>
    <row r="28" ht="15.6" spans="2:13">
      <c r="B28" s="637" t="s">
        <v>58</v>
      </c>
      <c r="C28" s="638">
        <v>1022</v>
      </c>
      <c r="D28" s="639" t="s">
        <v>45</v>
      </c>
      <c r="E28" s="638">
        <v>1046</v>
      </c>
      <c r="F28" s="638">
        <v>1046</v>
      </c>
      <c r="G28" s="638">
        <v>1082</v>
      </c>
      <c r="H28" s="640">
        <v>1094</v>
      </c>
      <c r="I28" s="637"/>
      <c r="J28" s="637"/>
      <c r="K28" s="657" t="s">
        <v>50</v>
      </c>
      <c r="L28" s="216"/>
      <c r="M28" s="661" t="s">
        <v>45</v>
      </c>
    </row>
    <row r="29" ht="15.6" spans="2:13">
      <c r="B29" s="637" t="s">
        <v>59</v>
      </c>
      <c r="C29" s="638">
        <v>1023</v>
      </c>
      <c r="D29" s="638" t="s">
        <v>45</v>
      </c>
      <c r="E29" s="638">
        <v>1047</v>
      </c>
      <c r="F29" s="638">
        <v>1047</v>
      </c>
      <c r="G29" s="638">
        <v>1081</v>
      </c>
      <c r="H29" s="637"/>
      <c r="I29" s="637"/>
      <c r="J29" s="637"/>
      <c r="K29" s="657" t="s">
        <v>50</v>
      </c>
      <c r="L29" s="216"/>
      <c r="M29" s="216"/>
    </row>
    <row r="30" ht="27.6" spans="2:13">
      <c r="B30" s="641" t="s">
        <v>60</v>
      </c>
      <c r="C30" s="642">
        <v>1024</v>
      </c>
      <c r="D30" s="643" t="s">
        <v>45</v>
      </c>
      <c r="E30" s="644">
        <v>1083</v>
      </c>
      <c r="F30" s="644">
        <v>1083</v>
      </c>
      <c r="G30" s="644">
        <v>1083</v>
      </c>
      <c r="H30" s="644">
        <v>1095</v>
      </c>
      <c r="I30" s="641"/>
      <c r="J30" s="662" t="s">
        <v>61</v>
      </c>
      <c r="K30" s="663" t="s">
        <v>62</v>
      </c>
      <c r="L30" s="216"/>
      <c r="M30" s="216"/>
    </row>
    <row r="31" spans="11:13">
      <c r="K31" s="664"/>
      <c r="L31" s="216"/>
      <c r="M31" s="216"/>
    </row>
    <row r="32" ht="27.6" spans="2:2">
      <c r="B32" s="645" t="s">
        <v>63</v>
      </c>
    </row>
    <row r="33" ht="93" customHeight="1" spans="2:12">
      <c r="B33" s="646" t="s">
        <v>34</v>
      </c>
      <c r="C33" s="646" t="s">
        <v>64</v>
      </c>
      <c r="D33" s="646" t="s">
        <v>65</v>
      </c>
      <c r="E33" s="646" t="s">
        <v>66</v>
      </c>
      <c r="F33" s="646" t="s">
        <v>67</v>
      </c>
      <c r="G33" s="646" t="s">
        <v>68</v>
      </c>
      <c r="H33" s="646" t="s">
        <v>69</v>
      </c>
      <c r="I33" s="646" t="s">
        <v>70</v>
      </c>
      <c r="J33" s="646" t="s">
        <v>71</v>
      </c>
      <c r="K33" s="646" t="s">
        <v>72</v>
      </c>
      <c r="L33" s="646" t="s">
        <v>73</v>
      </c>
    </row>
    <row r="34" ht="30" spans="2:12">
      <c r="B34" s="647" t="s">
        <v>44</v>
      </c>
      <c r="C34" s="648" t="s">
        <v>74</v>
      </c>
      <c r="D34" s="649" t="s">
        <v>75</v>
      </c>
      <c r="E34" s="649" t="s">
        <v>76</v>
      </c>
      <c r="F34" s="648" t="s">
        <v>74</v>
      </c>
      <c r="G34" s="648" t="s">
        <v>77</v>
      </c>
      <c r="H34" s="648" t="s">
        <v>78</v>
      </c>
      <c r="I34" s="665" t="s">
        <v>79</v>
      </c>
      <c r="J34" s="648" t="s">
        <v>80</v>
      </c>
      <c r="K34" s="648" t="s">
        <v>81</v>
      </c>
      <c r="L34" s="648">
        <v>2</v>
      </c>
    </row>
    <row r="35" ht="30" spans="2:12">
      <c r="B35" s="647" t="s">
        <v>48</v>
      </c>
      <c r="C35" s="648" t="s">
        <v>74</v>
      </c>
      <c r="D35" s="649" t="s">
        <v>82</v>
      </c>
      <c r="E35" s="649" t="s">
        <v>76</v>
      </c>
      <c r="F35" s="648" t="s">
        <v>74</v>
      </c>
      <c r="G35" s="648" t="s">
        <v>77</v>
      </c>
      <c r="H35" s="648" t="s">
        <v>77</v>
      </c>
      <c r="I35" s="665" t="s">
        <v>79</v>
      </c>
      <c r="J35" s="648" t="s">
        <v>80</v>
      </c>
      <c r="K35" s="648" t="s">
        <v>81</v>
      </c>
      <c r="L35" s="648">
        <v>2</v>
      </c>
    </row>
    <row r="36" ht="15.6" spans="2:12">
      <c r="B36" s="647" t="s">
        <v>52</v>
      </c>
      <c r="C36" s="648" t="s">
        <v>74</v>
      </c>
      <c r="D36" s="648" t="s">
        <v>74</v>
      </c>
      <c r="E36" s="648" t="s">
        <v>74</v>
      </c>
      <c r="F36" s="648" t="s">
        <v>74</v>
      </c>
      <c r="G36" s="648" t="s">
        <v>77</v>
      </c>
      <c r="H36" s="648" t="s">
        <v>77</v>
      </c>
      <c r="I36" s="665"/>
      <c r="J36" s="648" t="s">
        <v>80</v>
      </c>
      <c r="K36" s="648" t="s">
        <v>81</v>
      </c>
      <c r="L36" s="648">
        <v>2</v>
      </c>
    </row>
    <row r="37" ht="30" spans="2:12">
      <c r="B37" s="647" t="s">
        <v>54</v>
      </c>
      <c r="C37" s="648" t="s">
        <v>74</v>
      </c>
      <c r="D37" s="649" t="s">
        <v>75</v>
      </c>
      <c r="E37" s="649" t="s">
        <v>76</v>
      </c>
      <c r="F37" s="648"/>
      <c r="G37" s="648" t="s">
        <v>77</v>
      </c>
      <c r="H37" s="648" t="s">
        <v>77</v>
      </c>
      <c r="I37" s="665" t="s">
        <v>79</v>
      </c>
      <c r="J37" s="648" t="s">
        <v>80</v>
      </c>
      <c r="K37" s="648" t="s">
        <v>81</v>
      </c>
      <c r="L37" s="648">
        <v>2</v>
      </c>
    </row>
    <row r="38" ht="30" spans="2:12">
      <c r="B38" s="647" t="s">
        <v>58</v>
      </c>
      <c r="C38" s="648" t="s">
        <v>74</v>
      </c>
      <c r="D38" s="648" t="s">
        <v>74</v>
      </c>
      <c r="E38" s="649" t="s">
        <v>76</v>
      </c>
      <c r="F38" s="648"/>
      <c r="G38" s="648" t="s">
        <v>77</v>
      </c>
      <c r="H38" s="648" t="s">
        <v>77</v>
      </c>
      <c r="I38" s="665" t="s">
        <v>79</v>
      </c>
      <c r="J38" s="648" t="s">
        <v>80</v>
      </c>
      <c r="K38" s="648" t="s">
        <v>81</v>
      </c>
      <c r="L38" s="648">
        <v>2</v>
      </c>
    </row>
    <row r="39" ht="30" spans="2:12">
      <c r="B39" s="647" t="s">
        <v>59</v>
      </c>
      <c r="C39" s="649" t="s">
        <v>75</v>
      </c>
      <c r="D39" s="649" t="s">
        <v>75</v>
      </c>
      <c r="E39" s="649" t="s">
        <v>76</v>
      </c>
      <c r="F39" s="648"/>
      <c r="G39" s="648" t="s">
        <v>77</v>
      </c>
      <c r="H39" s="648" t="s">
        <v>77</v>
      </c>
      <c r="I39" s="665" t="s">
        <v>79</v>
      </c>
      <c r="J39" s="648" t="s">
        <v>80</v>
      </c>
      <c r="K39" s="648" t="s">
        <v>81</v>
      </c>
      <c r="L39" s="648">
        <v>0</v>
      </c>
    </row>
    <row r="40" ht="30" spans="2:12">
      <c r="B40" s="647" t="s">
        <v>60</v>
      </c>
      <c r="C40" s="649" t="s">
        <v>75</v>
      </c>
      <c r="D40" s="649" t="s">
        <v>75</v>
      </c>
      <c r="E40" s="649" t="s">
        <v>75</v>
      </c>
      <c r="F40" s="648"/>
      <c r="G40" s="648" t="s">
        <v>77</v>
      </c>
      <c r="H40" s="648" t="s">
        <v>77</v>
      </c>
      <c r="I40" s="665" t="s">
        <v>79</v>
      </c>
      <c r="J40" s="648" t="s">
        <v>80</v>
      </c>
      <c r="K40" s="648" t="s">
        <v>81</v>
      </c>
      <c r="L40" s="648">
        <v>0</v>
      </c>
    </row>
    <row r="41" ht="25.05" customHeight="1" spans="2:12">
      <c r="B41" s="650" t="b">
        <v>0</v>
      </c>
      <c r="C41" s="134" t="b">
        <v>0</v>
      </c>
      <c r="D41" s="134" t="b">
        <v>0</v>
      </c>
      <c r="E41" s="134" t="b">
        <v>0</v>
      </c>
      <c r="F41" s="134" t="b">
        <v>0</v>
      </c>
      <c r="G41" s="134" t="b">
        <v>0</v>
      </c>
      <c r="H41" s="134" t="b">
        <v>0</v>
      </c>
      <c r="I41" s="134" t="b">
        <v>0</v>
      </c>
      <c r="J41" s="134" t="b">
        <v>0</v>
      </c>
      <c r="K41" s="134" t="b">
        <v>0</v>
      </c>
      <c r="L41" s="134" t="b">
        <v>0</v>
      </c>
    </row>
    <row r="42" ht="13.95" customHeight="1" spans="2:2">
      <c r="B42" s="651"/>
    </row>
    <row r="43" ht="13.95" customHeight="1" spans="2:2">
      <c r="B43" s="651"/>
    </row>
    <row r="44" ht="13.95" customHeight="1" spans="2:2">
      <c r="B44" s="651"/>
    </row>
    <row r="45" ht="13.95" customHeight="1" spans="2:2">
      <c r="B45" s="651"/>
    </row>
    <row r="46" ht="13.95" customHeight="1" spans="2:2">
      <c r="B46" s="651"/>
    </row>
    <row r="47" ht="13.95" customHeight="1" spans="2:2">
      <c r="B47" s="651"/>
    </row>
    <row r="48" ht="13.95" customHeight="1" spans="2:2">
      <c r="B48" s="651"/>
    </row>
    <row r="49" ht="13.95" customHeight="1" spans="2:2">
      <c r="B49" s="651"/>
    </row>
    <row r="50" ht="13.95" customHeight="1" spans="2:2">
      <c r="B50" s="651"/>
    </row>
    <row r="51" ht="13.95" customHeight="1" spans="2:2">
      <c r="B51" s="651"/>
    </row>
    <row r="52" ht="13.95" customHeight="1" spans="2:2">
      <c r="B52" s="651"/>
    </row>
    <row r="53" ht="13.95" customHeight="1" spans="2:2">
      <c r="B53" s="651"/>
    </row>
    <row r="54" ht="13.95" customHeight="1" spans="2:2">
      <c r="B54" s="651"/>
    </row>
    <row r="55" ht="13.95" customHeight="1" spans="2:2">
      <c r="B55" s="651"/>
    </row>
    <row r="56" ht="13.95" customHeight="1" spans="2:2">
      <c r="B56" s="651"/>
    </row>
    <row r="57" ht="13.95" customHeight="1" spans="2:2">
      <c r="B57" s="651"/>
    </row>
    <row r="58" ht="13.95" customHeight="1" spans="2:2">
      <c r="B58" s="651"/>
    </row>
    <row r="59" ht="13.95" customHeight="1" spans="2:2">
      <c r="B59" s="651"/>
    </row>
    <row r="60" ht="13.95" customHeight="1" spans="2:2">
      <c r="B60" s="651"/>
    </row>
    <row r="61" ht="13.95" customHeight="1" spans="2:2">
      <c r="B61" s="651"/>
    </row>
    <row r="62" ht="13.95" customHeight="1" spans="2:2">
      <c r="B62" s="651"/>
    </row>
    <row r="63" ht="13.95" customHeight="1" spans="2:2">
      <c r="B63" s="651"/>
    </row>
    <row r="64" ht="13.95" customHeight="1" spans="2:2">
      <c r="B64" s="651"/>
    </row>
    <row r="65" ht="13.95" customHeight="1" spans="2:2">
      <c r="B65" s="651"/>
    </row>
    <row r="66" ht="13.95" customHeight="1" spans="2:2">
      <c r="B66" s="651"/>
    </row>
    <row r="67" ht="13.95" customHeight="1" spans="2:2">
      <c r="B67" s="651"/>
    </row>
    <row r="68" ht="13.95" customHeight="1" spans="2:2">
      <c r="B68" s="651"/>
    </row>
    <row r="69" ht="13.95" customHeight="1" spans="2:2">
      <c r="B69" s="651"/>
    </row>
    <row r="70" ht="13.95" customHeight="1" spans="2:2">
      <c r="B70" s="651"/>
    </row>
    <row r="71" ht="13.95" customHeight="1" spans="2:2">
      <c r="B71" s="651"/>
    </row>
    <row r="72" ht="16.8" spans="2:2">
      <c r="B72" s="666"/>
    </row>
    <row r="73" ht="16.8" spans="2:2">
      <c r="B73" s="666"/>
    </row>
    <row r="74" ht="16.8" spans="2:2">
      <c r="B74" s="666"/>
    </row>
    <row r="75" ht="16.8" spans="2:2">
      <c r="B75" s="666"/>
    </row>
    <row r="76" ht="16.8" spans="2:2">
      <c r="B76" s="666"/>
    </row>
    <row r="77" ht="16.8" spans="2:2">
      <c r="B77" s="666"/>
    </row>
    <row r="78" ht="16.8" spans="2:2">
      <c r="B78" s="666"/>
    </row>
    <row r="79" ht="16.8" spans="2:2">
      <c r="B79" s="666"/>
    </row>
    <row r="80" ht="16.8" spans="2:2">
      <c r="B80" s="666"/>
    </row>
    <row r="85" ht="16.8" spans="2:2">
      <c r="B85" s="666"/>
    </row>
  </sheetData>
  <mergeCells count="1">
    <mergeCell ref="F18:I1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24"/>
  <sheetViews>
    <sheetView zoomScale="70" zoomScaleNormal="70" topLeftCell="A5" workbookViewId="0">
      <selection activeCell="L2" sqref="L2"/>
    </sheetView>
  </sheetViews>
  <sheetFormatPr defaultColWidth="10.8" defaultRowHeight="15"/>
  <cols>
    <col min="1" max="1" width="10.8" style="565"/>
    <col min="2" max="2" width="34" style="565" customWidth="1"/>
    <col min="3" max="3" width="19.3" style="565" customWidth="1"/>
    <col min="4" max="4" width="22.5" style="565" customWidth="1"/>
    <col min="5" max="5" width="27.8" style="565" customWidth="1"/>
    <col min="6" max="6" width="30.3" style="565" customWidth="1"/>
    <col min="7" max="7" width="25.7" style="565" customWidth="1"/>
    <col min="8" max="8" width="28" style="565" customWidth="1"/>
    <col min="9" max="9" width="37.8" style="565" customWidth="1"/>
    <col min="10" max="10" width="16.3" style="565" customWidth="1"/>
    <col min="11" max="11" width="21.5" style="565" customWidth="1"/>
    <col min="12" max="12" width="16.3" style="565" customWidth="1"/>
    <col min="13" max="13" width="35.2" style="565" customWidth="1"/>
    <col min="14" max="14" width="8.8" style="565" customWidth="1"/>
    <col min="15" max="15" width="19" style="565" customWidth="1"/>
    <col min="16" max="16384" width="10.8" style="565"/>
  </cols>
  <sheetData>
    <row r="1" ht="48" customHeight="1" spans="1:15">
      <c r="A1" s="566" t="s">
        <v>83</v>
      </c>
      <c r="B1" s="566" t="s">
        <v>84</v>
      </c>
      <c r="C1" s="567" t="s">
        <v>85</v>
      </c>
      <c r="D1" s="568" t="s">
        <v>86</v>
      </c>
      <c r="E1" s="567" t="s">
        <v>87</v>
      </c>
      <c r="F1" s="567" t="s">
        <v>88</v>
      </c>
      <c r="G1" s="567" t="s">
        <v>89</v>
      </c>
      <c r="H1" s="567" t="s">
        <v>90</v>
      </c>
      <c r="I1" s="567" t="s">
        <v>91</v>
      </c>
      <c r="J1" s="567" t="s">
        <v>92</v>
      </c>
      <c r="K1" s="614" t="s">
        <v>93</v>
      </c>
      <c r="L1" s="614" t="s">
        <v>94</v>
      </c>
      <c r="M1" s="615" t="s">
        <v>95</v>
      </c>
      <c r="N1" s="615" t="s">
        <v>96</v>
      </c>
      <c r="O1" s="615" t="s">
        <v>97</v>
      </c>
    </row>
    <row r="2" ht="26.4" spans="1:15">
      <c r="A2" s="569" t="s">
        <v>44</v>
      </c>
      <c r="B2" s="569" t="s">
        <v>98</v>
      </c>
      <c r="C2" s="570" t="s">
        <v>99</v>
      </c>
      <c r="D2" s="570" t="s">
        <v>100</v>
      </c>
      <c r="E2" s="565" t="s">
        <v>101</v>
      </c>
      <c r="F2" s="571" t="s">
        <v>102</v>
      </c>
      <c r="G2" s="572" t="s">
        <v>103</v>
      </c>
      <c r="H2" s="573" t="s">
        <v>104</v>
      </c>
      <c r="I2" s="616"/>
      <c r="J2" s="617" t="s">
        <v>105</v>
      </c>
      <c r="K2" s="616"/>
      <c r="L2" s="616"/>
      <c r="M2" s="618" t="s">
        <v>106</v>
      </c>
      <c r="N2" s="618" t="s">
        <v>107</v>
      </c>
      <c r="O2" s="618" t="s">
        <v>108</v>
      </c>
    </row>
    <row r="3" spans="1:15">
      <c r="A3" s="574"/>
      <c r="B3" s="574" t="s">
        <v>109</v>
      </c>
      <c r="C3" s="575"/>
      <c r="D3" s="575"/>
      <c r="E3" s="576" t="s">
        <v>110</v>
      </c>
      <c r="F3" s="577" t="s">
        <v>111</v>
      </c>
      <c r="G3" s="578"/>
      <c r="H3" s="579"/>
      <c r="I3" s="578"/>
      <c r="J3" s="619"/>
      <c r="K3" s="578"/>
      <c r="L3" s="578">
        <v>24</v>
      </c>
      <c r="M3" s="620"/>
      <c r="N3" s="620"/>
      <c r="O3" s="620"/>
    </row>
    <row r="4" ht="26.4" spans="1:15">
      <c r="A4" s="569" t="s">
        <v>48</v>
      </c>
      <c r="B4" s="569" t="s">
        <v>112</v>
      </c>
      <c r="C4" s="580" t="s">
        <v>113</v>
      </c>
      <c r="D4" s="580" t="s">
        <v>114</v>
      </c>
      <c r="E4" s="565" t="s">
        <v>115</v>
      </c>
      <c r="F4" s="581" t="s">
        <v>116</v>
      </c>
      <c r="G4" s="582" t="s">
        <v>103</v>
      </c>
      <c r="H4" s="583" t="s">
        <v>117</v>
      </c>
      <c r="I4" s="585"/>
      <c r="J4" s="617" t="s">
        <v>105</v>
      </c>
      <c r="K4" s="585"/>
      <c r="L4" s="585"/>
      <c r="M4" s="621" t="s">
        <v>118</v>
      </c>
      <c r="N4" s="621">
        <v>633000</v>
      </c>
      <c r="O4" s="621" t="s">
        <v>119</v>
      </c>
    </row>
    <row r="5" spans="1:15">
      <c r="A5" s="584"/>
      <c r="B5" s="584" t="s">
        <v>120</v>
      </c>
      <c r="C5" s="580"/>
      <c r="D5" s="580"/>
      <c r="F5" s="585"/>
      <c r="G5" s="585"/>
      <c r="H5" s="579"/>
      <c r="I5" s="578"/>
      <c r="J5" s="619"/>
      <c r="K5" s="578"/>
      <c r="L5" s="578">
        <v>21</v>
      </c>
      <c r="M5" s="620"/>
      <c r="N5" s="620"/>
      <c r="O5" s="620"/>
    </row>
    <row r="6" ht="26.4" spans="1:15">
      <c r="A6" s="586" t="s">
        <v>52</v>
      </c>
      <c r="B6" s="586" t="s">
        <v>121</v>
      </c>
      <c r="C6" s="587" t="s">
        <v>122</v>
      </c>
      <c r="D6" s="587" t="s">
        <v>123</v>
      </c>
      <c r="E6" s="588" t="s">
        <v>124</v>
      </c>
      <c r="F6" s="581" t="s">
        <v>125</v>
      </c>
      <c r="G6" s="589" t="s">
        <v>103</v>
      </c>
      <c r="H6" s="583" t="s">
        <v>126</v>
      </c>
      <c r="I6" s="585"/>
      <c r="J6" s="617" t="s">
        <v>105</v>
      </c>
      <c r="K6" s="585"/>
      <c r="L6" s="585"/>
      <c r="M6" s="621" t="s">
        <v>127</v>
      </c>
      <c r="N6" s="621" t="s">
        <v>128</v>
      </c>
      <c r="O6" s="621" t="s">
        <v>129</v>
      </c>
    </row>
    <row r="7" spans="1:15">
      <c r="A7" s="590"/>
      <c r="B7" s="590" t="s">
        <v>130</v>
      </c>
      <c r="C7" s="575"/>
      <c r="D7" s="575"/>
      <c r="E7" s="576"/>
      <c r="F7" s="578"/>
      <c r="G7" s="578"/>
      <c r="H7" s="579"/>
      <c r="I7" s="578"/>
      <c r="J7" s="619"/>
      <c r="K7" s="578"/>
      <c r="L7" s="578">
        <v>19</v>
      </c>
      <c r="M7" s="620"/>
      <c r="N7" s="620"/>
      <c r="O7" s="620"/>
    </row>
    <row r="8" spans="1:15">
      <c r="A8" s="591"/>
      <c r="B8" s="591"/>
      <c r="C8" s="592"/>
      <c r="D8" s="592"/>
      <c r="E8" s="593"/>
      <c r="F8" s="594"/>
      <c r="G8" s="595"/>
      <c r="H8" s="596"/>
      <c r="I8" s="595"/>
      <c r="J8" s="619"/>
      <c r="K8" s="578"/>
      <c r="L8" s="578"/>
      <c r="M8" s="620"/>
      <c r="N8" s="620"/>
      <c r="O8" s="620"/>
    </row>
    <row r="9" ht="26.4" spans="1:15">
      <c r="A9" s="586" t="s">
        <v>54</v>
      </c>
      <c r="B9" s="586" t="s">
        <v>131</v>
      </c>
      <c r="C9" s="587" t="s">
        <v>132</v>
      </c>
      <c r="D9" s="587" t="s">
        <v>133</v>
      </c>
      <c r="E9" s="588" t="s">
        <v>134</v>
      </c>
      <c r="F9" s="581" t="s">
        <v>135</v>
      </c>
      <c r="G9" s="582" t="s">
        <v>103</v>
      </c>
      <c r="H9" s="583" t="s">
        <v>136</v>
      </c>
      <c r="I9" s="585"/>
      <c r="J9" s="617" t="s">
        <v>105</v>
      </c>
      <c r="K9" s="585"/>
      <c r="L9" s="585"/>
      <c r="M9" s="621" t="s">
        <v>137</v>
      </c>
      <c r="N9" s="621" t="s">
        <v>138</v>
      </c>
      <c r="O9" s="621">
        <v>352588</v>
      </c>
    </row>
    <row r="10" spans="1:15">
      <c r="A10" s="590"/>
      <c r="B10" s="590" t="s">
        <v>139</v>
      </c>
      <c r="C10" s="575"/>
      <c r="D10" s="575"/>
      <c r="E10" s="576"/>
      <c r="F10" s="578"/>
      <c r="G10" s="578"/>
      <c r="H10" s="579"/>
      <c r="I10" s="578"/>
      <c r="J10" s="619"/>
      <c r="K10" s="578"/>
      <c r="L10" s="578">
        <v>23</v>
      </c>
      <c r="M10" s="620"/>
      <c r="N10" s="620"/>
      <c r="O10" s="620"/>
    </row>
    <row r="11" ht="26.4" spans="1:15">
      <c r="A11" s="569" t="s">
        <v>58</v>
      </c>
      <c r="B11" s="569" t="s">
        <v>140</v>
      </c>
      <c r="C11" s="580" t="s">
        <v>141</v>
      </c>
      <c r="D11" s="580" t="s">
        <v>142</v>
      </c>
      <c r="E11" s="565" t="s">
        <v>143</v>
      </c>
      <c r="F11" s="581" t="s">
        <v>144</v>
      </c>
      <c r="G11" s="582" t="s">
        <v>103</v>
      </c>
      <c r="H11" s="583" t="s">
        <v>145</v>
      </c>
      <c r="I11" s="585"/>
      <c r="J11" s="617" t="s">
        <v>105</v>
      </c>
      <c r="K11" s="585"/>
      <c r="L11" s="585"/>
      <c r="M11" s="621" t="s">
        <v>146</v>
      </c>
      <c r="N11" s="621">
        <v>633000</v>
      </c>
      <c r="O11" s="621" t="s">
        <v>147</v>
      </c>
    </row>
    <row r="12" spans="1:15">
      <c r="A12" s="584"/>
      <c r="B12" s="584" t="s">
        <v>148</v>
      </c>
      <c r="C12" s="580"/>
      <c r="D12" s="580"/>
      <c r="F12" s="578"/>
      <c r="G12" s="585"/>
      <c r="H12" s="579"/>
      <c r="I12" s="578"/>
      <c r="J12" s="619"/>
      <c r="K12" s="578"/>
      <c r="L12" s="578">
        <v>22</v>
      </c>
      <c r="M12" s="620"/>
      <c r="N12" s="620"/>
      <c r="O12" s="620"/>
    </row>
    <row r="13" ht="15.6" spans="1:15">
      <c r="A13" s="597"/>
      <c r="B13" s="597"/>
      <c r="C13" s="597"/>
      <c r="D13" s="597"/>
      <c r="E13" s="598"/>
      <c r="F13" s="595"/>
      <c r="G13" s="599"/>
      <c r="H13" s="597"/>
      <c r="I13" s="595"/>
      <c r="J13" s="619"/>
      <c r="K13" s="578"/>
      <c r="L13" s="578"/>
      <c r="M13" s="620"/>
      <c r="N13" s="620"/>
      <c r="O13" s="620"/>
    </row>
    <row r="14" ht="31.95" customHeight="1" spans="1:15">
      <c r="A14" s="569" t="s">
        <v>59</v>
      </c>
      <c r="B14" s="569" t="s">
        <v>149</v>
      </c>
      <c r="C14" s="600" t="s">
        <v>150</v>
      </c>
      <c r="D14" s="580" t="s">
        <v>151</v>
      </c>
      <c r="E14" s="565" t="s">
        <v>152</v>
      </c>
      <c r="F14" s="601" t="s">
        <v>153</v>
      </c>
      <c r="G14" s="602" t="s">
        <v>103</v>
      </c>
      <c r="H14" s="583" t="s">
        <v>154</v>
      </c>
      <c r="I14" s="622" t="s">
        <v>105</v>
      </c>
      <c r="J14" s="617" t="s">
        <v>105</v>
      </c>
      <c r="K14" s="585"/>
      <c r="L14" s="585"/>
      <c r="M14" s="621" t="s">
        <v>155</v>
      </c>
      <c r="N14" s="621" t="s">
        <v>128</v>
      </c>
      <c r="O14" s="621" t="s">
        <v>156</v>
      </c>
    </row>
    <row r="15" spans="1:15">
      <c r="A15" s="584"/>
      <c r="B15" s="584" t="s">
        <v>157</v>
      </c>
      <c r="C15" s="600"/>
      <c r="D15" s="600"/>
      <c r="F15" s="603"/>
      <c r="G15" s="578"/>
      <c r="H15" s="579"/>
      <c r="I15" s="578"/>
      <c r="J15" s="619"/>
      <c r="K15" s="578"/>
      <c r="L15" s="578">
        <v>27</v>
      </c>
      <c r="M15" s="620"/>
      <c r="N15" s="620"/>
      <c r="O15" s="620"/>
    </row>
    <row r="16" ht="31.95" customHeight="1" spans="1:15">
      <c r="A16" s="586" t="s">
        <v>60</v>
      </c>
      <c r="B16" s="586" t="s">
        <v>158</v>
      </c>
      <c r="C16" s="604" t="s">
        <v>159</v>
      </c>
      <c r="D16" s="587" t="s">
        <v>160</v>
      </c>
      <c r="E16" s="588" t="s">
        <v>161</v>
      </c>
      <c r="F16" s="605" t="s">
        <v>162</v>
      </c>
      <c r="G16" s="582" t="s">
        <v>103</v>
      </c>
      <c r="H16" s="583" t="s">
        <v>163</v>
      </c>
      <c r="I16" s="622" t="s">
        <v>105</v>
      </c>
      <c r="J16" s="617" t="s">
        <v>105</v>
      </c>
      <c r="K16" s="585"/>
      <c r="L16" s="585"/>
      <c r="M16" s="621" t="s">
        <v>164</v>
      </c>
      <c r="N16" s="621" t="s">
        <v>165</v>
      </c>
      <c r="O16" s="621" t="s">
        <v>166</v>
      </c>
    </row>
    <row r="17" ht="15.6" spans="1:15">
      <c r="A17" s="584"/>
      <c r="B17" s="584" t="s">
        <v>130</v>
      </c>
      <c r="C17" s="600"/>
      <c r="D17" s="600"/>
      <c r="E17" s="565" t="s">
        <v>167</v>
      </c>
      <c r="F17" s="606" t="s">
        <v>168</v>
      </c>
      <c r="G17" s="607"/>
      <c r="H17" s="579"/>
      <c r="I17" s="578"/>
      <c r="J17" s="619"/>
      <c r="K17" s="578"/>
      <c r="L17" s="578">
        <v>19</v>
      </c>
      <c r="M17" s="620"/>
      <c r="N17" s="620"/>
      <c r="O17" s="620"/>
    </row>
    <row r="18" ht="31.95" customHeight="1" spans="1:15">
      <c r="A18" s="586"/>
      <c r="B18" s="586" t="s">
        <v>169</v>
      </c>
      <c r="C18" s="604" t="s">
        <v>170</v>
      </c>
      <c r="D18" s="587" t="s">
        <v>171</v>
      </c>
      <c r="E18" s="608" t="s">
        <v>172</v>
      </c>
      <c r="F18" s="609"/>
      <c r="G18" s="582" t="s">
        <v>103</v>
      </c>
      <c r="H18" s="583" t="s">
        <v>173</v>
      </c>
      <c r="I18" s="622" t="s">
        <v>105</v>
      </c>
      <c r="K18" s="622" t="s">
        <v>105</v>
      </c>
      <c r="L18" s="622"/>
      <c r="M18" s="623"/>
      <c r="N18" s="623"/>
      <c r="O18" s="623"/>
    </row>
    <row r="19" spans="1:15">
      <c r="A19" s="584"/>
      <c r="B19" s="584" t="s">
        <v>174</v>
      </c>
      <c r="C19" s="610"/>
      <c r="D19" s="610"/>
      <c r="E19" s="576"/>
      <c r="F19" s="578"/>
      <c r="G19" s="578"/>
      <c r="H19" s="579"/>
      <c r="I19" s="585"/>
      <c r="J19" s="619"/>
      <c r="K19" s="578"/>
      <c r="L19" s="578">
        <v>15</v>
      </c>
      <c r="M19" s="578"/>
      <c r="N19" s="578"/>
      <c r="O19" s="578"/>
    </row>
    <row r="20" ht="15.6" spans="1:11">
      <c r="A20" s="597"/>
      <c r="B20" s="597"/>
      <c r="C20" s="597"/>
      <c r="D20" s="597"/>
      <c r="E20" s="598"/>
      <c r="F20" s="595"/>
      <c r="G20" s="595"/>
      <c r="H20" s="597"/>
      <c r="I20" s="595"/>
      <c r="J20" s="619"/>
      <c r="K20" s="578"/>
    </row>
    <row r="21" ht="31.95" customHeight="1" spans="2:11">
      <c r="B21" s="569" t="s">
        <v>175</v>
      </c>
      <c r="C21" s="580" t="s">
        <v>176</v>
      </c>
      <c r="D21" s="580" t="s">
        <v>177</v>
      </c>
      <c r="E21" s="611" t="s">
        <v>172</v>
      </c>
      <c r="F21" s="585"/>
      <c r="G21" s="588" t="s">
        <v>178</v>
      </c>
      <c r="H21" s="583" t="s">
        <v>179</v>
      </c>
      <c r="I21" s="622" t="s">
        <v>105</v>
      </c>
      <c r="K21" s="622" t="s">
        <v>105</v>
      </c>
    </row>
    <row r="22" spans="2:12">
      <c r="B22" s="584" t="s">
        <v>180</v>
      </c>
      <c r="C22" s="580"/>
      <c r="D22" s="580"/>
      <c r="F22" s="585"/>
      <c r="G22" s="578"/>
      <c r="H22" s="579"/>
      <c r="I22" s="578"/>
      <c r="J22" s="576"/>
      <c r="K22" s="578"/>
      <c r="L22" s="565">
        <v>26</v>
      </c>
    </row>
    <row r="23" ht="31.95" customHeight="1" spans="2:11">
      <c r="B23" s="586" t="s">
        <v>181</v>
      </c>
      <c r="C23" s="587" t="s">
        <v>182</v>
      </c>
      <c r="D23" s="587" t="s">
        <v>183</v>
      </c>
      <c r="E23" s="588" t="s">
        <v>184</v>
      </c>
      <c r="F23" s="612" t="s">
        <v>185</v>
      </c>
      <c r="G23" s="609" t="s">
        <v>186</v>
      </c>
      <c r="H23" s="583" t="s">
        <v>187</v>
      </c>
      <c r="I23" s="622" t="s">
        <v>105</v>
      </c>
      <c r="K23" s="622" t="s">
        <v>105</v>
      </c>
    </row>
    <row r="24" ht="15.6" spans="2:12">
      <c r="B24" s="590" t="s">
        <v>188</v>
      </c>
      <c r="C24" s="575"/>
      <c r="D24" s="575"/>
      <c r="E24" s="576" t="s">
        <v>186</v>
      </c>
      <c r="F24" s="613" t="s">
        <v>189</v>
      </c>
      <c r="G24" s="578"/>
      <c r="H24" s="579"/>
      <c r="I24" s="578"/>
      <c r="J24" s="578"/>
      <c r="K24" s="578"/>
      <c r="L24" s="565">
        <v>20</v>
      </c>
    </row>
  </sheetData>
  <hyperlinks>
    <hyperlink ref="H2" r:id="rId2" display="wevcluster1a@gmail.com"/>
    <hyperlink ref="H4" r:id="rId3" display="wevcluster1b@gmail.com"/>
    <hyperlink ref="H6" r:id="rId4" display="wevcluster1c@gmail.com"/>
    <hyperlink ref="H9" r:id="rId5" display="wevcluster2a@gmail.com"/>
    <hyperlink ref="H11" r:id="rId6" display="wevcluster2b@gmail.com"/>
    <hyperlink ref="H14" r:id="rId7" display="wevcluster3a@gmail.com "/>
    <hyperlink ref="H16" r:id="rId8" display="wevcluster3b@gmail.com "/>
    <hyperlink ref="H18" r:id="rId9" display="wevcluster3c@gmail.com "/>
    <hyperlink ref="H21" r:id="rId10" display="wevcluster4a@gmail.com"/>
    <hyperlink ref="H23" r:id="rId11" display="wevcluster4b@gmail.com "/>
    <hyperlink ref="F2" r:id="rId12" display="froehlich.fp@gmail.com"/>
    <hyperlink ref="F3" r:id="rId13" display="lindyjdunlop@hotmail.com"/>
    <hyperlink ref="F23" r:id="rId14" display="carolinandmanuel@gmail.com"/>
    <hyperlink ref="F24" r:id="rId15" display="jenny@challen.com.au"/>
    <hyperlink ref="F16" r:id="rId16" display="jasonmchattan@gmail.com"/>
    <hyperlink ref="F17" r:id="rId17" display="timjcthomson@gmail.com"/>
    <hyperlink ref="F14" r:id="rId18" display="elaineclocherty@gmail.com"/>
    <hyperlink ref="F11" r:id="rId19" display="alisonaskew123@gmail.com "/>
    <hyperlink ref="F9" r:id="rId20" display="bouwe.hamersma@gmail.com "/>
    <hyperlink ref="F6" r:id="rId21" display="logs1@iinet.net.au"/>
    <hyperlink ref="F4" r:id="rId22" display="mail2paul07@gmail.com "/>
  </hyperlink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AD193"/>
  <sheetViews>
    <sheetView zoomScale="70" zoomScaleNormal="70" topLeftCell="A10" workbookViewId="0">
      <pane xSplit="1" topLeftCell="B1" activePane="topRight" state="frozen"/>
      <selection/>
      <selection pane="topRight" activeCell="L2" sqref="L2"/>
    </sheetView>
  </sheetViews>
  <sheetFormatPr defaultColWidth="10.8" defaultRowHeight="15.6"/>
  <cols>
    <col min="1" max="1" width="5.5" style="489" customWidth="1"/>
    <col min="2" max="2" width="10.8" style="490"/>
    <col min="3" max="3" width="14.5" style="490" customWidth="1"/>
    <col min="4" max="4" width="10.8" style="490"/>
    <col min="5" max="5" width="39.7" style="489" customWidth="1"/>
    <col min="6" max="6" width="29.8" style="489" customWidth="1"/>
    <col min="7" max="9" width="10.8" style="490"/>
    <col min="10" max="10" width="13" style="491" customWidth="1"/>
    <col min="11" max="11" width="13" style="492" customWidth="1"/>
    <col min="12" max="12" width="13" style="493" customWidth="1"/>
    <col min="13" max="13" width="10.8" style="490"/>
    <col min="14" max="14" width="10.8" style="494"/>
    <col min="15" max="19" width="10.8" style="488"/>
    <col min="20" max="20" width="17.8" style="495" customWidth="1"/>
    <col min="21" max="21" width="14.3" style="496" customWidth="1"/>
    <col min="22" max="22" width="29.7" style="497" customWidth="1"/>
    <col min="23" max="23" width="12" style="488" customWidth="1"/>
    <col min="24" max="24" width="11.8" style="498" customWidth="1"/>
    <col min="25" max="25" width="13.7" style="499" customWidth="1"/>
    <col min="26" max="27" width="10.8" style="488"/>
    <col min="28" max="28" width="29.2" style="488" customWidth="1"/>
    <col min="29" max="30" width="10.8" style="488"/>
    <col min="31" max="31" width="16.3" style="490" customWidth="1"/>
    <col min="32" max="16384" width="10.8" style="490"/>
  </cols>
  <sheetData>
    <row r="1" s="487" customFormat="1" ht="62.4" spans="1:26">
      <c r="A1" s="487" t="s">
        <v>190</v>
      </c>
      <c r="B1" s="487" t="s">
        <v>191</v>
      </c>
      <c r="C1" s="487" t="s">
        <v>192</v>
      </c>
      <c r="D1" s="487" t="s">
        <v>193</v>
      </c>
      <c r="E1" s="490" t="s">
        <v>194</v>
      </c>
      <c r="F1" s="487" t="s">
        <v>195</v>
      </c>
      <c r="G1" s="487" t="s">
        <v>196</v>
      </c>
      <c r="H1" s="487" t="s">
        <v>197</v>
      </c>
      <c r="I1" s="487" t="s">
        <v>198</v>
      </c>
      <c r="J1" s="487" t="s">
        <v>199</v>
      </c>
      <c r="K1" s="506" t="s">
        <v>200</v>
      </c>
      <c r="L1" s="507" t="s">
        <v>201</v>
      </c>
      <c r="M1" s="487" t="s">
        <v>202</v>
      </c>
      <c r="N1" s="507" t="s">
        <v>203</v>
      </c>
      <c r="O1" s="487" t="s">
        <v>204</v>
      </c>
      <c r="P1" s="487" t="s">
        <v>205</v>
      </c>
      <c r="Q1" s="487" t="s">
        <v>206</v>
      </c>
      <c r="R1" s="487" t="s">
        <v>207</v>
      </c>
      <c r="S1" s="487" t="s">
        <v>208</v>
      </c>
      <c r="T1" s="522" t="s">
        <v>209</v>
      </c>
      <c r="U1" s="522" t="s">
        <v>210</v>
      </c>
      <c r="V1" s="522" t="s">
        <v>211</v>
      </c>
      <c r="W1" s="487" t="s">
        <v>212</v>
      </c>
      <c r="X1" s="523" t="s">
        <v>213</v>
      </c>
      <c r="Y1" s="487" t="s">
        <v>214</v>
      </c>
      <c r="Z1" s="487" t="s">
        <v>215</v>
      </c>
    </row>
    <row r="2" s="488" customFormat="1" ht="17.4" spans="1:27">
      <c r="A2" s="409">
        <v>1</v>
      </c>
      <c r="B2" s="410" t="s">
        <v>44</v>
      </c>
      <c r="C2" s="414"/>
      <c r="D2" s="500" t="s">
        <v>216</v>
      </c>
      <c r="E2" s="490" t="s">
        <v>217</v>
      </c>
      <c r="F2" s="500" t="s">
        <v>218</v>
      </c>
      <c r="G2" s="490" t="s">
        <v>219</v>
      </c>
      <c r="H2" s="490" t="s">
        <v>220</v>
      </c>
      <c r="I2" s="490">
        <v>6286</v>
      </c>
      <c r="J2" s="508">
        <v>36</v>
      </c>
      <c r="K2" s="509">
        <v>0.036</v>
      </c>
      <c r="L2" s="493">
        <v>8.352</v>
      </c>
      <c r="M2" s="510"/>
      <c r="N2" s="488">
        <v>0</v>
      </c>
      <c r="P2" s="500" t="s">
        <v>221</v>
      </c>
      <c r="Q2" s="500" t="s">
        <v>222</v>
      </c>
      <c r="R2" s="524" t="s">
        <v>222</v>
      </c>
      <c r="S2" s="525" t="s">
        <v>223</v>
      </c>
      <c r="T2" s="488">
        <v>0</v>
      </c>
      <c r="U2" s="496">
        <v>0.72</v>
      </c>
      <c r="V2" s="488" t="s">
        <v>224</v>
      </c>
      <c r="W2" s="488" t="s">
        <v>225</v>
      </c>
      <c r="X2" s="526" t="s">
        <v>226</v>
      </c>
      <c r="Y2" s="499"/>
      <c r="Z2" s="488">
        <v>45292</v>
      </c>
      <c r="AA2" s="488" t="s">
        <v>227</v>
      </c>
    </row>
    <row r="3" s="488" customFormat="1" ht="17.4" spans="1:27">
      <c r="A3" s="409">
        <v>2</v>
      </c>
      <c r="B3" s="410" t="s">
        <v>44</v>
      </c>
      <c r="C3" s="414"/>
      <c r="D3" s="500" t="s">
        <v>216</v>
      </c>
      <c r="E3" s="490" t="s">
        <v>228</v>
      </c>
      <c r="F3" s="500" t="s">
        <v>229</v>
      </c>
      <c r="G3" s="490" t="s">
        <v>219</v>
      </c>
      <c r="H3" s="490" t="s">
        <v>220</v>
      </c>
      <c r="I3" s="490">
        <v>6286</v>
      </c>
      <c r="J3" s="508">
        <v>36</v>
      </c>
      <c r="K3" s="509">
        <v>0.036</v>
      </c>
      <c r="L3" s="493">
        <v>8.352</v>
      </c>
      <c r="M3" s="510"/>
      <c r="N3" s="494">
        <v>0</v>
      </c>
      <c r="P3" s="500" t="s">
        <v>221</v>
      </c>
      <c r="Q3" s="500" t="s">
        <v>222</v>
      </c>
      <c r="R3" s="524" t="s">
        <v>222</v>
      </c>
      <c r="S3" s="525" t="s">
        <v>223</v>
      </c>
      <c r="T3" s="488">
        <v>0</v>
      </c>
      <c r="U3" s="496">
        <v>0.72</v>
      </c>
      <c r="V3" s="488" t="s">
        <v>230</v>
      </c>
      <c r="X3" s="526" t="s">
        <v>231</v>
      </c>
      <c r="Y3" s="499"/>
      <c r="Z3" s="488">
        <v>45292</v>
      </c>
      <c r="AA3" s="488" t="s">
        <v>227</v>
      </c>
    </row>
    <row r="4" s="488" customFormat="1" ht="17.4" spans="1:27">
      <c r="A4" s="409">
        <v>3</v>
      </c>
      <c r="B4" s="410" t="s">
        <v>44</v>
      </c>
      <c r="C4" s="411">
        <v>50002872</v>
      </c>
      <c r="D4" s="500" t="s">
        <v>216</v>
      </c>
      <c r="E4" s="490" t="s">
        <v>232</v>
      </c>
      <c r="F4" s="500" t="s">
        <v>233</v>
      </c>
      <c r="G4" s="490" t="s">
        <v>219</v>
      </c>
      <c r="H4" s="490" t="s">
        <v>220</v>
      </c>
      <c r="I4" s="490">
        <v>6286</v>
      </c>
      <c r="J4" s="508">
        <v>37</v>
      </c>
      <c r="K4" s="509">
        <v>0.037</v>
      </c>
      <c r="L4" s="493">
        <v>8.584</v>
      </c>
      <c r="M4" s="510"/>
      <c r="N4" s="494">
        <v>0</v>
      </c>
      <c r="P4" s="500" t="s">
        <v>221</v>
      </c>
      <c r="Q4" s="500" t="s">
        <v>222</v>
      </c>
      <c r="R4" s="524" t="s">
        <v>222</v>
      </c>
      <c r="S4" s="525" t="s">
        <v>234</v>
      </c>
      <c r="T4" s="488">
        <v>0</v>
      </c>
      <c r="U4" s="496">
        <v>0.72</v>
      </c>
      <c r="V4" s="488" t="s">
        <v>235</v>
      </c>
      <c r="X4" s="526" t="s">
        <v>236</v>
      </c>
      <c r="Y4" s="499"/>
      <c r="Z4" s="488">
        <v>45292</v>
      </c>
      <c r="AA4" s="488" t="s">
        <v>227</v>
      </c>
    </row>
    <row r="5" s="488" customFormat="1" ht="17.4" spans="1:27">
      <c r="A5" s="409">
        <v>4</v>
      </c>
      <c r="B5" s="410" t="s">
        <v>44</v>
      </c>
      <c r="C5" s="411">
        <v>50002869</v>
      </c>
      <c r="D5" s="500" t="s">
        <v>216</v>
      </c>
      <c r="E5" s="490" t="s">
        <v>237</v>
      </c>
      <c r="F5" s="500" t="s">
        <v>238</v>
      </c>
      <c r="G5" s="490" t="s">
        <v>219</v>
      </c>
      <c r="H5" s="490" t="s">
        <v>220</v>
      </c>
      <c r="I5" s="490">
        <v>6286</v>
      </c>
      <c r="J5" s="508">
        <v>38</v>
      </c>
      <c r="K5" s="509">
        <v>0.038</v>
      </c>
      <c r="L5" s="493">
        <v>8.816</v>
      </c>
      <c r="M5" s="510" t="s">
        <v>239</v>
      </c>
      <c r="N5" s="494">
        <v>8.816</v>
      </c>
      <c r="O5" s="510">
        <v>6.64</v>
      </c>
      <c r="P5" s="500" t="s">
        <v>221</v>
      </c>
      <c r="Q5" s="500" t="s">
        <v>221</v>
      </c>
      <c r="R5" s="524" t="s">
        <v>221</v>
      </c>
      <c r="S5" s="525" t="s">
        <v>234</v>
      </c>
      <c r="T5" s="488">
        <v>4.7808</v>
      </c>
      <c r="U5" s="496">
        <v>0.72</v>
      </c>
      <c r="V5" s="488" t="s">
        <v>240</v>
      </c>
      <c r="W5" s="488" t="s">
        <v>241</v>
      </c>
      <c r="X5" s="526" t="s">
        <v>242</v>
      </c>
      <c r="Y5" s="499"/>
      <c r="Z5" s="488">
        <v>45292</v>
      </c>
      <c r="AA5" s="488" t="s">
        <v>227</v>
      </c>
    </row>
    <row r="6" s="488" customFormat="1" ht="17.4" spans="1:27">
      <c r="A6" s="409">
        <v>5</v>
      </c>
      <c r="B6" s="410" t="s">
        <v>44</v>
      </c>
      <c r="C6" s="411">
        <v>50002879</v>
      </c>
      <c r="D6" s="500" t="s">
        <v>216</v>
      </c>
      <c r="E6" s="490" t="s">
        <v>243</v>
      </c>
      <c r="F6" s="500" t="s">
        <v>244</v>
      </c>
      <c r="G6" s="490" t="s">
        <v>219</v>
      </c>
      <c r="H6" s="490" t="s">
        <v>220</v>
      </c>
      <c r="I6" s="490">
        <v>6286</v>
      </c>
      <c r="J6" s="508">
        <v>39</v>
      </c>
      <c r="K6" s="509">
        <v>0.039</v>
      </c>
      <c r="L6" s="493">
        <v>9.048</v>
      </c>
      <c r="M6" s="510" t="s">
        <v>239</v>
      </c>
      <c r="N6" s="494">
        <v>9.048</v>
      </c>
      <c r="O6" s="510">
        <v>6.4</v>
      </c>
      <c r="P6" s="500" t="s">
        <v>221</v>
      </c>
      <c r="Q6" s="500" t="s">
        <v>221</v>
      </c>
      <c r="R6" s="524" t="s">
        <v>221</v>
      </c>
      <c r="S6" s="525" t="s">
        <v>234</v>
      </c>
      <c r="T6" s="488">
        <v>4.608</v>
      </c>
      <c r="U6" s="496">
        <v>0.72</v>
      </c>
      <c r="V6" s="488" t="s">
        <v>245</v>
      </c>
      <c r="W6" s="488" t="s">
        <v>246</v>
      </c>
      <c r="X6" s="526" t="s">
        <v>247</v>
      </c>
      <c r="Y6" s="499"/>
      <c r="Z6" s="488">
        <v>45292</v>
      </c>
      <c r="AA6" s="488" t="s">
        <v>227</v>
      </c>
    </row>
    <row r="7" s="488" customFormat="1" ht="17.4" spans="1:27">
      <c r="A7" s="409">
        <v>6</v>
      </c>
      <c r="B7" s="410" t="s">
        <v>44</v>
      </c>
      <c r="C7" s="411">
        <v>50002865</v>
      </c>
      <c r="D7" s="500" t="s">
        <v>216</v>
      </c>
      <c r="E7" s="490" t="s">
        <v>248</v>
      </c>
      <c r="F7" s="500" t="s">
        <v>249</v>
      </c>
      <c r="G7" s="490" t="s">
        <v>219</v>
      </c>
      <c r="H7" s="490" t="s">
        <v>220</v>
      </c>
      <c r="I7" s="490">
        <v>6286</v>
      </c>
      <c r="J7" s="508">
        <v>39</v>
      </c>
      <c r="K7" s="509">
        <v>0.039</v>
      </c>
      <c r="L7" s="493">
        <v>9.048</v>
      </c>
      <c r="M7" s="510" t="s">
        <v>250</v>
      </c>
      <c r="N7" s="494">
        <v>9.048</v>
      </c>
      <c r="O7" s="510">
        <v>10.88</v>
      </c>
      <c r="P7" s="500" t="s">
        <v>221</v>
      </c>
      <c r="Q7" s="500" t="s">
        <v>221</v>
      </c>
      <c r="R7" s="524" t="s">
        <v>221</v>
      </c>
      <c r="S7" s="525" t="s">
        <v>234</v>
      </c>
      <c r="T7" s="488">
        <v>7.8336</v>
      </c>
      <c r="U7" s="496">
        <v>0.72</v>
      </c>
      <c r="V7" s="488" t="s">
        <v>251</v>
      </c>
      <c r="W7" s="488" t="s">
        <v>252</v>
      </c>
      <c r="X7" s="526" t="s">
        <v>253</v>
      </c>
      <c r="Y7" s="499"/>
      <c r="Z7" s="488">
        <v>45292</v>
      </c>
      <c r="AA7" s="488" t="s">
        <v>227</v>
      </c>
    </row>
    <row r="8" s="488" customFormat="1" ht="17.4" spans="1:27">
      <c r="A8" s="409">
        <v>7</v>
      </c>
      <c r="B8" s="410" t="s">
        <v>44</v>
      </c>
      <c r="C8" s="414"/>
      <c r="D8" s="500" t="s">
        <v>216</v>
      </c>
      <c r="E8" s="490" t="s">
        <v>254</v>
      </c>
      <c r="F8" s="500" t="s">
        <v>255</v>
      </c>
      <c r="G8" s="490" t="s">
        <v>219</v>
      </c>
      <c r="H8" s="490" t="s">
        <v>220</v>
      </c>
      <c r="I8" s="490">
        <v>6286</v>
      </c>
      <c r="J8" s="508">
        <v>37</v>
      </c>
      <c r="K8" s="509">
        <v>0.037</v>
      </c>
      <c r="L8" s="493">
        <v>8.584</v>
      </c>
      <c r="M8" s="510"/>
      <c r="N8" s="494">
        <v>0</v>
      </c>
      <c r="O8" s="510"/>
      <c r="P8" s="500" t="s">
        <v>221</v>
      </c>
      <c r="Q8" s="500" t="s">
        <v>222</v>
      </c>
      <c r="R8" s="524" t="s">
        <v>222</v>
      </c>
      <c r="S8" s="525" t="s">
        <v>234</v>
      </c>
      <c r="T8" s="488">
        <v>0</v>
      </c>
      <c r="U8" s="496">
        <v>0.72</v>
      </c>
      <c r="V8" s="488" t="s">
        <v>256</v>
      </c>
      <c r="X8" s="526" t="s">
        <v>257</v>
      </c>
      <c r="Y8" s="499"/>
      <c r="Z8" s="488">
        <v>45292</v>
      </c>
      <c r="AA8" s="488" t="s">
        <v>227</v>
      </c>
    </row>
    <row r="9" s="488" customFormat="1" ht="17.4" spans="1:27">
      <c r="A9" s="409">
        <v>8</v>
      </c>
      <c r="B9" s="410" t="s">
        <v>44</v>
      </c>
      <c r="C9" s="411">
        <v>50002846</v>
      </c>
      <c r="D9" s="500" t="s">
        <v>216</v>
      </c>
      <c r="E9" s="490" t="s">
        <v>258</v>
      </c>
      <c r="F9" s="500" t="s">
        <v>259</v>
      </c>
      <c r="G9" s="490" t="s">
        <v>219</v>
      </c>
      <c r="H9" s="490" t="s">
        <v>220</v>
      </c>
      <c r="I9" s="490">
        <v>6286</v>
      </c>
      <c r="J9" s="508">
        <v>36</v>
      </c>
      <c r="K9" s="509">
        <v>0.036</v>
      </c>
      <c r="L9" s="493">
        <v>8.352</v>
      </c>
      <c r="M9" s="510" t="s">
        <v>239</v>
      </c>
      <c r="N9" s="494">
        <v>8.352</v>
      </c>
      <c r="O9" s="510">
        <v>6.6</v>
      </c>
      <c r="P9" s="500" t="s">
        <v>221</v>
      </c>
      <c r="Q9" s="500" t="s">
        <v>221</v>
      </c>
      <c r="R9" s="524" t="s">
        <v>221</v>
      </c>
      <c r="S9" s="525" t="s">
        <v>234</v>
      </c>
      <c r="T9" s="488">
        <v>4.752</v>
      </c>
      <c r="U9" s="496">
        <v>0.72</v>
      </c>
      <c r="V9" s="488" t="s">
        <v>260</v>
      </c>
      <c r="W9" s="488" t="s">
        <v>261</v>
      </c>
      <c r="X9" s="526" t="s">
        <v>262</v>
      </c>
      <c r="Y9" s="499"/>
      <c r="Z9" s="488">
        <v>45292</v>
      </c>
      <c r="AA9" s="488" t="s">
        <v>227</v>
      </c>
    </row>
    <row r="10" s="488" customFormat="1" ht="17.4" spans="1:27">
      <c r="A10" s="409">
        <v>9</v>
      </c>
      <c r="B10" s="410" t="s">
        <v>44</v>
      </c>
      <c r="C10" s="414"/>
      <c r="D10" s="500" t="s">
        <v>216</v>
      </c>
      <c r="E10" s="490" t="s">
        <v>263</v>
      </c>
      <c r="F10" s="500" t="s">
        <v>264</v>
      </c>
      <c r="G10" s="490" t="s">
        <v>219</v>
      </c>
      <c r="H10" s="490" t="s">
        <v>220</v>
      </c>
      <c r="I10" s="490">
        <v>6286</v>
      </c>
      <c r="J10" s="508">
        <v>36</v>
      </c>
      <c r="K10" s="509">
        <v>0.036</v>
      </c>
      <c r="L10" s="493">
        <v>8.352</v>
      </c>
      <c r="M10" s="510"/>
      <c r="N10" s="494">
        <v>0</v>
      </c>
      <c r="O10" s="510"/>
      <c r="P10" s="500" t="s">
        <v>221</v>
      </c>
      <c r="Q10" s="500" t="s">
        <v>222</v>
      </c>
      <c r="R10" s="524" t="s">
        <v>222</v>
      </c>
      <c r="S10" s="525" t="s">
        <v>234</v>
      </c>
      <c r="T10" s="488">
        <v>0</v>
      </c>
      <c r="U10" s="496">
        <v>0.72</v>
      </c>
      <c r="V10" s="488" t="s">
        <v>265</v>
      </c>
      <c r="X10" s="526" t="s">
        <v>266</v>
      </c>
      <c r="Y10" s="499"/>
      <c r="Z10" s="488">
        <v>45292</v>
      </c>
      <c r="AA10" s="488" t="s">
        <v>227</v>
      </c>
    </row>
    <row r="11" s="488" customFormat="1" ht="17.4" spans="1:27">
      <c r="A11" s="409">
        <v>10</v>
      </c>
      <c r="B11" s="410" t="s">
        <v>44</v>
      </c>
      <c r="C11" s="414"/>
      <c r="D11" s="500" t="s">
        <v>267</v>
      </c>
      <c r="E11" s="490" t="s">
        <v>268</v>
      </c>
      <c r="F11" s="500" t="s">
        <v>269</v>
      </c>
      <c r="G11" s="490" t="s">
        <v>219</v>
      </c>
      <c r="H11" s="490" t="s">
        <v>220</v>
      </c>
      <c r="I11" s="490">
        <v>6286</v>
      </c>
      <c r="J11" s="508">
        <v>53</v>
      </c>
      <c r="K11" s="509">
        <v>0.053</v>
      </c>
      <c r="L11" s="493">
        <v>12.296</v>
      </c>
      <c r="M11" s="510" t="s">
        <v>239</v>
      </c>
      <c r="N11" s="494">
        <v>12.296</v>
      </c>
      <c r="O11" s="510">
        <v>6.4</v>
      </c>
      <c r="P11" s="500" t="s">
        <v>221</v>
      </c>
      <c r="Q11" s="500" t="s">
        <v>221</v>
      </c>
      <c r="R11" s="524" t="s">
        <v>221</v>
      </c>
      <c r="S11" s="525" t="s">
        <v>234</v>
      </c>
      <c r="T11" s="488">
        <v>4.608</v>
      </c>
      <c r="U11" s="496">
        <v>0.72</v>
      </c>
      <c r="V11" s="488" t="s">
        <v>270</v>
      </c>
      <c r="X11" s="526" t="s">
        <v>271</v>
      </c>
      <c r="Y11" s="499"/>
      <c r="Z11" s="488">
        <v>45292</v>
      </c>
      <c r="AA11" s="488" t="s">
        <v>227</v>
      </c>
    </row>
    <row r="12" s="488" customFormat="1" ht="17.4" spans="1:27">
      <c r="A12" s="409">
        <v>11</v>
      </c>
      <c r="B12" s="410" t="s">
        <v>44</v>
      </c>
      <c r="C12" s="411">
        <v>50002848</v>
      </c>
      <c r="D12" s="500" t="s">
        <v>267</v>
      </c>
      <c r="E12" s="490" t="s">
        <v>272</v>
      </c>
      <c r="F12" s="500" t="s">
        <v>273</v>
      </c>
      <c r="G12" s="490" t="s">
        <v>219</v>
      </c>
      <c r="H12" s="490" t="s">
        <v>220</v>
      </c>
      <c r="I12" s="490">
        <v>6286</v>
      </c>
      <c r="J12" s="508">
        <v>52</v>
      </c>
      <c r="K12" s="509">
        <v>0.052</v>
      </c>
      <c r="L12" s="493">
        <v>12.064</v>
      </c>
      <c r="M12" s="510" t="s">
        <v>239</v>
      </c>
      <c r="N12" s="494">
        <v>12.064</v>
      </c>
      <c r="O12" s="510">
        <v>6.4</v>
      </c>
      <c r="P12" s="500" t="s">
        <v>221</v>
      </c>
      <c r="Q12" s="500" t="s">
        <v>221</v>
      </c>
      <c r="R12" s="524" t="s">
        <v>221</v>
      </c>
      <c r="S12" s="525" t="s">
        <v>234</v>
      </c>
      <c r="T12" s="488">
        <v>4.608</v>
      </c>
      <c r="U12" s="496">
        <v>0.72</v>
      </c>
      <c r="V12" s="488" t="s">
        <v>274</v>
      </c>
      <c r="X12" s="526" t="s">
        <v>275</v>
      </c>
      <c r="Y12" s="499"/>
      <c r="Z12" s="488">
        <v>45292</v>
      </c>
      <c r="AA12" s="488" t="s">
        <v>227</v>
      </c>
    </row>
    <row r="13" s="488" customFormat="1" ht="17.4" spans="1:27">
      <c r="A13" s="409">
        <v>12</v>
      </c>
      <c r="B13" s="410" t="s">
        <v>44</v>
      </c>
      <c r="C13" s="414"/>
      <c r="D13" s="500" t="s">
        <v>267</v>
      </c>
      <c r="E13" s="490" t="s">
        <v>276</v>
      </c>
      <c r="F13" s="500" t="s">
        <v>277</v>
      </c>
      <c r="G13" s="490" t="s">
        <v>219</v>
      </c>
      <c r="H13" s="490" t="s">
        <v>220</v>
      </c>
      <c r="I13" s="490">
        <v>6286</v>
      </c>
      <c r="J13" s="508">
        <v>52</v>
      </c>
      <c r="K13" s="509">
        <v>0.052</v>
      </c>
      <c r="L13" s="493">
        <v>12.064</v>
      </c>
      <c r="M13" s="510"/>
      <c r="N13" s="494">
        <v>0</v>
      </c>
      <c r="O13" s="510"/>
      <c r="P13" s="500" t="s">
        <v>221</v>
      </c>
      <c r="Q13" s="500" t="s">
        <v>222</v>
      </c>
      <c r="R13" s="524" t="s">
        <v>222</v>
      </c>
      <c r="S13" s="525" t="s">
        <v>223</v>
      </c>
      <c r="T13" s="488">
        <v>0</v>
      </c>
      <c r="U13" s="496">
        <v>0.72</v>
      </c>
      <c r="V13" s="488" t="s">
        <v>278</v>
      </c>
      <c r="W13" s="488" t="s">
        <v>279</v>
      </c>
      <c r="X13" s="526" t="s">
        <v>280</v>
      </c>
      <c r="Y13" s="499"/>
      <c r="Z13" s="488">
        <v>45292</v>
      </c>
      <c r="AA13" s="488" t="s">
        <v>227</v>
      </c>
    </row>
    <row r="14" s="488" customFormat="1" ht="17.4" spans="1:27">
      <c r="A14" s="409">
        <v>13</v>
      </c>
      <c r="B14" s="410" t="s">
        <v>44</v>
      </c>
      <c r="C14" s="411">
        <v>50002739</v>
      </c>
      <c r="D14" s="500" t="s">
        <v>267</v>
      </c>
      <c r="E14" s="490" t="s">
        <v>281</v>
      </c>
      <c r="F14" s="500" t="s">
        <v>282</v>
      </c>
      <c r="G14" s="490" t="s">
        <v>219</v>
      </c>
      <c r="H14" s="490" t="s">
        <v>220</v>
      </c>
      <c r="I14" s="490">
        <v>6286</v>
      </c>
      <c r="J14" s="508">
        <v>52</v>
      </c>
      <c r="K14" s="509">
        <v>0.052</v>
      </c>
      <c r="L14" s="493">
        <v>12.064</v>
      </c>
      <c r="M14" s="510" t="s">
        <v>283</v>
      </c>
      <c r="N14" s="494">
        <v>12.064</v>
      </c>
      <c r="O14" s="510">
        <v>12.8</v>
      </c>
      <c r="P14" s="500" t="s">
        <v>221</v>
      </c>
      <c r="Q14" s="500" t="s">
        <v>221</v>
      </c>
      <c r="R14" s="524" t="s">
        <v>221</v>
      </c>
      <c r="S14" s="525" t="s">
        <v>234</v>
      </c>
      <c r="T14" s="488">
        <v>9.216</v>
      </c>
      <c r="U14" s="496">
        <v>0.72</v>
      </c>
      <c r="V14" s="488" t="s">
        <v>284</v>
      </c>
      <c r="W14" s="488" t="s">
        <v>285</v>
      </c>
      <c r="X14" s="526" t="s">
        <v>102</v>
      </c>
      <c r="Y14" s="499"/>
      <c r="Z14" s="488">
        <v>45292</v>
      </c>
      <c r="AA14" s="488" t="s">
        <v>227</v>
      </c>
    </row>
    <row r="15" s="488" customFormat="1" ht="17.4" spans="1:27">
      <c r="A15" s="409">
        <v>14</v>
      </c>
      <c r="B15" s="410" t="s">
        <v>44</v>
      </c>
      <c r="C15" s="414"/>
      <c r="D15" s="500" t="s">
        <v>267</v>
      </c>
      <c r="E15" s="490" t="s">
        <v>286</v>
      </c>
      <c r="F15" s="500" t="s">
        <v>287</v>
      </c>
      <c r="G15" s="490" t="s">
        <v>219</v>
      </c>
      <c r="H15" s="490" t="s">
        <v>220</v>
      </c>
      <c r="I15" s="490">
        <v>6286</v>
      </c>
      <c r="J15" s="508">
        <v>52</v>
      </c>
      <c r="K15" s="509">
        <v>0.052</v>
      </c>
      <c r="L15" s="493">
        <v>12.064</v>
      </c>
      <c r="M15" s="510" t="s">
        <v>283</v>
      </c>
      <c r="N15" s="494">
        <v>12.064</v>
      </c>
      <c r="O15" s="510">
        <v>13.2</v>
      </c>
      <c r="P15" s="500" t="s">
        <v>221</v>
      </c>
      <c r="Q15" s="500" t="s">
        <v>221</v>
      </c>
      <c r="R15" s="524" t="s">
        <v>222</v>
      </c>
      <c r="S15" s="525" t="s">
        <v>223</v>
      </c>
      <c r="T15" s="488">
        <v>9.504</v>
      </c>
      <c r="U15" s="496">
        <v>0.72</v>
      </c>
      <c r="V15" s="488" t="s">
        <v>288</v>
      </c>
      <c r="W15" s="488" t="s">
        <v>289</v>
      </c>
      <c r="X15" s="526" t="s">
        <v>290</v>
      </c>
      <c r="Y15" s="499"/>
      <c r="Z15" s="488">
        <v>45292</v>
      </c>
      <c r="AA15" s="488" t="s">
        <v>227</v>
      </c>
    </row>
    <row r="16" s="488" customFormat="1" ht="17.4" spans="1:27">
      <c r="A16" s="409">
        <v>15</v>
      </c>
      <c r="B16" s="410" t="s">
        <v>44</v>
      </c>
      <c r="C16" s="436"/>
      <c r="D16" s="500" t="s">
        <v>267</v>
      </c>
      <c r="E16" s="490" t="s">
        <v>291</v>
      </c>
      <c r="F16" s="500" t="s">
        <v>292</v>
      </c>
      <c r="G16" s="490" t="s">
        <v>219</v>
      </c>
      <c r="H16" s="490" t="s">
        <v>220</v>
      </c>
      <c r="I16" s="490">
        <v>6286</v>
      </c>
      <c r="J16" s="508">
        <v>53</v>
      </c>
      <c r="K16" s="509">
        <v>0.053</v>
      </c>
      <c r="L16" s="493">
        <v>12.296</v>
      </c>
      <c r="M16" s="510"/>
      <c r="N16" s="494">
        <v>0</v>
      </c>
      <c r="O16" s="510"/>
      <c r="P16" s="500" t="s">
        <v>221</v>
      </c>
      <c r="Q16" s="500" t="s">
        <v>222</v>
      </c>
      <c r="R16" s="524" t="s">
        <v>222</v>
      </c>
      <c r="S16" s="525" t="s">
        <v>223</v>
      </c>
      <c r="T16" s="488">
        <v>0</v>
      </c>
      <c r="U16" s="496">
        <v>0.72</v>
      </c>
      <c r="V16" s="488" t="s">
        <v>293</v>
      </c>
      <c r="W16" s="488" t="s">
        <v>294</v>
      </c>
      <c r="X16" s="526" t="s">
        <v>295</v>
      </c>
      <c r="Y16" s="499"/>
      <c r="Z16" s="488">
        <v>45292</v>
      </c>
      <c r="AA16" s="488" t="s">
        <v>227</v>
      </c>
    </row>
    <row r="17" s="488" customFormat="1" ht="17.4" spans="1:27">
      <c r="A17" s="409">
        <v>16</v>
      </c>
      <c r="B17" s="410" t="s">
        <v>44</v>
      </c>
      <c r="C17" s="411">
        <v>50002855</v>
      </c>
      <c r="D17" s="500" t="s">
        <v>267</v>
      </c>
      <c r="E17" s="490" t="s">
        <v>296</v>
      </c>
      <c r="F17" s="500" t="s">
        <v>297</v>
      </c>
      <c r="G17" s="490" t="s">
        <v>219</v>
      </c>
      <c r="H17" s="490" t="s">
        <v>220</v>
      </c>
      <c r="I17" s="490">
        <v>6286</v>
      </c>
      <c r="J17" s="508">
        <v>55</v>
      </c>
      <c r="K17" s="509">
        <v>0.055</v>
      </c>
      <c r="L17" s="493">
        <v>12.76</v>
      </c>
      <c r="M17" s="510" t="s">
        <v>239</v>
      </c>
      <c r="N17" s="494">
        <v>12.76</v>
      </c>
      <c r="O17" s="510">
        <v>6.6</v>
      </c>
      <c r="P17" s="500" t="s">
        <v>221</v>
      </c>
      <c r="Q17" s="500" t="s">
        <v>221</v>
      </c>
      <c r="R17" s="524" t="s">
        <v>221</v>
      </c>
      <c r="S17" s="525" t="s">
        <v>234</v>
      </c>
      <c r="T17" s="488">
        <v>4.752</v>
      </c>
      <c r="U17" s="496">
        <v>0.72</v>
      </c>
      <c r="V17" s="488" t="s">
        <v>298</v>
      </c>
      <c r="X17" s="526" t="s">
        <v>299</v>
      </c>
      <c r="Y17" s="499"/>
      <c r="Z17" s="488">
        <v>45292</v>
      </c>
      <c r="AA17" s="488" t="s">
        <v>227</v>
      </c>
    </row>
    <row r="18" s="488" customFormat="1" ht="17.4" spans="1:27">
      <c r="A18" s="409">
        <v>17</v>
      </c>
      <c r="B18" s="410" t="s">
        <v>44</v>
      </c>
      <c r="C18" s="411">
        <v>50002877</v>
      </c>
      <c r="D18" s="500" t="s">
        <v>267</v>
      </c>
      <c r="E18" s="490" t="s">
        <v>300</v>
      </c>
      <c r="F18" s="500" t="s">
        <v>301</v>
      </c>
      <c r="G18" s="490" t="s">
        <v>219</v>
      </c>
      <c r="H18" s="490" t="s">
        <v>220</v>
      </c>
      <c r="I18" s="490">
        <v>6286</v>
      </c>
      <c r="J18" s="508">
        <v>55</v>
      </c>
      <c r="K18" s="509">
        <v>0.055</v>
      </c>
      <c r="L18" s="493">
        <v>12.76</v>
      </c>
      <c r="M18" s="510" t="s">
        <v>250</v>
      </c>
      <c r="N18" s="494">
        <v>12.76</v>
      </c>
      <c r="O18" s="510">
        <v>10.9</v>
      </c>
      <c r="P18" s="500" t="s">
        <v>221</v>
      </c>
      <c r="Q18" s="500" t="s">
        <v>221</v>
      </c>
      <c r="R18" s="524" t="s">
        <v>221</v>
      </c>
      <c r="S18" s="525" t="s">
        <v>234</v>
      </c>
      <c r="T18" s="488">
        <v>7.848</v>
      </c>
      <c r="U18" s="496">
        <v>0.72</v>
      </c>
      <c r="V18" s="488" t="s">
        <v>302</v>
      </c>
      <c r="W18" s="488" t="s">
        <v>303</v>
      </c>
      <c r="X18" s="526" t="s">
        <v>304</v>
      </c>
      <c r="Y18" s="499"/>
      <c r="Z18" s="488">
        <v>45292</v>
      </c>
      <c r="AA18" s="488" t="s">
        <v>227</v>
      </c>
    </row>
    <row r="19" s="488" customFormat="1" ht="17.4" spans="1:27">
      <c r="A19" s="409">
        <v>18</v>
      </c>
      <c r="B19" s="410" t="s">
        <v>44</v>
      </c>
      <c r="C19" s="414"/>
      <c r="D19" s="500" t="s">
        <v>267</v>
      </c>
      <c r="E19" s="490" t="s">
        <v>305</v>
      </c>
      <c r="F19" s="500" t="s">
        <v>306</v>
      </c>
      <c r="G19" s="490" t="s">
        <v>219</v>
      </c>
      <c r="H19" s="490" t="s">
        <v>220</v>
      </c>
      <c r="I19" s="490">
        <v>6286</v>
      </c>
      <c r="J19" s="508">
        <v>55</v>
      </c>
      <c r="K19" s="509">
        <v>0.055</v>
      </c>
      <c r="L19" s="493">
        <v>12.76</v>
      </c>
      <c r="M19" s="510"/>
      <c r="N19" s="494">
        <v>0</v>
      </c>
      <c r="O19" s="510"/>
      <c r="P19" s="500"/>
      <c r="Q19" s="500" t="s">
        <v>222</v>
      </c>
      <c r="R19" s="524" t="s">
        <v>222</v>
      </c>
      <c r="S19" s="525" t="s">
        <v>307</v>
      </c>
      <c r="T19" s="488">
        <v>0</v>
      </c>
      <c r="U19" s="496">
        <v>0.72</v>
      </c>
      <c r="V19" s="488" t="s">
        <v>308</v>
      </c>
      <c r="X19" s="526" t="s">
        <v>309</v>
      </c>
      <c r="Y19" s="499"/>
      <c r="Z19" s="488">
        <v>45292</v>
      </c>
      <c r="AA19" s="488" t="s">
        <v>227</v>
      </c>
    </row>
    <row r="20" s="488" customFormat="1" ht="17.4" spans="1:27">
      <c r="A20" s="409">
        <v>19</v>
      </c>
      <c r="B20" s="410" t="s">
        <v>44</v>
      </c>
      <c r="C20" s="411">
        <v>50002864</v>
      </c>
      <c r="D20" s="500" t="s">
        <v>267</v>
      </c>
      <c r="E20" s="490" t="s">
        <v>110</v>
      </c>
      <c r="F20" s="500" t="s">
        <v>310</v>
      </c>
      <c r="G20" s="490" t="s">
        <v>219</v>
      </c>
      <c r="H20" s="490" t="s">
        <v>220</v>
      </c>
      <c r="I20" s="490">
        <v>6286</v>
      </c>
      <c r="J20" s="508">
        <v>55</v>
      </c>
      <c r="K20" s="509">
        <v>0.055</v>
      </c>
      <c r="L20" s="493">
        <v>12.76</v>
      </c>
      <c r="M20" s="510" t="s">
        <v>283</v>
      </c>
      <c r="N20" s="494">
        <v>12.76</v>
      </c>
      <c r="O20" s="510">
        <v>12.8</v>
      </c>
      <c r="P20" s="500" t="s">
        <v>221</v>
      </c>
      <c r="Q20" s="500" t="s">
        <v>221</v>
      </c>
      <c r="R20" s="524" t="s">
        <v>221</v>
      </c>
      <c r="S20" s="525" t="s">
        <v>234</v>
      </c>
      <c r="T20" s="488">
        <v>9.216</v>
      </c>
      <c r="U20" s="496">
        <v>0.72</v>
      </c>
      <c r="V20" s="488" t="s">
        <v>311</v>
      </c>
      <c r="X20" s="526" t="s">
        <v>111</v>
      </c>
      <c r="Y20" s="499"/>
      <c r="Z20" s="488">
        <v>45292</v>
      </c>
      <c r="AA20" s="488" t="s">
        <v>227</v>
      </c>
    </row>
    <row r="21" s="488" customFormat="1" ht="17.4" spans="1:27">
      <c r="A21" s="409">
        <v>20</v>
      </c>
      <c r="B21" s="410" t="s">
        <v>44</v>
      </c>
      <c r="C21" s="411">
        <v>50002710</v>
      </c>
      <c r="D21" s="500" t="s">
        <v>312</v>
      </c>
      <c r="E21" s="490" t="s">
        <v>313</v>
      </c>
      <c r="F21" s="500" t="s">
        <v>314</v>
      </c>
      <c r="G21" s="490" t="s">
        <v>219</v>
      </c>
      <c r="H21" s="490" t="s">
        <v>220</v>
      </c>
      <c r="I21" s="490">
        <v>6286</v>
      </c>
      <c r="J21" s="508">
        <v>26</v>
      </c>
      <c r="K21" s="509">
        <v>0.026</v>
      </c>
      <c r="L21" s="493">
        <v>6.032</v>
      </c>
      <c r="M21" s="510" t="s">
        <v>239</v>
      </c>
      <c r="N21" s="494">
        <v>6.032</v>
      </c>
      <c r="O21" s="510">
        <v>6.4</v>
      </c>
      <c r="P21" s="500" t="s">
        <v>221</v>
      </c>
      <c r="Q21" s="500" t="s">
        <v>221</v>
      </c>
      <c r="R21" s="524" t="s">
        <v>221</v>
      </c>
      <c r="S21" s="525" t="s">
        <v>234</v>
      </c>
      <c r="T21" s="488">
        <v>4.608</v>
      </c>
      <c r="U21" s="496">
        <v>0.72</v>
      </c>
      <c r="V21" s="488" t="s">
        <v>315</v>
      </c>
      <c r="X21" s="526" t="s">
        <v>316</v>
      </c>
      <c r="Y21" s="499"/>
      <c r="Z21" s="488">
        <v>45292</v>
      </c>
      <c r="AA21" s="488" t="s">
        <v>227</v>
      </c>
    </row>
    <row r="22" s="488" customFormat="1" ht="17.4" spans="1:27">
      <c r="A22" s="409">
        <v>21</v>
      </c>
      <c r="B22" s="410" t="s">
        <v>44</v>
      </c>
      <c r="C22" s="411">
        <v>50002719</v>
      </c>
      <c r="D22" s="500" t="s">
        <v>312</v>
      </c>
      <c r="E22" s="490" t="s">
        <v>317</v>
      </c>
      <c r="F22" s="500" t="s">
        <v>318</v>
      </c>
      <c r="G22" s="490" t="s">
        <v>219</v>
      </c>
      <c r="H22" s="490" t="s">
        <v>220</v>
      </c>
      <c r="I22" s="490">
        <v>6286</v>
      </c>
      <c r="J22" s="508">
        <v>26</v>
      </c>
      <c r="K22" s="509">
        <v>0.026</v>
      </c>
      <c r="L22" s="493">
        <v>6.032</v>
      </c>
      <c r="M22" s="510" t="s">
        <v>239</v>
      </c>
      <c r="N22" s="494">
        <v>6.032</v>
      </c>
      <c r="O22" s="510">
        <v>6.4</v>
      </c>
      <c r="P22" s="500" t="s">
        <v>221</v>
      </c>
      <c r="Q22" s="500" t="s">
        <v>221</v>
      </c>
      <c r="R22" s="524" t="s">
        <v>221</v>
      </c>
      <c r="S22" s="525" t="s">
        <v>234</v>
      </c>
      <c r="T22" s="488">
        <v>4.608</v>
      </c>
      <c r="U22" s="496">
        <v>0.72</v>
      </c>
      <c r="V22" s="488" t="s">
        <v>319</v>
      </c>
      <c r="X22" s="526" t="s">
        <v>320</v>
      </c>
      <c r="Y22" s="499"/>
      <c r="Z22" s="488">
        <v>45292</v>
      </c>
      <c r="AA22" s="488" t="s">
        <v>227</v>
      </c>
    </row>
    <row r="23" s="488" customFormat="1" ht="17.4" spans="1:27">
      <c r="A23" s="409">
        <v>22</v>
      </c>
      <c r="B23" s="410" t="s">
        <v>44</v>
      </c>
      <c r="C23" s="411">
        <v>50002876</v>
      </c>
      <c r="D23" s="500" t="s">
        <v>312</v>
      </c>
      <c r="E23" s="490" t="s">
        <v>321</v>
      </c>
      <c r="F23" s="500" t="s">
        <v>322</v>
      </c>
      <c r="G23" s="490" t="s">
        <v>219</v>
      </c>
      <c r="H23" s="490" t="s">
        <v>220</v>
      </c>
      <c r="I23" s="490">
        <v>6286</v>
      </c>
      <c r="J23" s="508">
        <v>26</v>
      </c>
      <c r="K23" s="509">
        <v>0.026</v>
      </c>
      <c r="L23" s="493">
        <v>6.032</v>
      </c>
      <c r="M23" s="510" t="s">
        <v>239</v>
      </c>
      <c r="N23" s="494">
        <v>6.032</v>
      </c>
      <c r="O23" s="510">
        <v>6.4</v>
      </c>
      <c r="P23" s="500" t="s">
        <v>221</v>
      </c>
      <c r="Q23" s="500" t="s">
        <v>221</v>
      </c>
      <c r="R23" s="524" t="s">
        <v>221</v>
      </c>
      <c r="S23" s="525" t="s">
        <v>234</v>
      </c>
      <c r="T23" s="488">
        <v>4.608</v>
      </c>
      <c r="U23" s="496">
        <v>0.72</v>
      </c>
      <c r="V23" s="488" t="s">
        <v>323</v>
      </c>
      <c r="W23" s="488" t="s">
        <v>324</v>
      </c>
      <c r="X23" s="526" t="s">
        <v>325</v>
      </c>
      <c r="Y23" s="499"/>
      <c r="Z23" s="488">
        <v>45292</v>
      </c>
      <c r="AA23" s="488" t="s">
        <v>227</v>
      </c>
    </row>
    <row r="24" s="488" customFormat="1" ht="17.4" spans="1:27">
      <c r="A24" s="409">
        <v>23</v>
      </c>
      <c r="B24" s="410" t="s">
        <v>44</v>
      </c>
      <c r="C24" s="411">
        <v>50002860</v>
      </c>
      <c r="D24" s="500" t="s">
        <v>312</v>
      </c>
      <c r="E24" s="490" t="s">
        <v>326</v>
      </c>
      <c r="F24" s="500" t="s">
        <v>327</v>
      </c>
      <c r="G24" s="490" t="s">
        <v>219</v>
      </c>
      <c r="H24" s="490" t="s">
        <v>220</v>
      </c>
      <c r="I24" s="490">
        <v>6286</v>
      </c>
      <c r="J24" s="508">
        <v>26</v>
      </c>
      <c r="K24" s="509">
        <v>0.026</v>
      </c>
      <c r="L24" s="493">
        <v>6.032</v>
      </c>
      <c r="M24" s="510" t="s">
        <v>239</v>
      </c>
      <c r="N24" s="494">
        <v>6.032</v>
      </c>
      <c r="O24" s="510">
        <v>6.4</v>
      </c>
      <c r="P24" s="500" t="s">
        <v>221</v>
      </c>
      <c r="Q24" s="500" t="s">
        <v>221</v>
      </c>
      <c r="R24" s="524" t="s">
        <v>221</v>
      </c>
      <c r="S24" s="525" t="s">
        <v>234</v>
      </c>
      <c r="T24" s="488">
        <v>4.608</v>
      </c>
      <c r="U24" s="496">
        <v>0.72</v>
      </c>
      <c r="V24" s="488" t="s">
        <v>328</v>
      </c>
      <c r="X24" s="526" t="s">
        <v>329</v>
      </c>
      <c r="Y24" s="499"/>
      <c r="Z24" s="488">
        <v>45292</v>
      </c>
      <c r="AA24" s="488" t="s">
        <v>227</v>
      </c>
    </row>
    <row r="25" s="488" customFormat="1" ht="17.4" spans="1:27">
      <c r="A25" s="409">
        <v>24</v>
      </c>
      <c r="B25" s="410" t="s">
        <v>44</v>
      </c>
      <c r="C25" s="414"/>
      <c r="D25" s="500" t="s">
        <v>312</v>
      </c>
      <c r="E25" s="490" t="s">
        <v>330</v>
      </c>
      <c r="F25" s="500" t="s">
        <v>331</v>
      </c>
      <c r="G25" s="490" t="s">
        <v>219</v>
      </c>
      <c r="H25" s="490" t="s">
        <v>220</v>
      </c>
      <c r="I25" s="490">
        <v>6286</v>
      </c>
      <c r="J25" s="508">
        <v>28</v>
      </c>
      <c r="K25" s="509">
        <v>0.028</v>
      </c>
      <c r="L25" s="493">
        <v>6.496</v>
      </c>
      <c r="M25" s="510"/>
      <c r="N25" s="494">
        <v>0</v>
      </c>
      <c r="P25" s="500" t="s">
        <v>221</v>
      </c>
      <c r="Q25" s="500" t="s">
        <v>222</v>
      </c>
      <c r="R25" s="524" t="s">
        <v>222</v>
      </c>
      <c r="S25" s="525" t="s">
        <v>223</v>
      </c>
      <c r="T25" s="488">
        <v>0</v>
      </c>
      <c r="U25" s="496">
        <v>0.72</v>
      </c>
      <c r="V25" s="488" t="s">
        <v>332</v>
      </c>
      <c r="X25" s="526" t="s">
        <v>333</v>
      </c>
      <c r="Y25" s="499"/>
      <c r="Z25" s="488">
        <v>45292</v>
      </c>
      <c r="AA25" s="488" t="s">
        <v>227</v>
      </c>
    </row>
    <row r="26" s="488" customFormat="1" ht="18" spans="1:25">
      <c r="A26" s="417" t="s">
        <v>334</v>
      </c>
      <c r="B26" s="410" t="s">
        <v>44</v>
      </c>
      <c r="C26" s="414">
        <v>40002686</v>
      </c>
      <c r="D26" s="490"/>
      <c r="E26" s="489" t="s">
        <v>335</v>
      </c>
      <c r="F26" s="501"/>
      <c r="G26" s="490"/>
      <c r="H26" s="490"/>
      <c r="I26" s="490"/>
      <c r="J26" s="511">
        <v>1000</v>
      </c>
      <c r="K26" s="492">
        <v>1</v>
      </c>
      <c r="L26" s="493"/>
      <c r="M26" s="490"/>
      <c r="N26" s="494">
        <v>0</v>
      </c>
      <c r="T26" s="495">
        <v>0</v>
      </c>
      <c r="U26" s="496">
        <v>0.72</v>
      </c>
      <c r="V26" s="497"/>
      <c r="X26" s="498"/>
      <c r="Y26" s="499"/>
    </row>
    <row r="27" s="488" customFormat="1" ht="17.4" spans="1:25">
      <c r="A27" s="409" t="s">
        <v>336</v>
      </c>
      <c r="B27" s="410" t="s">
        <v>44</v>
      </c>
      <c r="C27" s="414">
        <v>40002693</v>
      </c>
      <c r="D27" s="490" t="s">
        <v>337</v>
      </c>
      <c r="E27" s="490" t="s">
        <v>338</v>
      </c>
      <c r="F27" s="490"/>
      <c r="G27" s="490" t="s">
        <v>219</v>
      </c>
      <c r="H27" s="490" t="s">
        <v>220</v>
      </c>
      <c r="I27" s="490">
        <v>6286</v>
      </c>
      <c r="J27" s="508"/>
      <c r="K27" s="509">
        <v>0</v>
      </c>
      <c r="L27" s="493">
        <v>0</v>
      </c>
      <c r="M27" s="490"/>
      <c r="N27" s="494">
        <v>0</v>
      </c>
      <c r="P27" s="500" t="s">
        <v>221</v>
      </c>
      <c r="Q27" s="500" t="s">
        <v>222</v>
      </c>
      <c r="R27" s="490" t="s">
        <v>221</v>
      </c>
      <c r="S27" s="490"/>
      <c r="T27" s="488">
        <v>0</v>
      </c>
      <c r="U27" s="496">
        <v>0.72</v>
      </c>
      <c r="X27" s="526"/>
      <c r="Y27" s="499"/>
    </row>
    <row r="28" s="488" customFormat="1" ht="17.4" spans="1:25">
      <c r="A28" s="409" t="s">
        <v>339</v>
      </c>
      <c r="B28" s="410" t="s">
        <v>44</v>
      </c>
      <c r="C28" s="414"/>
      <c r="D28" s="490" t="s">
        <v>337</v>
      </c>
      <c r="E28" s="490" t="s">
        <v>340</v>
      </c>
      <c r="F28" s="490"/>
      <c r="G28" s="490" t="s">
        <v>219</v>
      </c>
      <c r="H28" s="490" t="s">
        <v>220</v>
      </c>
      <c r="I28" s="490">
        <v>6286</v>
      </c>
      <c r="J28" s="512"/>
      <c r="K28" s="513">
        <v>0</v>
      </c>
      <c r="L28" s="493">
        <v>0</v>
      </c>
      <c r="M28" s="490"/>
      <c r="N28" s="494">
        <v>0</v>
      </c>
      <c r="P28" s="500" t="s">
        <v>221</v>
      </c>
      <c r="Q28" s="500" t="s">
        <v>222</v>
      </c>
      <c r="R28" s="490" t="s">
        <v>221</v>
      </c>
      <c r="S28" s="490"/>
      <c r="T28" s="488">
        <v>0</v>
      </c>
      <c r="U28" s="496">
        <v>0.72</v>
      </c>
      <c r="X28" s="526"/>
      <c r="Y28" s="499"/>
    </row>
    <row r="29" s="488" customFormat="1" ht="18" spans="1:25">
      <c r="A29" s="422" t="s">
        <v>341</v>
      </c>
      <c r="B29" s="410" t="s">
        <v>44</v>
      </c>
      <c r="C29" s="437"/>
      <c r="D29" s="490"/>
      <c r="E29" s="489"/>
      <c r="F29" s="489"/>
      <c r="G29" s="490"/>
      <c r="H29" s="490"/>
      <c r="I29" s="490"/>
      <c r="J29" s="491"/>
      <c r="K29" s="492">
        <v>0</v>
      </c>
      <c r="L29" s="493"/>
      <c r="M29" s="490"/>
      <c r="N29" s="494">
        <v>0</v>
      </c>
      <c r="T29" s="495">
        <v>0</v>
      </c>
      <c r="U29" s="496"/>
      <c r="V29" s="497"/>
      <c r="X29" s="498"/>
      <c r="Y29" s="499"/>
    </row>
    <row r="30" s="488" customFormat="1" ht="18" spans="1:25">
      <c r="A30" s="423" t="s">
        <v>342</v>
      </c>
      <c r="B30" s="410" t="s">
        <v>44</v>
      </c>
      <c r="C30" s="437"/>
      <c r="D30" s="490"/>
      <c r="E30" s="489"/>
      <c r="F30" s="489"/>
      <c r="G30" s="490"/>
      <c r="H30" s="490"/>
      <c r="I30" s="490"/>
      <c r="J30" s="491"/>
      <c r="K30" s="492">
        <v>0</v>
      </c>
      <c r="L30" s="493"/>
      <c r="M30" s="490"/>
      <c r="N30" s="494">
        <v>0</v>
      </c>
      <c r="T30" s="495">
        <v>0</v>
      </c>
      <c r="U30" s="496"/>
      <c r="V30" s="497"/>
      <c r="X30" s="498"/>
      <c r="Y30" s="499"/>
    </row>
    <row r="31" s="488" customFormat="1" ht="17.4" spans="1:25">
      <c r="A31" s="409">
        <v>1</v>
      </c>
      <c r="B31" s="410" t="s">
        <v>48</v>
      </c>
      <c r="C31" s="424">
        <v>50003409</v>
      </c>
      <c r="D31" s="490" t="s">
        <v>216</v>
      </c>
      <c r="E31" s="490" t="s">
        <v>343</v>
      </c>
      <c r="F31" s="490" t="s">
        <v>344</v>
      </c>
      <c r="G31" s="490" t="s">
        <v>219</v>
      </c>
      <c r="H31" s="490" t="s">
        <v>220</v>
      </c>
      <c r="I31" s="490">
        <v>6286</v>
      </c>
      <c r="J31" s="508">
        <v>42</v>
      </c>
      <c r="K31" s="509">
        <f>Table_Household_Alloc[[#This Row],[Unit Entitlement]]/1000</f>
        <v>0.042</v>
      </c>
      <c r="L31" s="493">
        <f t="shared" ref="L31:L54" si="0">(J31/1000)*232</f>
        <v>9.744</v>
      </c>
      <c r="M31" s="514" t="s">
        <v>239</v>
      </c>
      <c r="N31" s="494">
        <f>IF(Table_Household_Alloc[[#This Row],[PV Installed]]="Y",1,0)*Table_Household_Alloc[[#This Row],[Calculated Battery Allocation (kWh)]]</f>
        <v>9.744</v>
      </c>
      <c r="O31" s="488">
        <v>5</v>
      </c>
      <c r="P31" s="488" t="s">
        <v>221</v>
      </c>
      <c r="Q31" s="488" t="s">
        <v>221</v>
      </c>
      <c r="R31" s="488" t="s">
        <v>221</v>
      </c>
      <c r="S31" s="488" t="s">
        <v>234</v>
      </c>
      <c r="U31" s="496"/>
      <c r="X31" s="526"/>
      <c r="Y31" s="499"/>
    </row>
    <row r="32" s="488" customFormat="1" ht="17.4" spans="1:25">
      <c r="A32" s="409">
        <v>2</v>
      </c>
      <c r="B32" s="410" t="s">
        <v>48</v>
      </c>
      <c r="C32" s="424">
        <v>50003436</v>
      </c>
      <c r="D32" s="490" t="s">
        <v>216</v>
      </c>
      <c r="E32" s="490" t="s">
        <v>345</v>
      </c>
      <c r="F32" s="490" t="s">
        <v>346</v>
      </c>
      <c r="G32" s="490" t="s">
        <v>219</v>
      </c>
      <c r="H32" s="490" t="s">
        <v>220</v>
      </c>
      <c r="I32" s="490">
        <v>6286</v>
      </c>
      <c r="J32" s="508">
        <v>43</v>
      </c>
      <c r="K32" s="509">
        <f>Table_Household_Alloc[[#This Row],[Unit Entitlement]]/1000</f>
        <v>0.043</v>
      </c>
      <c r="L32" s="493">
        <f t="shared" si="0"/>
        <v>9.976</v>
      </c>
      <c r="M32" s="514" t="s">
        <v>250</v>
      </c>
      <c r="N32" s="494">
        <f>IF(Table_Household_Alloc[[#This Row],[PV Installed]]="Y",1,0)*Table_Household_Alloc[[#This Row],[Calculated Battery Allocation (kWh)]]</f>
        <v>9.976</v>
      </c>
      <c r="O32" s="488">
        <v>8.2</v>
      </c>
      <c r="P32" s="488" t="s">
        <v>221</v>
      </c>
      <c r="Q32" s="488" t="s">
        <v>221</v>
      </c>
      <c r="R32" s="488" t="s">
        <v>221</v>
      </c>
      <c r="S32" s="488" t="s">
        <v>234</v>
      </c>
      <c r="U32" s="496"/>
      <c r="X32" s="526"/>
      <c r="Y32" s="499"/>
    </row>
    <row r="33" s="488" customFormat="1" ht="17.4" spans="1:25">
      <c r="A33" s="409">
        <v>3</v>
      </c>
      <c r="B33" s="410" t="s">
        <v>48</v>
      </c>
      <c r="C33" s="424">
        <v>50004064</v>
      </c>
      <c r="D33" s="490" t="s">
        <v>216</v>
      </c>
      <c r="E33" s="490" t="s">
        <v>347</v>
      </c>
      <c r="F33" s="490" t="s">
        <v>348</v>
      </c>
      <c r="G33" s="490" t="s">
        <v>219</v>
      </c>
      <c r="H33" s="490" t="s">
        <v>220</v>
      </c>
      <c r="I33" s="490">
        <v>6286</v>
      </c>
      <c r="J33" s="508">
        <v>43</v>
      </c>
      <c r="K33" s="509">
        <f>Table_Household_Alloc[[#This Row],[Unit Entitlement]]/1000</f>
        <v>0.043</v>
      </c>
      <c r="L33" s="493">
        <f t="shared" si="0"/>
        <v>9.976</v>
      </c>
      <c r="M33" s="514" t="s">
        <v>239</v>
      </c>
      <c r="N33" s="494">
        <f>IF(Table_Household_Alloc[[#This Row],[PV Installed]]="Y",1,0)*Table_Household_Alloc[[#This Row],[Calculated Battery Allocation (kWh)]]</f>
        <v>9.976</v>
      </c>
      <c r="O33" s="488">
        <v>5</v>
      </c>
      <c r="P33" s="488" t="s">
        <v>221</v>
      </c>
      <c r="Q33" s="488" t="s">
        <v>221</v>
      </c>
      <c r="R33" s="488" t="s">
        <v>221</v>
      </c>
      <c r="S33" s="488" t="s">
        <v>234</v>
      </c>
      <c r="U33" s="496"/>
      <c r="X33" s="526"/>
      <c r="Y33" s="499"/>
    </row>
    <row r="34" s="488" customFormat="1" ht="17.4" spans="1:25">
      <c r="A34" s="409">
        <v>4</v>
      </c>
      <c r="B34" s="410" t="s">
        <v>48</v>
      </c>
      <c r="C34" s="424">
        <v>50003414</v>
      </c>
      <c r="D34" s="490" t="s">
        <v>216</v>
      </c>
      <c r="E34" s="490" t="s">
        <v>349</v>
      </c>
      <c r="F34" s="490" t="s">
        <v>350</v>
      </c>
      <c r="G34" s="490" t="s">
        <v>219</v>
      </c>
      <c r="H34" s="490" t="s">
        <v>220</v>
      </c>
      <c r="I34" s="490">
        <v>6286</v>
      </c>
      <c r="J34" s="508">
        <v>45</v>
      </c>
      <c r="K34" s="509">
        <f>Table_Household_Alloc[[#This Row],[Unit Entitlement]]/1000</f>
        <v>0.045</v>
      </c>
      <c r="L34" s="493">
        <f t="shared" si="0"/>
        <v>10.44</v>
      </c>
      <c r="M34" s="514" t="s">
        <v>239</v>
      </c>
      <c r="N34" s="494">
        <f>IF(Table_Household_Alloc[[#This Row],[PV Installed]]="Y",1,0)*Table_Household_Alloc[[#This Row],[Calculated Battery Allocation (kWh)]]</f>
        <v>10.44</v>
      </c>
      <c r="O34" s="488">
        <v>5</v>
      </c>
      <c r="P34" s="488" t="s">
        <v>221</v>
      </c>
      <c r="Q34" s="488" t="s">
        <v>221</v>
      </c>
      <c r="R34" s="488" t="s">
        <v>221</v>
      </c>
      <c r="S34" s="488" t="s">
        <v>234</v>
      </c>
      <c r="U34" s="496"/>
      <c r="X34" s="526"/>
      <c r="Y34" s="499"/>
    </row>
    <row r="35" s="488" customFormat="1" ht="17.4" spans="1:25">
      <c r="A35" s="409">
        <v>5</v>
      </c>
      <c r="B35" s="410" t="s">
        <v>48</v>
      </c>
      <c r="C35" s="424">
        <v>50003389</v>
      </c>
      <c r="D35" s="490" t="s">
        <v>216</v>
      </c>
      <c r="E35" s="490" t="s">
        <v>351</v>
      </c>
      <c r="F35" s="490" t="s">
        <v>352</v>
      </c>
      <c r="G35" s="490" t="s">
        <v>219</v>
      </c>
      <c r="H35" s="490" t="s">
        <v>220</v>
      </c>
      <c r="I35" s="490">
        <v>6286</v>
      </c>
      <c r="J35" s="508">
        <v>46</v>
      </c>
      <c r="K35" s="509">
        <f>Table_Household_Alloc[[#This Row],[Unit Entitlement]]/1000</f>
        <v>0.046</v>
      </c>
      <c r="L35" s="493">
        <f t="shared" si="0"/>
        <v>10.672</v>
      </c>
      <c r="M35" s="514" t="s">
        <v>250</v>
      </c>
      <c r="N35" s="494">
        <f>IF(Table_Household_Alloc[[#This Row],[PV Installed]]="Y",1,0)*Table_Household_Alloc[[#This Row],[Calculated Battery Allocation (kWh)]]</f>
        <v>10.672</v>
      </c>
      <c r="O35" s="488">
        <v>8.2</v>
      </c>
      <c r="P35" s="488" t="s">
        <v>221</v>
      </c>
      <c r="Q35" s="488" t="s">
        <v>221</v>
      </c>
      <c r="R35" s="488" t="s">
        <v>221</v>
      </c>
      <c r="S35" s="488" t="s">
        <v>234</v>
      </c>
      <c r="U35" s="496"/>
      <c r="X35" s="526"/>
      <c r="Y35" s="499"/>
    </row>
    <row r="36" s="488" customFormat="1" ht="17.4" spans="1:25">
      <c r="A36" s="409">
        <v>6</v>
      </c>
      <c r="B36" s="410" t="s">
        <v>48</v>
      </c>
      <c r="C36" s="424">
        <v>50002969</v>
      </c>
      <c r="D36" s="490" t="s">
        <v>216</v>
      </c>
      <c r="E36" s="490" t="s">
        <v>353</v>
      </c>
      <c r="F36" s="490" t="s">
        <v>354</v>
      </c>
      <c r="G36" s="490" t="s">
        <v>219</v>
      </c>
      <c r="H36" s="490" t="s">
        <v>220</v>
      </c>
      <c r="I36" s="490">
        <v>6286</v>
      </c>
      <c r="J36" s="508">
        <v>50</v>
      </c>
      <c r="K36" s="509">
        <f>Table_Household_Alloc[[#This Row],[Unit Entitlement]]/1000</f>
        <v>0.05</v>
      </c>
      <c r="L36" s="493">
        <f t="shared" si="0"/>
        <v>11.6</v>
      </c>
      <c r="M36" s="514" t="s">
        <v>250</v>
      </c>
      <c r="N36" s="494">
        <f>IF(Table_Household_Alloc[[#This Row],[PV Installed]]="Y",1,0)*Table_Household_Alloc[[#This Row],[Calculated Battery Allocation (kWh)]]</f>
        <v>11.6</v>
      </c>
      <c r="O36" s="488">
        <v>8.2</v>
      </c>
      <c r="P36" s="488" t="s">
        <v>221</v>
      </c>
      <c r="Q36" s="488" t="s">
        <v>221</v>
      </c>
      <c r="R36" s="488" t="s">
        <v>221</v>
      </c>
      <c r="S36" s="488" t="s">
        <v>234</v>
      </c>
      <c r="U36" s="496"/>
      <c r="X36" s="526"/>
      <c r="Y36" s="499"/>
    </row>
    <row r="37" s="488" customFormat="1" ht="17.4" spans="1:25">
      <c r="A37" s="409">
        <v>7</v>
      </c>
      <c r="B37" s="410" t="s">
        <v>48</v>
      </c>
      <c r="C37" s="424">
        <v>50002951</v>
      </c>
      <c r="D37" s="490" t="s">
        <v>216</v>
      </c>
      <c r="E37" s="490" t="s">
        <v>355</v>
      </c>
      <c r="F37" s="490" t="s">
        <v>356</v>
      </c>
      <c r="G37" s="490" t="s">
        <v>219</v>
      </c>
      <c r="H37" s="490" t="s">
        <v>220</v>
      </c>
      <c r="I37" s="490">
        <v>6286</v>
      </c>
      <c r="J37" s="508">
        <v>52</v>
      </c>
      <c r="K37" s="509">
        <f>Table_Household_Alloc[[#This Row],[Unit Entitlement]]/1000</f>
        <v>0.052</v>
      </c>
      <c r="L37" s="493">
        <f t="shared" si="0"/>
        <v>12.064</v>
      </c>
      <c r="M37" s="514" t="s">
        <v>239</v>
      </c>
      <c r="N37" s="494">
        <f>IF(Table_Household_Alloc[[#This Row],[PV Installed]]="Y",1,0)*Table_Household_Alloc[[#This Row],[Calculated Battery Allocation (kWh)]]</f>
        <v>12.064</v>
      </c>
      <c r="O37" s="488">
        <v>5</v>
      </c>
      <c r="P37" s="488" t="s">
        <v>221</v>
      </c>
      <c r="Q37" s="488" t="s">
        <v>221</v>
      </c>
      <c r="R37" s="488" t="s">
        <v>221</v>
      </c>
      <c r="S37" s="488" t="s">
        <v>234</v>
      </c>
      <c r="U37" s="496"/>
      <c r="X37" s="526"/>
      <c r="Y37" s="499"/>
    </row>
    <row r="38" s="488" customFormat="1" ht="17.4" spans="1:25">
      <c r="A38" s="409">
        <v>8</v>
      </c>
      <c r="B38" s="410" t="s">
        <v>48</v>
      </c>
      <c r="C38" s="424">
        <v>50002959</v>
      </c>
      <c r="D38" s="490" t="s">
        <v>267</v>
      </c>
      <c r="E38" s="490" t="s">
        <v>357</v>
      </c>
      <c r="F38" s="490" t="s">
        <v>358</v>
      </c>
      <c r="G38" s="490" t="s">
        <v>219</v>
      </c>
      <c r="H38" s="490" t="s">
        <v>220</v>
      </c>
      <c r="I38" s="490">
        <v>6286</v>
      </c>
      <c r="J38" s="508">
        <v>69</v>
      </c>
      <c r="K38" s="509">
        <f>Table_Household_Alloc[[#This Row],[Unit Entitlement]]/1000</f>
        <v>0.069</v>
      </c>
      <c r="L38" s="493">
        <f t="shared" si="0"/>
        <v>16.008</v>
      </c>
      <c r="M38" s="514" t="s">
        <v>359</v>
      </c>
      <c r="N38" s="494">
        <f>IF(Table_Household_Alloc[[#This Row],[PV Installed]]="Y",1,0)*Table_Household_Alloc[[#This Row],[Calculated Battery Allocation (kWh)]]</f>
        <v>16.008</v>
      </c>
      <c r="O38" s="488">
        <v>6</v>
      </c>
      <c r="P38" s="488" t="s">
        <v>221</v>
      </c>
      <c r="Q38" s="488" t="s">
        <v>221</v>
      </c>
      <c r="R38" s="488" t="s">
        <v>221</v>
      </c>
      <c r="S38" s="488" t="s">
        <v>234</v>
      </c>
      <c r="U38" s="496"/>
      <c r="X38" s="526"/>
      <c r="Y38" s="499"/>
    </row>
    <row r="39" s="488" customFormat="1" ht="17.4" spans="1:25">
      <c r="A39" s="409">
        <v>9</v>
      </c>
      <c r="B39" s="410" t="s">
        <v>48</v>
      </c>
      <c r="C39" s="414"/>
      <c r="D39" s="490" t="s">
        <v>267</v>
      </c>
      <c r="E39" s="490" t="s">
        <v>360</v>
      </c>
      <c r="F39" s="490" t="s">
        <v>361</v>
      </c>
      <c r="G39" s="490" t="s">
        <v>219</v>
      </c>
      <c r="H39" s="490" t="s">
        <v>220</v>
      </c>
      <c r="I39" s="490">
        <v>6286</v>
      </c>
      <c r="J39" s="515">
        <v>55</v>
      </c>
      <c r="K39" s="516">
        <f>Table_Household_Alloc[[#This Row],[Unit Entitlement]]/1000</f>
        <v>0.055</v>
      </c>
      <c r="L39" s="517">
        <f t="shared" si="0"/>
        <v>12.76</v>
      </c>
      <c r="M39" s="514" t="s">
        <v>283</v>
      </c>
      <c r="N39" s="494">
        <f>IF(Table_Household_Alloc[[#This Row],[PV Installed]]="Y",1,0)*Table_Household_Alloc[[#This Row],[Calculated Battery Allocation (kWh)]]</f>
        <v>0</v>
      </c>
      <c r="P39" s="488" t="s">
        <v>222</v>
      </c>
      <c r="Q39" s="488" t="s">
        <v>222</v>
      </c>
      <c r="R39" s="488" t="s">
        <v>222</v>
      </c>
      <c r="S39" s="488" t="s">
        <v>307</v>
      </c>
      <c r="U39" s="496"/>
      <c r="X39" s="526"/>
      <c r="Y39" s="499"/>
    </row>
    <row r="40" s="488" customFormat="1" ht="17.4" spans="1:25">
      <c r="A40" s="409">
        <v>10</v>
      </c>
      <c r="B40" s="410" t="s">
        <v>48</v>
      </c>
      <c r="C40" s="424">
        <v>50003420</v>
      </c>
      <c r="D40" s="490" t="s">
        <v>267</v>
      </c>
      <c r="E40" s="490" t="s">
        <v>362</v>
      </c>
      <c r="F40" s="490" t="s">
        <v>363</v>
      </c>
      <c r="G40" s="490" t="s">
        <v>219</v>
      </c>
      <c r="H40" s="490" t="s">
        <v>220</v>
      </c>
      <c r="I40" s="490">
        <v>6286</v>
      </c>
      <c r="J40" s="518">
        <v>57</v>
      </c>
      <c r="K40" s="516">
        <f>Table_Household_Alloc[[#This Row],[Unit Entitlement]]/1000</f>
        <v>0.057</v>
      </c>
      <c r="L40" s="493">
        <f t="shared" si="0"/>
        <v>13.224</v>
      </c>
      <c r="M40" s="514" t="s">
        <v>239</v>
      </c>
      <c r="N40" s="494">
        <f>IF(Table_Household_Alloc[[#This Row],[PV Installed]]="Y",1,0)*Table_Household_Alloc[[#This Row],[Calculated Battery Allocation (kWh)]]</f>
        <v>13.224</v>
      </c>
      <c r="O40" s="488">
        <v>5</v>
      </c>
      <c r="P40" s="488" t="s">
        <v>221</v>
      </c>
      <c r="Q40" s="488" t="s">
        <v>221</v>
      </c>
      <c r="R40" s="488" t="s">
        <v>221</v>
      </c>
      <c r="S40" s="488" t="s">
        <v>234</v>
      </c>
      <c r="U40" s="496"/>
      <c r="X40" s="526"/>
      <c r="Y40" s="499"/>
    </row>
    <row r="41" s="488" customFormat="1" ht="17.4" spans="1:25">
      <c r="A41" s="409">
        <v>11</v>
      </c>
      <c r="B41" s="410" t="s">
        <v>48</v>
      </c>
      <c r="C41" s="425">
        <v>50003410</v>
      </c>
      <c r="D41" s="490" t="s">
        <v>267</v>
      </c>
      <c r="E41" s="490" t="s">
        <v>364</v>
      </c>
      <c r="F41" s="490" t="s">
        <v>365</v>
      </c>
      <c r="G41" s="490" t="s">
        <v>219</v>
      </c>
      <c r="H41" s="490" t="s">
        <v>220</v>
      </c>
      <c r="I41" s="490">
        <v>6286</v>
      </c>
      <c r="J41" s="518">
        <v>59</v>
      </c>
      <c r="K41" s="516">
        <f>Table_Household_Alloc[[#This Row],[Unit Entitlement]]/1000</f>
        <v>0.059</v>
      </c>
      <c r="L41" s="493">
        <f t="shared" si="0"/>
        <v>13.688</v>
      </c>
      <c r="M41" s="514" t="s">
        <v>359</v>
      </c>
      <c r="N41" s="494">
        <f>IF(Table_Household_Alloc[[#This Row],[PV Installed]]="Y",1,0)*Table_Household_Alloc[[#This Row],[Calculated Battery Allocation (kWh)]]</f>
        <v>13.688</v>
      </c>
      <c r="O41" s="488">
        <v>6</v>
      </c>
      <c r="P41" s="488" t="s">
        <v>221</v>
      </c>
      <c r="Q41" s="488" t="s">
        <v>221</v>
      </c>
      <c r="R41" s="488" t="s">
        <v>221</v>
      </c>
      <c r="S41" s="488" t="s">
        <v>234</v>
      </c>
      <c r="U41" s="496"/>
      <c r="X41" s="526"/>
      <c r="Y41" s="499"/>
    </row>
    <row r="42" s="488" customFormat="1" ht="17.4" spans="1:25">
      <c r="A42" s="409">
        <v>12</v>
      </c>
      <c r="B42" s="410" t="s">
        <v>48</v>
      </c>
      <c r="C42" s="424">
        <v>50003418</v>
      </c>
      <c r="D42" s="490" t="s">
        <v>267</v>
      </c>
      <c r="E42" s="490" t="s">
        <v>366</v>
      </c>
      <c r="F42" s="490" t="s">
        <v>367</v>
      </c>
      <c r="G42" s="490" t="s">
        <v>219</v>
      </c>
      <c r="H42" s="490" t="s">
        <v>220</v>
      </c>
      <c r="I42" s="490">
        <v>6286</v>
      </c>
      <c r="J42" s="518">
        <v>60</v>
      </c>
      <c r="K42" s="516">
        <f>Table_Household_Alloc[[#This Row],[Unit Entitlement]]/1000</f>
        <v>0.06</v>
      </c>
      <c r="L42" s="493">
        <f t="shared" si="0"/>
        <v>13.92</v>
      </c>
      <c r="M42" s="514" t="s">
        <v>283</v>
      </c>
      <c r="N42" s="494">
        <f>IF(Table_Household_Alloc[[#This Row],[PV Installed]]="Y",1,0)*Table_Household_Alloc[[#This Row],[Calculated Battery Allocation (kWh)]]</f>
        <v>13.92</v>
      </c>
      <c r="O42" s="488">
        <v>10</v>
      </c>
      <c r="P42" s="488" t="s">
        <v>221</v>
      </c>
      <c r="Q42" s="488" t="s">
        <v>221</v>
      </c>
      <c r="R42" s="488" t="s">
        <v>221</v>
      </c>
      <c r="S42" s="488" t="s">
        <v>234</v>
      </c>
      <c r="U42" s="496"/>
      <c r="X42" s="526"/>
      <c r="Y42" s="499"/>
    </row>
    <row r="43" s="488" customFormat="1" ht="17.4" spans="1:25">
      <c r="A43" s="409">
        <v>13</v>
      </c>
      <c r="B43" s="410" t="s">
        <v>48</v>
      </c>
      <c r="C43" s="424">
        <v>50002859</v>
      </c>
      <c r="D43" s="490" t="s">
        <v>267</v>
      </c>
      <c r="E43" s="490" t="s">
        <v>368</v>
      </c>
      <c r="F43" s="490" t="s">
        <v>369</v>
      </c>
      <c r="G43" s="490" t="s">
        <v>219</v>
      </c>
      <c r="H43" s="490" t="s">
        <v>220</v>
      </c>
      <c r="I43" s="490">
        <v>6286</v>
      </c>
      <c r="J43" s="518">
        <v>60</v>
      </c>
      <c r="K43" s="516">
        <f>Table_Household_Alloc[[#This Row],[Unit Entitlement]]/1000</f>
        <v>0.06</v>
      </c>
      <c r="L43" s="493">
        <f t="shared" si="0"/>
        <v>13.92</v>
      </c>
      <c r="M43" s="514" t="s">
        <v>283</v>
      </c>
      <c r="N43" s="494">
        <f>IF(Table_Household_Alloc[[#This Row],[PV Installed]]="Y",1,0)*Table_Household_Alloc[[#This Row],[Calculated Battery Allocation (kWh)]]</f>
        <v>13.92</v>
      </c>
      <c r="O43" s="488">
        <v>10</v>
      </c>
      <c r="P43" s="488" t="s">
        <v>221</v>
      </c>
      <c r="Q43" s="488" t="s">
        <v>221</v>
      </c>
      <c r="R43" s="488" t="s">
        <v>221</v>
      </c>
      <c r="S43" s="488" t="s">
        <v>234</v>
      </c>
      <c r="U43" s="496"/>
      <c r="X43" s="526"/>
      <c r="Y43" s="499"/>
    </row>
    <row r="44" s="488" customFormat="1" ht="17.4" spans="1:25">
      <c r="A44" s="409">
        <v>14</v>
      </c>
      <c r="B44" s="410" t="s">
        <v>48</v>
      </c>
      <c r="C44" s="424">
        <v>50003396</v>
      </c>
      <c r="D44" s="490" t="s">
        <v>267</v>
      </c>
      <c r="E44" s="490" t="s">
        <v>370</v>
      </c>
      <c r="F44" s="490" t="s">
        <v>371</v>
      </c>
      <c r="G44" s="490" t="s">
        <v>219</v>
      </c>
      <c r="H44" s="490" t="s">
        <v>220</v>
      </c>
      <c r="I44" s="490">
        <v>6286</v>
      </c>
      <c r="J44" s="518">
        <v>63</v>
      </c>
      <c r="K44" s="516">
        <f>Table_Household_Alloc[[#This Row],[Unit Entitlement]]/1000</f>
        <v>0.063</v>
      </c>
      <c r="L44" s="493">
        <f t="shared" si="0"/>
        <v>14.616</v>
      </c>
      <c r="M44" s="514" t="s">
        <v>283</v>
      </c>
      <c r="N44" s="494">
        <f>IF(Table_Household_Alloc[[#This Row],[PV Installed]]="Y",1,0)*Table_Household_Alloc[[#This Row],[Calculated Battery Allocation (kWh)]]</f>
        <v>14.616</v>
      </c>
      <c r="O44" s="488">
        <v>10</v>
      </c>
      <c r="P44" s="488" t="s">
        <v>221</v>
      </c>
      <c r="Q44" s="488" t="s">
        <v>221</v>
      </c>
      <c r="R44" s="488" t="s">
        <v>221</v>
      </c>
      <c r="S44" s="488" t="s">
        <v>234</v>
      </c>
      <c r="U44" s="496"/>
      <c r="X44" s="526"/>
      <c r="Y44" s="499"/>
    </row>
    <row r="45" s="488" customFormat="1" ht="17.4" spans="1:25">
      <c r="A45" s="409">
        <v>15</v>
      </c>
      <c r="B45" s="410" t="s">
        <v>48</v>
      </c>
      <c r="C45" s="424">
        <v>50003401</v>
      </c>
      <c r="D45" s="490" t="s">
        <v>312</v>
      </c>
      <c r="E45" s="490" t="s">
        <v>372</v>
      </c>
      <c r="F45" s="490" t="s">
        <v>373</v>
      </c>
      <c r="G45" s="490" t="s">
        <v>219</v>
      </c>
      <c r="H45" s="490" t="s">
        <v>220</v>
      </c>
      <c r="I45" s="490">
        <v>6286</v>
      </c>
      <c r="J45" s="518">
        <v>27</v>
      </c>
      <c r="K45" s="516">
        <f>Table_Household_Alloc[[#This Row],[Unit Entitlement]]/1000</f>
        <v>0.027</v>
      </c>
      <c r="L45" s="493">
        <f t="shared" si="0"/>
        <v>6.264</v>
      </c>
      <c r="M45" s="514" t="s">
        <v>239</v>
      </c>
      <c r="N45" s="494">
        <f>IF(Table_Household_Alloc[[#This Row],[PV Installed]]="Y",1,0)*Table_Household_Alloc[[#This Row],[Calculated Battery Allocation (kWh)]]</f>
        <v>6.264</v>
      </c>
      <c r="O45" s="488">
        <v>5</v>
      </c>
      <c r="P45" s="488" t="s">
        <v>221</v>
      </c>
      <c r="Q45" s="488" t="s">
        <v>221</v>
      </c>
      <c r="R45" s="488" t="s">
        <v>222</v>
      </c>
      <c r="S45" s="488" t="s">
        <v>234</v>
      </c>
      <c r="U45" s="496"/>
      <c r="X45" s="526"/>
      <c r="Y45" s="499"/>
    </row>
    <row r="46" s="488" customFormat="1" ht="17.4" spans="1:25">
      <c r="A46" s="409">
        <v>16</v>
      </c>
      <c r="B46" s="410" t="s">
        <v>48</v>
      </c>
      <c r="C46" s="424">
        <v>50003430</v>
      </c>
      <c r="D46" s="490" t="s">
        <v>312</v>
      </c>
      <c r="E46" s="490" t="s">
        <v>374</v>
      </c>
      <c r="F46" s="490" t="s">
        <v>375</v>
      </c>
      <c r="G46" s="490" t="s">
        <v>219</v>
      </c>
      <c r="H46" s="490" t="s">
        <v>220</v>
      </c>
      <c r="I46" s="490">
        <v>6286</v>
      </c>
      <c r="J46" s="518">
        <v>27</v>
      </c>
      <c r="K46" s="516">
        <f>Table_Household_Alloc[[#This Row],[Unit Entitlement]]/1000</f>
        <v>0.027</v>
      </c>
      <c r="L46" s="493">
        <f t="shared" si="0"/>
        <v>6.264</v>
      </c>
      <c r="M46" s="514" t="s">
        <v>239</v>
      </c>
      <c r="N46" s="494">
        <f>IF(Table_Household_Alloc[[#This Row],[PV Installed]]="Y",1,0)*Table_Household_Alloc[[#This Row],[Calculated Battery Allocation (kWh)]]</f>
        <v>6.264</v>
      </c>
      <c r="O46" s="488">
        <v>5</v>
      </c>
      <c r="P46" s="488" t="s">
        <v>221</v>
      </c>
      <c r="Q46" s="488" t="s">
        <v>221</v>
      </c>
      <c r="R46" s="488" t="s">
        <v>221</v>
      </c>
      <c r="S46" s="488" t="s">
        <v>234</v>
      </c>
      <c r="U46" s="496"/>
      <c r="X46" s="526"/>
      <c r="Y46" s="499"/>
    </row>
    <row r="47" s="488" customFormat="1" ht="17.4" spans="1:25">
      <c r="A47" s="409">
        <v>17</v>
      </c>
      <c r="B47" s="410" t="s">
        <v>48</v>
      </c>
      <c r="C47" s="424">
        <v>50003415</v>
      </c>
      <c r="D47" s="490" t="s">
        <v>312</v>
      </c>
      <c r="E47" s="490" t="s">
        <v>376</v>
      </c>
      <c r="F47" s="490" t="s">
        <v>377</v>
      </c>
      <c r="G47" s="490" t="s">
        <v>219</v>
      </c>
      <c r="H47" s="490" t="s">
        <v>220</v>
      </c>
      <c r="I47" s="490">
        <v>6286</v>
      </c>
      <c r="J47" s="518">
        <v>27</v>
      </c>
      <c r="K47" s="516">
        <f>Table_Household_Alloc[[#This Row],[Unit Entitlement]]/1000</f>
        <v>0.027</v>
      </c>
      <c r="L47" s="493">
        <f t="shared" si="0"/>
        <v>6.264</v>
      </c>
      <c r="M47" s="514" t="s">
        <v>239</v>
      </c>
      <c r="N47" s="494">
        <f>IF(Table_Household_Alloc[[#This Row],[PV Installed]]="Y",1,0)*Table_Household_Alloc[[#This Row],[Calculated Battery Allocation (kWh)]]</f>
        <v>6.264</v>
      </c>
      <c r="O47" s="488">
        <v>5</v>
      </c>
      <c r="P47" s="488" t="s">
        <v>221</v>
      </c>
      <c r="Q47" s="488" t="s">
        <v>221</v>
      </c>
      <c r="R47" s="488" t="s">
        <v>222</v>
      </c>
      <c r="S47" s="488" t="s">
        <v>234</v>
      </c>
      <c r="U47" s="496"/>
      <c r="X47" s="526"/>
      <c r="Y47" s="499"/>
    </row>
    <row r="48" s="488" customFormat="1" ht="17.4" spans="1:25">
      <c r="A48" s="409">
        <v>18</v>
      </c>
      <c r="B48" s="410" t="s">
        <v>48</v>
      </c>
      <c r="C48" s="414"/>
      <c r="D48" s="490" t="s">
        <v>312</v>
      </c>
      <c r="E48" s="490" t="s">
        <v>378</v>
      </c>
      <c r="F48" s="490" t="s">
        <v>379</v>
      </c>
      <c r="G48" s="490" t="s">
        <v>219</v>
      </c>
      <c r="H48" s="490" t="s">
        <v>220</v>
      </c>
      <c r="I48" s="490">
        <v>6286</v>
      </c>
      <c r="J48" s="515">
        <v>27</v>
      </c>
      <c r="K48" s="516">
        <f>Table_Household_Alloc[[#This Row],[Unit Entitlement]]/1000</f>
        <v>0.027</v>
      </c>
      <c r="L48" s="517">
        <f t="shared" si="0"/>
        <v>6.264</v>
      </c>
      <c r="M48" s="514" t="s">
        <v>239</v>
      </c>
      <c r="N48" s="494">
        <f>IF(Table_Household_Alloc[[#This Row],[PV Installed]]="Y",1,0)*Table_Household_Alloc[[#This Row],[Calculated Battery Allocation (kWh)]]</f>
        <v>0</v>
      </c>
      <c r="P48" s="488" t="s">
        <v>221</v>
      </c>
      <c r="Q48" s="488" t="s">
        <v>222</v>
      </c>
      <c r="R48" s="488" t="s">
        <v>222</v>
      </c>
      <c r="S48" s="488" t="s">
        <v>223</v>
      </c>
      <c r="U48" s="496"/>
      <c r="X48" s="526"/>
      <c r="Y48" s="499"/>
    </row>
    <row r="49" s="488" customFormat="1" ht="17.4" spans="1:25">
      <c r="A49" s="409">
        <v>19</v>
      </c>
      <c r="B49" s="410" t="s">
        <v>48</v>
      </c>
      <c r="C49" s="424">
        <v>50003432</v>
      </c>
      <c r="D49" s="490" t="s">
        <v>312</v>
      </c>
      <c r="E49" s="490" t="s">
        <v>380</v>
      </c>
      <c r="F49" s="490" t="s">
        <v>381</v>
      </c>
      <c r="G49" s="490" t="s">
        <v>219</v>
      </c>
      <c r="H49" s="490" t="s">
        <v>220</v>
      </c>
      <c r="I49" s="490">
        <v>6286</v>
      </c>
      <c r="J49" s="518">
        <v>30</v>
      </c>
      <c r="K49" s="516">
        <f>Table_Household_Alloc[[#This Row],[Unit Entitlement]]/1000</f>
        <v>0.03</v>
      </c>
      <c r="L49" s="493">
        <f t="shared" si="0"/>
        <v>6.96</v>
      </c>
      <c r="M49" s="514" t="s">
        <v>239</v>
      </c>
      <c r="N49" s="494">
        <f>IF(Table_Household_Alloc[[#This Row],[PV Installed]]="Y",1,0)*Table_Household_Alloc[[#This Row],[Calculated Battery Allocation (kWh)]]</f>
        <v>6.96</v>
      </c>
      <c r="O49" s="488">
        <v>5</v>
      </c>
      <c r="P49" s="488" t="s">
        <v>221</v>
      </c>
      <c r="Q49" s="488" t="s">
        <v>221</v>
      </c>
      <c r="R49" s="488" t="s">
        <v>221</v>
      </c>
      <c r="S49" s="488" t="s">
        <v>234</v>
      </c>
      <c r="U49" s="496"/>
      <c r="X49" s="526"/>
      <c r="Y49" s="499"/>
    </row>
    <row r="50" s="488" customFormat="1" ht="17.4" spans="1:25">
      <c r="A50" s="409">
        <v>20</v>
      </c>
      <c r="B50" s="410" t="s">
        <v>48</v>
      </c>
      <c r="C50" s="424">
        <v>50002972</v>
      </c>
      <c r="D50" s="490" t="s">
        <v>267</v>
      </c>
      <c r="E50" s="490" t="s">
        <v>382</v>
      </c>
      <c r="F50" s="490" t="s">
        <v>383</v>
      </c>
      <c r="G50" s="490" t="s">
        <v>219</v>
      </c>
      <c r="H50" s="490" t="s">
        <v>220</v>
      </c>
      <c r="I50" s="490">
        <v>6286</v>
      </c>
      <c r="J50" s="508">
        <v>59</v>
      </c>
      <c r="K50" s="509">
        <f>Table_Household_Alloc[[#This Row],[Unit Entitlement]]/1000</f>
        <v>0.059</v>
      </c>
      <c r="L50" s="493">
        <f t="shared" si="0"/>
        <v>13.688</v>
      </c>
      <c r="M50" s="514" t="s">
        <v>283</v>
      </c>
      <c r="N50" s="494">
        <f>IF(Table_Household_Alloc[[#This Row],[PV Installed]]="Y",1,0)*Table_Household_Alloc[[#This Row],[Calculated Battery Allocation (kWh)]]</f>
        <v>13.688</v>
      </c>
      <c r="O50" s="488">
        <v>10</v>
      </c>
      <c r="P50" s="488" t="s">
        <v>221</v>
      </c>
      <c r="Q50" s="488" t="s">
        <v>221</v>
      </c>
      <c r="R50" s="488" t="s">
        <v>221</v>
      </c>
      <c r="S50" s="488" t="s">
        <v>234</v>
      </c>
      <c r="U50" s="496"/>
      <c r="X50" s="526"/>
      <c r="Y50" s="499"/>
    </row>
    <row r="51" s="488" customFormat="1" ht="17.4" spans="1:25">
      <c r="A51" s="409">
        <v>21</v>
      </c>
      <c r="B51" s="410" t="s">
        <v>48</v>
      </c>
      <c r="C51" s="424">
        <v>50002650</v>
      </c>
      <c r="D51" s="490" t="s">
        <v>384</v>
      </c>
      <c r="E51" s="490" t="s">
        <v>385</v>
      </c>
      <c r="F51" s="490" t="s">
        <v>386</v>
      </c>
      <c r="G51" s="490" t="s">
        <v>219</v>
      </c>
      <c r="H51" s="490" t="s">
        <v>220</v>
      </c>
      <c r="I51" s="490">
        <v>6286</v>
      </c>
      <c r="J51" s="508">
        <v>59</v>
      </c>
      <c r="K51" s="509">
        <f>Table_Household_Alloc[[#This Row],[Unit Entitlement]]/1000</f>
        <v>0.059</v>
      </c>
      <c r="L51" s="493">
        <f t="shared" si="0"/>
        <v>13.688</v>
      </c>
      <c r="M51" s="514" t="s">
        <v>283</v>
      </c>
      <c r="N51" s="494">
        <f>IF(Table_Household_Alloc[[#This Row],[PV Installed]]="Y",1,0)*Table_Household_Alloc[[#This Row],[Calculated Battery Allocation (kWh)]]</f>
        <v>13.688</v>
      </c>
      <c r="O51" s="488">
        <v>10</v>
      </c>
      <c r="P51" s="488" t="s">
        <v>221</v>
      </c>
      <c r="Q51" s="488" t="s">
        <v>221</v>
      </c>
      <c r="R51" s="488" t="s">
        <v>221</v>
      </c>
      <c r="S51" s="488" t="s">
        <v>234</v>
      </c>
      <c r="U51" s="496"/>
      <c r="X51" s="526"/>
      <c r="Y51" s="499"/>
    </row>
    <row r="52" s="488" customFormat="1" ht="18" spans="1:25">
      <c r="A52" s="417" t="s">
        <v>334</v>
      </c>
      <c r="B52" s="410" t="s">
        <v>48</v>
      </c>
      <c r="C52" s="424">
        <v>40002670</v>
      </c>
      <c r="D52" s="490"/>
      <c r="E52" s="502" t="s">
        <v>335</v>
      </c>
      <c r="F52" s="489"/>
      <c r="G52" s="490"/>
      <c r="H52" s="490"/>
      <c r="I52" s="490"/>
      <c r="J52" s="511"/>
      <c r="K52" s="492">
        <f>Table_Household_Alloc[[#This Row],[Unit Entitlement]]/1000</f>
        <v>0</v>
      </c>
      <c r="L52" s="493"/>
      <c r="M52" s="490"/>
      <c r="N52" s="494">
        <f>IF(Table_Household_Alloc[[#This Row],[PV Installed]]="Y",1,0)*Table_Household_Alloc[[#This Row],[Calculated Battery Allocation (kWh)]]</f>
        <v>0</v>
      </c>
      <c r="T52" s="495"/>
      <c r="U52" s="496"/>
      <c r="V52" s="497"/>
      <c r="X52" s="498"/>
      <c r="Y52" s="499"/>
    </row>
    <row r="53" s="488" customFormat="1" ht="17.4" spans="1:25">
      <c r="A53" s="409" t="s">
        <v>336</v>
      </c>
      <c r="B53" s="410" t="s">
        <v>48</v>
      </c>
      <c r="C53" s="424">
        <v>40002667</v>
      </c>
      <c r="D53" s="490" t="s">
        <v>337</v>
      </c>
      <c r="E53" s="502" t="s">
        <v>338</v>
      </c>
      <c r="F53" s="490"/>
      <c r="G53" s="490" t="s">
        <v>219</v>
      </c>
      <c r="H53" s="490" t="s">
        <v>220</v>
      </c>
      <c r="I53" s="490">
        <v>6286</v>
      </c>
      <c r="J53" s="508"/>
      <c r="K53" s="509">
        <f>Table_Household_Alloc[[#This Row],[Unit Entitlement]]/1000</f>
        <v>0</v>
      </c>
      <c r="L53" s="493">
        <f t="shared" si="0"/>
        <v>0</v>
      </c>
      <c r="M53" s="514"/>
      <c r="N53" s="494">
        <f>IF(Table_Household_Alloc[[#This Row],[PV Installed]]="Y",1,0)*Table_Household_Alloc[[#This Row],[Calculated Battery Allocation (kWh)]]</f>
        <v>0</v>
      </c>
      <c r="P53" s="500" t="s">
        <v>221</v>
      </c>
      <c r="Q53" s="500" t="s">
        <v>222</v>
      </c>
      <c r="R53" s="490" t="s">
        <v>221</v>
      </c>
      <c r="S53" s="490"/>
      <c r="U53" s="496"/>
      <c r="X53" s="526"/>
      <c r="Y53" s="499"/>
    </row>
    <row r="54" s="488" customFormat="1" ht="17.4" spans="1:25">
      <c r="A54" s="409" t="s">
        <v>339</v>
      </c>
      <c r="B54" s="410" t="s">
        <v>48</v>
      </c>
      <c r="C54" s="424">
        <v>50003399</v>
      </c>
      <c r="D54" s="490" t="s">
        <v>337</v>
      </c>
      <c r="E54" s="502" t="s">
        <v>340</v>
      </c>
      <c r="F54" s="490"/>
      <c r="G54" s="490" t="s">
        <v>219</v>
      </c>
      <c r="H54" s="490" t="s">
        <v>220</v>
      </c>
      <c r="I54" s="490">
        <v>6286</v>
      </c>
      <c r="J54" s="512"/>
      <c r="K54" s="513">
        <f>Table_Household_Alloc[[#This Row],[Unit Entitlement]]/1000</f>
        <v>0</v>
      </c>
      <c r="L54" s="493">
        <f t="shared" si="0"/>
        <v>0</v>
      </c>
      <c r="M54" s="514"/>
      <c r="N54" s="494">
        <f>IF(Table_Household_Alloc[[#This Row],[PV Installed]]="Y",1,0)*Table_Household_Alloc[[#This Row],[Calculated Battery Allocation (kWh)]]</f>
        <v>0</v>
      </c>
      <c r="P54" s="500" t="s">
        <v>221</v>
      </c>
      <c r="Q54" s="500" t="s">
        <v>222</v>
      </c>
      <c r="R54" s="490" t="s">
        <v>221</v>
      </c>
      <c r="S54" s="490"/>
      <c r="U54" s="496"/>
      <c r="X54" s="526"/>
      <c r="Y54" s="499"/>
    </row>
    <row r="55" s="488" customFormat="1" ht="18" spans="1:25">
      <c r="A55" s="422" t="s">
        <v>341</v>
      </c>
      <c r="B55" s="410" t="s">
        <v>48</v>
      </c>
      <c r="C55" s="424"/>
      <c r="D55" s="490"/>
      <c r="E55" s="489"/>
      <c r="F55" s="489"/>
      <c r="G55" s="490"/>
      <c r="H55" s="490"/>
      <c r="I55" s="490"/>
      <c r="J55" s="491"/>
      <c r="K55" s="492">
        <f>Table_Household_Alloc[[#This Row],[Unit Entitlement]]/1000</f>
        <v>0</v>
      </c>
      <c r="L55" s="493"/>
      <c r="M55" s="490"/>
      <c r="N55" s="494">
        <f>IF(Table_Household_Alloc[[#This Row],[PV Installed]]="Y",1,0)*Table_Household_Alloc[[#This Row],[Calculated Battery Allocation (kWh)]]</f>
        <v>0</v>
      </c>
      <c r="T55" s="495"/>
      <c r="U55" s="496"/>
      <c r="V55" s="497"/>
      <c r="X55" s="498"/>
      <c r="Y55" s="499"/>
    </row>
    <row r="56" s="488" customFormat="1" ht="18" spans="1:25">
      <c r="A56" s="423" t="s">
        <v>342</v>
      </c>
      <c r="B56" s="410" t="s">
        <v>48</v>
      </c>
      <c r="C56" s="424"/>
      <c r="D56" s="490"/>
      <c r="E56" s="489"/>
      <c r="F56" s="489"/>
      <c r="G56" s="490"/>
      <c r="H56" s="490"/>
      <c r="I56" s="490"/>
      <c r="J56" s="491"/>
      <c r="K56" s="492">
        <f>Table_Household_Alloc[[#This Row],[Unit Entitlement]]/1000</f>
        <v>0</v>
      </c>
      <c r="L56" s="493"/>
      <c r="M56" s="490"/>
      <c r="N56" s="494">
        <f>IF(Table_Household_Alloc[[#This Row],[PV Installed]]="Y",1,0)*Table_Household_Alloc[[#This Row],[Calculated Battery Allocation (kWh)]]</f>
        <v>0</v>
      </c>
      <c r="T56" s="495"/>
      <c r="U56" s="496"/>
      <c r="V56" s="497"/>
      <c r="X56" s="498"/>
      <c r="Y56" s="499"/>
    </row>
    <row r="57" s="488" customFormat="1" ht="17.4" spans="1:25">
      <c r="A57" s="409">
        <v>1</v>
      </c>
      <c r="B57" s="410" t="s">
        <v>52</v>
      </c>
      <c r="C57" s="424">
        <v>50003397</v>
      </c>
      <c r="D57" s="490"/>
      <c r="E57" s="490" t="s">
        <v>387</v>
      </c>
      <c r="F57" s="490" t="s">
        <v>388</v>
      </c>
      <c r="G57" s="490" t="s">
        <v>389</v>
      </c>
      <c r="H57" s="490" t="s">
        <v>390</v>
      </c>
      <c r="I57" s="490">
        <v>6286</v>
      </c>
      <c r="J57" s="519">
        <v>42</v>
      </c>
      <c r="K57" s="520">
        <f>Table_Household_Alloc[[#This Row],[Unit Entitlement]]/1000</f>
        <v>0.042</v>
      </c>
      <c r="L57" s="493">
        <f>(J57/1000)*232</f>
        <v>9.744</v>
      </c>
      <c r="M57" s="514" t="s">
        <v>250</v>
      </c>
      <c r="N57" s="494">
        <f>IF(Table_Household_Alloc[[#This Row],[PV Installed]]="Y",1,0)*Table_Household_Alloc[[#This Row],[Calculated Battery Allocation (kWh)]]</f>
        <v>9.744</v>
      </c>
      <c r="O57" s="488">
        <v>8.2</v>
      </c>
      <c r="P57" s="490" t="s">
        <v>221</v>
      </c>
      <c r="Q57" s="490" t="s">
        <v>221</v>
      </c>
      <c r="R57" s="490" t="s">
        <v>221</v>
      </c>
      <c r="S57" s="490" t="s">
        <v>234</v>
      </c>
      <c r="U57" s="496"/>
      <c r="X57" s="526">
        <v>44381</v>
      </c>
      <c r="Y57" s="499" t="s">
        <v>227</v>
      </c>
    </row>
    <row r="58" s="488" customFormat="1" ht="17.4" spans="1:25">
      <c r="A58" s="409">
        <v>2</v>
      </c>
      <c r="B58" s="410" t="s">
        <v>52</v>
      </c>
      <c r="C58" s="424">
        <v>50003402</v>
      </c>
      <c r="D58" s="490"/>
      <c r="E58" s="490" t="s">
        <v>391</v>
      </c>
      <c r="F58" s="490" t="s">
        <v>392</v>
      </c>
      <c r="G58" s="490" t="s">
        <v>389</v>
      </c>
      <c r="H58" s="490" t="s">
        <v>390</v>
      </c>
      <c r="I58" s="490">
        <v>6286</v>
      </c>
      <c r="J58" s="519">
        <v>43</v>
      </c>
      <c r="K58" s="520">
        <f>Table_Household_Alloc[[#This Row],[Unit Entitlement]]/1000</f>
        <v>0.043</v>
      </c>
      <c r="L58" s="493">
        <f t="shared" ref="L58:L78" si="1">(J58/1000)*232</f>
        <v>9.976</v>
      </c>
      <c r="M58" s="514" t="str">
        <f>CONCATENATE("Symo ",Table_Household_Alloc[[#This Row],[Export Capacity (kW)]])</f>
        <v>Symo 5</v>
      </c>
      <c r="N58" s="494">
        <f>IF(Table_Household_Alloc[[#This Row],[PV Installed]]="Y",1,0)*Table_Household_Alloc[[#This Row],[Calculated Battery Allocation (kWh)]]</f>
        <v>9.976</v>
      </c>
      <c r="O58" s="488">
        <v>5</v>
      </c>
      <c r="P58" s="490" t="s">
        <v>221</v>
      </c>
      <c r="Q58" s="490" t="s">
        <v>221</v>
      </c>
      <c r="R58" s="490" t="s">
        <v>221</v>
      </c>
      <c r="S58" s="490" t="s">
        <v>234</v>
      </c>
      <c r="U58" s="496"/>
      <c r="X58" s="526">
        <v>44774</v>
      </c>
      <c r="Y58" s="499" t="s">
        <v>227</v>
      </c>
    </row>
    <row r="59" s="488" customFormat="1" ht="17.4" spans="1:25">
      <c r="A59" s="409">
        <v>3</v>
      </c>
      <c r="B59" s="410" t="s">
        <v>52</v>
      </c>
      <c r="C59" s="424">
        <v>50003431</v>
      </c>
      <c r="D59" s="490"/>
      <c r="E59" s="490" t="s">
        <v>393</v>
      </c>
      <c r="F59" s="490" t="s">
        <v>394</v>
      </c>
      <c r="G59" s="490" t="s">
        <v>389</v>
      </c>
      <c r="H59" s="490" t="s">
        <v>390</v>
      </c>
      <c r="I59" s="490">
        <v>6286</v>
      </c>
      <c r="J59" s="519">
        <v>44</v>
      </c>
      <c r="K59" s="520">
        <f>Table_Household_Alloc[[#This Row],[Unit Entitlement]]/1000</f>
        <v>0.044</v>
      </c>
      <c r="L59" s="493">
        <f t="shared" si="1"/>
        <v>10.208</v>
      </c>
      <c r="M59" s="514" t="str">
        <f>CONCATENATE("Symo ",Table_Household_Alloc[[#This Row],[Export Capacity (kW)]])</f>
        <v>Symo 8.2</v>
      </c>
      <c r="N59" s="494">
        <f>IF(Table_Household_Alloc[[#This Row],[PV Installed]]="Y",1,0)*Table_Household_Alloc[[#This Row],[Calculated Battery Allocation (kWh)]]</f>
        <v>10.208</v>
      </c>
      <c r="O59" s="488">
        <v>8.2</v>
      </c>
      <c r="P59" s="490" t="s">
        <v>221</v>
      </c>
      <c r="Q59" s="490" t="s">
        <v>221</v>
      </c>
      <c r="R59" s="490" t="s">
        <v>221</v>
      </c>
      <c r="S59" s="490" t="s">
        <v>234</v>
      </c>
      <c r="U59" s="496"/>
      <c r="X59" s="526">
        <v>45023</v>
      </c>
      <c r="Y59" s="499" t="s">
        <v>227</v>
      </c>
    </row>
    <row r="60" s="488" customFormat="1" ht="17.4" spans="1:25">
      <c r="A60" s="409">
        <v>4</v>
      </c>
      <c r="B60" s="410" t="s">
        <v>52</v>
      </c>
      <c r="C60" s="424">
        <v>50003394</v>
      </c>
      <c r="D60" s="490"/>
      <c r="E60" s="490" t="s">
        <v>395</v>
      </c>
      <c r="F60" s="490" t="s">
        <v>396</v>
      </c>
      <c r="G60" s="490" t="s">
        <v>389</v>
      </c>
      <c r="H60" s="490" t="s">
        <v>390</v>
      </c>
      <c r="I60" s="490">
        <v>6286</v>
      </c>
      <c r="J60" s="519">
        <v>45</v>
      </c>
      <c r="K60" s="520">
        <f>Table_Household_Alloc[[#This Row],[Unit Entitlement]]/1000</f>
        <v>0.045</v>
      </c>
      <c r="L60" s="493">
        <f t="shared" si="1"/>
        <v>10.44</v>
      </c>
      <c r="M60" s="514" t="str">
        <f>CONCATENATE("Symo ",Table_Household_Alloc[[#This Row],[Export Capacity (kW)]])</f>
        <v>Symo 5</v>
      </c>
      <c r="N60" s="494">
        <f>IF(Table_Household_Alloc[[#This Row],[PV Installed]]="Y",1,0)*Table_Household_Alloc[[#This Row],[Calculated Battery Allocation (kWh)]]</f>
        <v>10.44</v>
      </c>
      <c r="O60" s="488">
        <v>5</v>
      </c>
      <c r="P60" s="490" t="s">
        <v>221</v>
      </c>
      <c r="Q60" s="490" t="s">
        <v>221</v>
      </c>
      <c r="R60" s="490" t="s">
        <v>221</v>
      </c>
      <c r="S60" s="490" t="s">
        <v>234</v>
      </c>
      <c r="U60" s="496"/>
      <c r="X60" s="526">
        <v>45078</v>
      </c>
      <c r="Y60" s="499" t="s">
        <v>227</v>
      </c>
    </row>
    <row r="61" s="488" customFormat="1" ht="17.4" spans="1:25">
      <c r="A61" s="409">
        <v>5</v>
      </c>
      <c r="B61" s="410" t="s">
        <v>52</v>
      </c>
      <c r="C61" s="424">
        <v>50003433</v>
      </c>
      <c r="D61" s="490"/>
      <c r="E61" s="490" t="s">
        <v>397</v>
      </c>
      <c r="F61" s="490" t="s">
        <v>398</v>
      </c>
      <c r="G61" s="490" t="s">
        <v>389</v>
      </c>
      <c r="H61" s="490" t="s">
        <v>390</v>
      </c>
      <c r="I61" s="490">
        <v>6286</v>
      </c>
      <c r="J61" s="519">
        <v>46</v>
      </c>
      <c r="K61" s="520">
        <f>Table_Household_Alloc[[#This Row],[Unit Entitlement]]/1000</f>
        <v>0.046</v>
      </c>
      <c r="L61" s="493">
        <f t="shared" si="1"/>
        <v>10.672</v>
      </c>
      <c r="M61" s="514" t="str">
        <f>CONCATENATE("Symo ",Table_Household_Alloc[[#This Row],[Export Capacity (kW)]])</f>
        <v>Symo 8.2</v>
      </c>
      <c r="N61" s="494">
        <f>IF(Table_Household_Alloc[[#This Row],[PV Installed]]="Y",1,0)*Table_Household_Alloc[[#This Row],[Calculated Battery Allocation (kWh)]]</f>
        <v>10.672</v>
      </c>
      <c r="O61" s="488">
        <v>8.2</v>
      </c>
      <c r="P61" s="490" t="s">
        <v>221</v>
      </c>
      <c r="Q61" s="490" t="s">
        <v>221</v>
      </c>
      <c r="R61" s="490" t="s">
        <v>221</v>
      </c>
      <c r="S61" s="490" t="s">
        <v>234</v>
      </c>
      <c r="U61" s="496"/>
      <c r="X61" s="526">
        <v>44599</v>
      </c>
      <c r="Y61" s="499" t="s">
        <v>227</v>
      </c>
    </row>
    <row r="62" s="488" customFormat="1" ht="17.4" spans="1:25">
      <c r="A62" s="409">
        <v>6</v>
      </c>
      <c r="B62" s="410" t="s">
        <v>52</v>
      </c>
      <c r="C62" s="424">
        <v>50003421</v>
      </c>
      <c r="D62" s="490"/>
      <c r="E62" s="490" t="s">
        <v>399</v>
      </c>
      <c r="F62" s="490" t="s">
        <v>400</v>
      </c>
      <c r="G62" s="490" t="s">
        <v>389</v>
      </c>
      <c r="H62" s="490" t="s">
        <v>390</v>
      </c>
      <c r="I62" s="490">
        <v>6286</v>
      </c>
      <c r="J62" s="519">
        <v>66</v>
      </c>
      <c r="K62" s="520">
        <f>Table_Household_Alloc[[#This Row],[Unit Entitlement]]/1000</f>
        <v>0.066</v>
      </c>
      <c r="L62" s="493">
        <f t="shared" si="1"/>
        <v>15.312</v>
      </c>
      <c r="M62" s="514" t="str">
        <f>CONCATENATE("Symo ",Table_Household_Alloc[[#This Row],[Export Capacity (kW)]])</f>
        <v>Symo 10</v>
      </c>
      <c r="N62" s="494">
        <f>IF(Table_Household_Alloc[[#This Row],[PV Installed]]="Y",1,0)*Table_Household_Alloc[[#This Row],[Calculated Battery Allocation (kWh)]]</f>
        <v>15.312</v>
      </c>
      <c r="O62" s="488">
        <v>10</v>
      </c>
      <c r="P62" s="490" t="s">
        <v>221</v>
      </c>
      <c r="Q62" s="490" t="s">
        <v>221</v>
      </c>
      <c r="R62" s="490" t="s">
        <v>221</v>
      </c>
      <c r="S62" s="490" t="s">
        <v>234</v>
      </c>
      <c r="U62" s="496"/>
      <c r="X62" s="526">
        <v>45020</v>
      </c>
      <c r="Y62" s="499" t="s">
        <v>227</v>
      </c>
    </row>
    <row r="63" s="488" customFormat="1" ht="17.4" spans="1:25">
      <c r="A63" s="503">
        <v>7</v>
      </c>
      <c r="B63" s="504" t="s">
        <v>52</v>
      </c>
      <c r="C63" s="505">
        <v>50002953</v>
      </c>
      <c r="D63" s="490"/>
      <c r="E63" s="490" t="s">
        <v>401</v>
      </c>
      <c r="F63" s="490" t="s">
        <v>402</v>
      </c>
      <c r="G63" s="490" t="s">
        <v>389</v>
      </c>
      <c r="H63" s="490" t="s">
        <v>390</v>
      </c>
      <c r="I63" s="490">
        <v>6286</v>
      </c>
      <c r="J63" s="519">
        <v>66</v>
      </c>
      <c r="K63" s="520">
        <f>Table_Household_Alloc[[#This Row],[Unit Entitlement]]/1000</f>
        <v>0.066</v>
      </c>
      <c r="L63" s="493">
        <f t="shared" si="1"/>
        <v>15.312</v>
      </c>
      <c r="M63" s="514"/>
      <c r="N63" s="494">
        <f>IF(Table_Household_Alloc[[#This Row],[PV Installed]]="Y",1,0)*Table_Household_Alloc[[#This Row],[Calculated Battery Allocation (kWh)]]</f>
        <v>0</v>
      </c>
      <c r="P63" s="490"/>
      <c r="Q63" s="490"/>
      <c r="R63" s="490"/>
      <c r="S63" s="490" t="s">
        <v>403</v>
      </c>
      <c r="U63" s="496"/>
      <c r="X63" s="526"/>
      <c r="Y63" s="499"/>
    </row>
    <row r="64" s="488" customFormat="1" ht="17.4" spans="1:25">
      <c r="A64" s="409">
        <v>8</v>
      </c>
      <c r="B64" s="410" t="s">
        <v>52</v>
      </c>
      <c r="C64" s="424">
        <v>50003395</v>
      </c>
      <c r="D64" s="490"/>
      <c r="E64" s="490" t="s">
        <v>404</v>
      </c>
      <c r="F64" s="490" t="s">
        <v>405</v>
      </c>
      <c r="G64" s="490" t="s">
        <v>389</v>
      </c>
      <c r="H64" s="490" t="s">
        <v>390</v>
      </c>
      <c r="I64" s="490">
        <v>6286</v>
      </c>
      <c r="J64" s="519">
        <v>66</v>
      </c>
      <c r="K64" s="520">
        <f>Table_Household_Alloc[[#This Row],[Unit Entitlement]]/1000</f>
        <v>0.066</v>
      </c>
      <c r="L64" s="493">
        <f t="shared" si="1"/>
        <v>15.312</v>
      </c>
      <c r="M64" s="514" t="str">
        <f>CONCATENATE("Symo ",Table_Household_Alloc[[#This Row],[Export Capacity (kW)]])</f>
        <v>Symo 10</v>
      </c>
      <c r="N64" s="494">
        <f>IF(Table_Household_Alloc[[#This Row],[PV Installed]]="Y",1,0)*Table_Household_Alloc[[#This Row],[Calculated Battery Allocation (kWh)]]</f>
        <v>15.312</v>
      </c>
      <c r="O64" s="521">
        <v>10</v>
      </c>
      <c r="P64" s="490" t="s">
        <v>221</v>
      </c>
      <c r="Q64" s="490" t="s">
        <v>221</v>
      </c>
      <c r="R64" s="490" t="s">
        <v>221</v>
      </c>
      <c r="S64" s="490" t="s">
        <v>234</v>
      </c>
      <c r="U64" s="496"/>
      <c r="X64" s="526">
        <v>44682</v>
      </c>
      <c r="Y64" s="499" t="s">
        <v>227</v>
      </c>
    </row>
    <row r="65" s="488" customFormat="1" ht="17.4" spans="1:25">
      <c r="A65" s="409">
        <v>9</v>
      </c>
      <c r="B65" s="410" t="s">
        <v>52</v>
      </c>
      <c r="C65" s="527">
        <v>50003435</v>
      </c>
      <c r="D65" s="490"/>
      <c r="E65" s="490" t="s">
        <v>406</v>
      </c>
      <c r="F65" s="490" t="s">
        <v>407</v>
      </c>
      <c r="G65" s="490" t="s">
        <v>389</v>
      </c>
      <c r="H65" s="490" t="s">
        <v>390</v>
      </c>
      <c r="I65" s="490">
        <v>6286</v>
      </c>
      <c r="J65" s="519">
        <v>66</v>
      </c>
      <c r="K65" s="520">
        <f>Table_Household_Alloc[[#This Row],[Unit Entitlement]]/1000</f>
        <v>0.066</v>
      </c>
      <c r="L65" s="493">
        <f t="shared" si="1"/>
        <v>15.312</v>
      </c>
      <c r="M65" s="514"/>
      <c r="N65" s="494">
        <f>IF(Table_Household_Alloc[[#This Row],[PV Installed]]="Y",1,0)*Table_Household_Alloc[[#This Row],[Calculated Battery Allocation (kWh)]]</f>
        <v>0</v>
      </c>
      <c r="P65" s="490"/>
      <c r="Q65" s="490"/>
      <c r="R65" s="490"/>
      <c r="S65" s="490" t="s">
        <v>223</v>
      </c>
      <c r="U65" s="496"/>
      <c r="X65" s="526"/>
      <c r="Y65" s="499"/>
    </row>
    <row r="66" s="488" customFormat="1" ht="17.4" spans="1:25">
      <c r="A66" s="409">
        <v>10</v>
      </c>
      <c r="B66" s="410" t="s">
        <v>52</v>
      </c>
      <c r="C66" s="424">
        <v>50002952</v>
      </c>
      <c r="D66" s="490"/>
      <c r="E66" s="490" t="s">
        <v>408</v>
      </c>
      <c r="F66" s="490" t="s">
        <v>409</v>
      </c>
      <c r="G66" s="490" t="s">
        <v>389</v>
      </c>
      <c r="H66" s="490" t="s">
        <v>390</v>
      </c>
      <c r="I66" s="490">
        <v>6286</v>
      </c>
      <c r="J66" s="519">
        <v>31</v>
      </c>
      <c r="K66" s="520">
        <f>Table_Household_Alloc[[#This Row],[Unit Entitlement]]/1000</f>
        <v>0.031</v>
      </c>
      <c r="L66" s="493">
        <f t="shared" si="1"/>
        <v>7.192</v>
      </c>
      <c r="M66" s="514" t="str">
        <f>CONCATENATE("Symo ",Table_Household_Alloc[[#This Row],[Export Capacity (kW)]])</f>
        <v>Symo 5</v>
      </c>
      <c r="N66" s="494">
        <f>IF(Table_Household_Alloc[[#This Row],[PV Installed]]="Y",1,0)*Table_Household_Alloc[[#This Row],[Calculated Battery Allocation (kWh)]]</f>
        <v>7.192</v>
      </c>
      <c r="O66" s="488">
        <v>5</v>
      </c>
      <c r="P66" s="490" t="s">
        <v>221</v>
      </c>
      <c r="Q66" s="490" t="s">
        <v>221</v>
      </c>
      <c r="R66" s="490" t="s">
        <v>221</v>
      </c>
      <c r="S66" s="490" t="s">
        <v>234</v>
      </c>
      <c r="U66" s="496"/>
      <c r="X66" s="526">
        <v>44593</v>
      </c>
      <c r="Y66" s="499" t="s">
        <v>227</v>
      </c>
    </row>
    <row r="67" s="488" customFormat="1" ht="17.4" spans="1:25">
      <c r="A67" s="409">
        <v>11</v>
      </c>
      <c r="B67" s="410" t="s">
        <v>52</v>
      </c>
      <c r="C67" s="528">
        <v>50002944</v>
      </c>
      <c r="D67" s="490"/>
      <c r="E67" s="490" t="s">
        <v>410</v>
      </c>
      <c r="F67" s="490" t="s">
        <v>411</v>
      </c>
      <c r="G67" s="490" t="s">
        <v>389</v>
      </c>
      <c r="H67" s="490" t="s">
        <v>390</v>
      </c>
      <c r="I67" s="490">
        <v>6286</v>
      </c>
      <c r="J67" s="519">
        <v>31</v>
      </c>
      <c r="K67" s="520">
        <f>Table_Household_Alloc[[#This Row],[Unit Entitlement]]/1000</f>
        <v>0.031</v>
      </c>
      <c r="L67" s="493">
        <f t="shared" si="1"/>
        <v>7.192</v>
      </c>
      <c r="M67" s="514"/>
      <c r="N67" s="494">
        <f>IF(Table_Household_Alloc[[#This Row],[PV Installed]]="Y",1,0)*Table_Household_Alloc[[#This Row],[Calculated Battery Allocation (kWh)]]</f>
        <v>0</v>
      </c>
      <c r="P67" s="490"/>
      <c r="Q67" s="490"/>
      <c r="R67" s="490"/>
      <c r="S67" s="490" t="s">
        <v>403</v>
      </c>
      <c r="U67" s="496"/>
      <c r="X67" s="526"/>
      <c r="Y67" s="499"/>
    </row>
    <row r="68" s="488" customFormat="1" ht="17.4" spans="1:25">
      <c r="A68" s="503">
        <v>12</v>
      </c>
      <c r="B68" s="503" t="s">
        <v>52</v>
      </c>
      <c r="C68" s="529">
        <v>3308026898</v>
      </c>
      <c r="D68" s="530"/>
      <c r="E68" s="530" t="s">
        <v>412</v>
      </c>
      <c r="F68" s="530" t="s">
        <v>413</v>
      </c>
      <c r="G68" s="530" t="s">
        <v>389</v>
      </c>
      <c r="H68" s="530" t="s">
        <v>390</v>
      </c>
      <c r="I68" s="530">
        <v>6286</v>
      </c>
      <c r="J68" s="531">
        <v>31</v>
      </c>
      <c r="K68" s="532">
        <f>Table_Household_Alloc[[#This Row],[Unit Entitlement]]/1000</f>
        <v>0.031</v>
      </c>
      <c r="L68" s="533">
        <f t="shared" si="1"/>
        <v>7.192</v>
      </c>
      <c r="M68" s="514" t="str">
        <f>CONCATENATE("Symo ",Table_Household_Alloc[[#This Row],[Export Capacity (kW)]])</f>
        <v>Symo 5</v>
      </c>
      <c r="N68" s="494">
        <f>IF(Table_Household_Alloc[[#This Row],[PV Installed]]="Y",1,0)*Table_Household_Alloc[[#This Row],[Calculated Battery Allocation (kWh)]]</f>
        <v>7.192</v>
      </c>
      <c r="O68" s="534">
        <v>5</v>
      </c>
      <c r="P68" s="490" t="s">
        <v>222</v>
      </c>
      <c r="Q68" s="490" t="s">
        <v>221</v>
      </c>
      <c r="R68" s="490" t="s">
        <v>221</v>
      </c>
      <c r="S68" s="530" t="s">
        <v>234</v>
      </c>
      <c r="T68" s="534"/>
      <c r="U68" s="540"/>
      <c r="V68" s="534"/>
      <c r="W68" s="534"/>
      <c r="X68" s="541">
        <v>45139</v>
      </c>
      <c r="Y68" s="542" t="s">
        <v>227</v>
      </c>
    </row>
    <row r="69" s="488" customFormat="1" ht="17.4" spans="1:25">
      <c r="A69" s="409">
        <v>13</v>
      </c>
      <c r="B69" s="410" t="s">
        <v>52</v>
      </c>
      <c r="C69" s="424">
        <v>50003424</v>
      </c>
      <c r="D69" s="490"/>
      <c r="E69" s="490" t="s">
        <v>414</v>
      </c>
      <c r="F69" s="490" t="s">
        <v>415</v>
      </c>
      <c r="G69" s="490" t="s">
        <v>389</v>
      </c>
      <c r="H69" s="490" t="s">
        <v>390</v>
      </c>
      <c r="I69" s="490">
        <v>6286</v>
      </c>
      <c r="J69" s="519">
        <v>31</v>
      </c>
      <c r="K69" s="520">
        <f>Table_Household_Alloc[[#This Row],[Unit Entitlement]]/1000</f>
        <v>0.031</v>
      </c>
      <c r="L69" s="493">
        <f t="shared" si="1"/>
        <v>7.192</v>
      </c>
      <c r="M69" s="514" t="str">
        <f>CONCATENATE("Symo ",Table_Household_Alloc[[#This Row],[Export Capacity (kW)]])</f>
        <v>Symo 5</v>
      </c>
      <c r="N69" s="494">
        <f>IF(Table_Household_Alloc[[#This Row],[PV Installed]]="Y",1,0)*Table_Household_Alloc[[#This Row],[Calculated Battery Allocation (kWh)]]</f>
        <v>7.192</v>
      </c>
      <c r="O69" s="488">
        <v>5</v>
      </c>
      <c r="P69" s="490" t="s">
        <v>221</v>
      </c>
      <c r="Q69" s="490" t="s">
        <v>221</v>
      </c>
      <c r="R69" s="490" t="s">
        <v>221</v>
      </c>
      <c r="S69" s="490" t="s">
        <v>234</v>
      </c>
      <c r="U69" s="496"/>
      <c r="X69" s="526">
        <v>44621</v>
      </c>
      <c r="Y69" s="499" t="s">
        <v>227</v>
      </c>
    </row>
    <row r="70" s="488" customFormat="1" ht="17.4" spans="1:25">
      <c r="A70" s="409">
        <v>14</v>
      </c>
      <c r="B70" s="410" t="s">
        <v>52</v>
      </c>
      <c r="C70" s="424">
        <v>50003438</v>
      </c>
      <c r="D70" s="490"/>
      <c r="E70" s="490" t="s">
        <v>416</v>
      </c>
      <c r="F70" s="490" t="s">
        <v>417</v>
      </c>
      <c r="G70" s="490" t="s">
        <v>389</v>
      </c>
      <c r="H70" s="490" t="s">
        <v>390</v>
      </c>
      <c r="I70" s="490">
        <v>6286</v>
      </c>
      <c r="J70" s="519">
        <v>37</v>
      </c>
      <c r="K70" s="520">
        <f>Table_Household_Alloc[[#This Row],[Unit Entitlement]]/1000</f>
        <v>0.037</v>
      </c>
      <c r="L70" s="493">
        <f t="shared" si="1"/>
        <v>8.584</v>
      </c>
      <c r="M70" s="514" t="str">
        <f>CONCATENATE("Symo ",Table_Household_Alloc[[#This Row],[Export Capacity (kW)]])</f>
        <v>Symo 5</v>
      </c>
      <c r="N70" s="494">
        <f>IF(Table_Household_Alloc[[#This Row],[PV Installed]]="Y",1,0)*Table_Household_Alloc[[#This Row],[Calculated Battery Allocation (kWh)]]</f>
        <v>8.584</v>
      </c>
      <c r="O70" s="488">
        <v>5</v>
      </c>
      <c r="P70" s="490" t="s">
        <v>221</v>
      </c>
      <c r="Q70" s="490" t="s">
        <v>221</v>
      </c>
      <c r="R70" s="490" t="s">
        <v>221</v>
      </c>
      <c r="S70" s="490" t="s">
        <v>234</v>
      </c>
      <c r="U70" s="496"/>
      <c r="X70" s="526">
        <v>44643</v>
      </c>
      <c r="Y70" s="499" t="s">
        <v>227</v>
      </c>
    </row>
    <row r="71" s="488" customFormat="1" ht="17.4" spans="1:25">
      <c r="A71" s="409">
        <v>15</v>
      </c>
      <c r="B71" s="410" t="s">
        <v>52</v>
      </c>
      <c r="C71" s="424">
        <v>50003404</v>
      </c>
      <c r="D71" s="490"/>
      <c r="E71" s="490" t="s">
        <v>418</v>
      </c>
      <c r="F71" s="490" t="s">
        <v>419</v>
      </c>
      <c r="G71" s="490" t="s">
        <v>389</v>
      </c>
      <c r="H71" s="490" t="s">
        <v>390</v>
      </c>
      <c r="I71" s="490">
        <v>6286</v>
      </c>
      <c r="J71" s="519">
        <v>69</v>
      </c>
      <c r="K71" s="520">
        <f>Table_Household_Alloc[[#This Row],[Unit Entitlement]]/1000</f>
        <v>0.069</v>
      </c>
      <c r="L71" s="493">
        <f t="shared" si="1"/>
        <v>16.008</v>
      </c>
      <c r="M71" s="514" t="str">
        <f>CONCATENATE("Symo ",Table_Household_Alloc[[#This Row],[Export Capacity (kW)]])</f>
        <v>Symo 8.2</v>
      </c>
      <c r="N71" s="494">
        <f>IF(Table_Household_Alloc[[#This Row],[PV Installed]]="Y",1,0)*Table_Household_Alloc[[#This Row],[Calculated Battery Allocation (kWh)]]</f>
        <v>16.008</v>
      </c>
      <c r="O71" s="488">
        <v>8.2</v>
      </c>
      <c r="P71" s="490" t="s">
        <v>221</v>
      </c>
      <c r="Q71" s="490" t="s">
        <v>221</v>
      </c>
      <c r="R71" s="490" t="s">
        <v>221</v>
      </c>
      <c r="S71" s="490" t="s">
        <v>234</v>
      </c>
      <c r="U71" s="496"/>
      <c r="X71" s="526">
        <v>44835</v>
      </c>
      <c r="Y71" s="499" t="s">
        <v>227</v>
      </c>
    </row>
    <row r="72" s="488" customFormat="1" ht="17.4" spans="1:25">
      <c r="A72" s="409">
        <v>16</v>
      </c>
      <c r="B72" s="410" t="s">
        <v>52</v>
      </c>
      <c r="C72" s="424">
        <v>50003419</v>
      </c>
      <c r="D72" s="490"/>
      <c r="E72" s="490" t="s">
        <v>420</v>
      </c>
      <c r="F72" s="490" t="s">
        <v>421</v>
      </c>
      <c r="G72" s="490" t="s">
        <v>389</v>
      </c>
      <c r="H72" s="490" t="s">
        <v>390</v>
      </c>
      <c r="I72" s="490">
        <v>6286</v>
      </c>
      <c r="J72" s="519">
        <v>69</v>
      </c>
      <c r="K72" s="520">
        <f>Table_Household_Alloc[[#This Row],[Unit Entitlement]]/1000</f>
        <v>0.069</v>
      </c>
      <c r="L72" s="493">
        <f t="shared" si="1"/>
        <v>16.008</v>
      </c>
      <c r="M72" s="514" t="str">
        <f>CONCATENATE("Symo ",Table_Household_Alloc[[#This Row],[Export Capacity (kW)]])</f>
        <v>Symo 10</v>
      </c>
      <c r="N72" s="494">
        <f>IF(Table_Household_Alloc[[#This Row],[PV Installed]]="Y",1,0)*Table_Household_Alloc[[#This Row],[Calculated Battery Allocation (kWh)]]</f>
        <v>16.008</v>
      </c>
      <c r="O72" s="488">
        <v>10</v>
      </c>
      <c r="P72" s="490" t="s">
        <v>221</v>
      </c>
      <c r="Q72" s="490" t="s">
        <v>221</v>
      </c>
      <c r="R72" s="490" t="s">
        <v>221</v>
      </c>
      <c r="S72" s="490" t="s">
        <v>234</v>
      </c>
      <c r="U72" s="496"/>
      <c r="X72" s="526">
        <v>45047</v>
      </c>
      <c r="Y72" s="499" t="s">
        <v>227</v>
      </c>
    </row>
    <row r="73" s="488" customFormat="1" ht="17.4" spans="1:25">
      <c r="A73" s="409">
        <v>17</v>
      </c>
      <c r="B73" s="410" t="s">
        <v>52</v>
      </c>
      <c r="C73" s="528">
        <v>50003428</v>
      </c>
      <c r="D73" s="490"/>
      <c r="E73" s="490" t="s">
        <v>422</v>
      </c>
      <c r="F73" s="490" t="s">
        <v>423</v>
      </c>
      <c r="G73" s="490" t="s">
        <v>389</v>
      </c>
      <c r="H73" s="490" t="s">
        <v>390</v>
      </c>
      <c r="I73" s="490">
        <v>6286</v>
      </c>
      <c r="J73" s="519">
        <v>69</v>
      </c>
      <c r="K73" s="520">
        <f>Table_Household_Alloc[[#This Row],[Unit Entitlement]]/1000</f>
        <v>0.069</v>
      </c>
      <c r="L73" s="493">
        <f t="shared" si="1"/>
        <v>16.008</v>
      </c>
      <c r="M73" s="514"/>
      <c r="N73" s="494">
        <f>IF(Table_Household_Alloc[[#This Row],[PV Installed]]="Y",1,0)*Table_Household_Alloc[[#This Row],[Calculated Battery Allocation (kWh)]]</f>
        <v>0</v>
      </c>
      <c r="P73" s="490"/>
      <c r="Q73" s="490"/>
      <c r="R73" s="490"/>
      <c r="S73" s="490" t="s">
        <v>403</v>
      </c>
      <c r="U73" s="496"/>
      <c r="X73" s="526"/>
      <c r="Y73" s="499"/>
    </row>
    <row r="74" s="488" customFormat="1" ht="17.4" spans="1:25">
      <c r="A74" s="409">
        <v>18</v>
      </c>
      <c r="B74" s="410" t="s">
        <v>52</v>
      </c>
      <c r="C74" s="424">
        <v>50002935</v>
      </c>
      <c r="D74" s="490"/>
      <c r="E74" s="490" t="s">
        <v>424</v>
      </c>
      <c r="F74" s="490" t="s">
        <v>425</v>
      </c>
      <c r="G74" s="490" t="s">
        <v>389</v>
      </c>
      <c r="H74" s="490" t="s">
        <v>390</v>
      </c>
      <c r="I74" s="490">
        <v>6286</v>
      </c>
      <c r="J74" s="519">
        <v>69</v>
      </c>
      <c r="K74" s="520">
        <f>Table_Household_Alloc[[#This Row],[Unit Entitlement]]/1000</f>
        <v>0.069</v>
      </c>
      <c r="L74" s="493">
        <f t="shared" si="1"/>
        <v>16.008</v>
      </c>
      <c r="M74" s="514" t="str">
        <f>CONCATENATE("Symo ",Table_Household_Alloc[[#This Row],[Export Capacity (kW)]])</f>
        <v>Symo 10</v>
      </c>
      <c r="N74" s="494">
        <f>IF(Table_Household_Alloc[[#This Row],[PV Installed]]="Y",1,0)*Table_Household_Alloc[[#This Row],[Calculated Battery Allocation (kWh)]]</f>
        <v>16.008</v>
      </c>
      <c r="O74" s="488">
        <v>10</v>
      </c>
      <c r="P74" s="490" t="s">
        <v>221</v>
      </c>
      <c r="Q74" s="490" t="s">
        <v>221</v>
      </c>
      <c r="R74" s="490" t="s">
        <v>221</v>
      </c>
      <c r="S74" s="490" t="s">
        <v>234</v>
      </c>
      <c r="U74" s="496"/>
      <c r="X74" s="526">
        <v>45481</v>
      </c>
      <c r="Y74" s="499" t="s">
        <v>227</v>
      </c>
    </row>
    <row r="75" s="488" customFormat="1" ht="18.15" spans="1:25">
      <c r="A75" s="409">
        <v>19</v>
      </c>
      <c r="B75" s="410" t="s">
        <v>52</v>
      </c>
      <c r="C75" s="424">
        <v>50003417</v>
      </c>
      <c r="D75" s="490"/>
      <c r="E75" s="490" t="s">
        <v>426</v>
      </c>
      <c r="F75" s="490" t="s">
        <v>427</v>
      </c>
      <c r="G75" s="490" t="s">
        <v>389</v>
      </c>
      <c r="H75" s="490" t="s">
        <v>390</v>
      </c>
      <c r="I75" s="490">
        <v>6286</v>
      </c>
      <c r="J75" s="535">
        <v>79</v>
      </c>
      <c r="K75" s="520">
        <f>Table_Household_Alloc[[#This Row],[Unit Entitlement]]/1000</f>
        <v>0.079</v>
      </c>
      <c r="L75" s="493">
        <f t="shared" si="1"/>
        <v>18.328</v>
      </c>
      <c r="M75" s="514" t="str">
        <f>CONCATENATE("Symo ",Table_Household_Alloc[[#This Row],[Export Capacity (kW)]])</f>
        <v>Symo 10</v>
      </c>
      <c r="N75" s="494">
        <f>IF(Table_Household_Alloc[[#This Row],[PV Installed]]="Y",1,0)*Table_Household_Alloc[[#This Row],[Calculated Battery Allocation (kWh)]]</f>
        <v>18.328</v>
      </c>
      <c r="O75" s="488">
        <v>10</v>
      </c>
      <c r="P75" s="490" t="s">
        <v>221</v>
      </c>
      <c r="Q75" s="490" t="s">
        <v>221</v>
      </c>
      <c r="R75" s="490" t="s">
        <v>221</v>
      </c>
      <c r="S75" s="488" t="s">
        <v>234</v>
      </c>
      <c r="U75" s="496"/>
      <c r="X75" s="526">
        <v>44913</v>
      </c>
      <c r="Y75" s="499" t="s">
        <v>227</v>
      </c>
    </row>
    <row r="76" s="488" customFormat="1" ht="18" spans="1:25">
      <c r="A76" s="417" t="s">
        <v>334</v>
      </c>
      <c r="B76" s="410" t="s">
        <v>52</v>
      </c>
      <c r="C76" s="424">
        <v>40002722</v>
      </c>
      <c r="D76" s="490"/>
      <c r="E76" s="502" t="s">
        <v>335</v>
      </c>
      <c r="F76" s="489"/>
      <c r="G76" s="490"/>
      <c r="H76" s="490"/>
      <c r="I76" s="490"/>
      <c r="J76" s="536"/>
      <c r="K76" s="537">
        <f>Table_Household_Alloc[[#This Row],[Unit Entitlement]]/1000</f>
        <v>0</v>
      </c>
      <c r="L76" s="493"/>
      <c r="M76" s="490"/>
      <c r="N76" s="494">
        <f>IF(Table_Household_Alloc[[#This Row],[PV Installed]]="Y",1,0)*Table_Household_Alloc[[#This Row],[Calculated Battery Allocation (kWh)]]</f>
        <v>0</v>
      </c>
      <c r="T76" s="495"/>
      <c r="U76" s="496"/>
      <c r="V76" s="497"/>
      <c r="X76" s="498"/>
      <c r="Y76" s="499"/>
    </row>
    <row r="77" s="488" customFormat="1" ht="17.4" spans="1:25">
      <c r="A77" s="503" t="s">
        <v>336</v>
      </c>
      <c r="B77" s="504" t="s">
        <v>52</v>
      </c>
      <c r="C77" s="529">
        <v>40002728</v>
      </c>
      <c r="D77" s="490"/>
      <c r="E77" s="502" t="s">
        <v>338</v>
      </c>
      <c r="F77" s="490" t="s">
        <v>428</v>
      </c>
      <c r="G77" s="490" t="s">
        <v>219</v>
      </c>
      <c r="H77" s="490" t="s">
        <v>220</v>
      </c>
      <c r="I77" s="490">
        <v>6286</v>
      </c>
      <c r="J77" s="538"/>
      <c r="K77" s="539">
        <f>Table_Household_Alloc[[#This Row],[Unit Entitlement]]/1000</f>
        <v>0</v>
      </c>
      <c r="L77" s="493"/>
      <c r="M77" s="514"/>
      <c r="N77" s="494">
        <f>IF(Table_Household_Alloc[[#This Row],[PV Installed]]="Y",1,0)*Table_Household_Alloc[[#This Row],[Calculated Battery Allocation (kWh)]]</f>
        <v>0</v>
      </c>
      <c r="U77" s="496"/>
      <c r="X77" s="526"/>
      <c r="Y77" s="499"/>
    </row>
    <row r="78" s="488" customFormat="1" ht="17.4" spans="1:25">
      <c r="A78" s="409" t="s">
        <v>339</v>
      </c>
      <c r="B78" s="410" t="s">
        <v>52</v>
      </c>
      <c r="C78" s="424">
        <v>50003429</v>
      </c>
      <c r="D78" s="490"/>
      <c r="E78" s="502" t="s">
        <v>340</v>
      </c>
      <c r="F78" s="490" t="s">
        <v>428</v>
      </c>
      <c r="G78" s="490" t="s">
        <v>219</v>
      </c>
      <c r="H78" s="490" t="s">
        <v>220</v>
      </c>
      <c r="I78" s="490">
        <v>6286</v>
      </c>
      <c r="J78" s="512"/>
      <c r="K78" s="513">
        <f>Table_Household_Alloc[[#This Row],[Unit Entitlement]]/1000</f>
        <v>0</v>
      </c>
      <c r="L78" s="493">
        <f t="shared" si="1"/>
        <v>0</v>
      </c>
      <c r="M78" s="514"/>
      <c r="N78" s="494">
        <f>IF(Table_Household_Alloc[[#This Row],[PV Installed]]="Y",1,0)*Table_Household_Alloc[[#This Row],[Calculated Battery Allocation (kWh)]]</f>
        <v>0</v>
      </c>
      <c r="P78" s="490"/>
      <c r="Q78" s="490"/>
      <c r="R78" s="490"/>
      <c r="S78" s="490"/>
      <c r="U78" s="496"/>
      <c r="X78" s="526"/>
      <c r="Y78" s="499"/>
    </row>
    <row r="79" s="488" customFormat="1" ht="18" spans="1:25">
      <c r="A79" s="422" t="s">
        <v>341</v>
      </c>
      <c r="B79" s="410" t="s">
        <v>52</v>
      </c>
      <c r="C79" s="424"/>
      <c r="D79" s="490"/>
      <c r="E79" s="489"/>
      <c r="F79" s="489"/>
      <c r="G79" s="490"/>
      <c r="H79" s="490"/>
      <c r="I79" s="490"/>
      <c r="J79" s="491"/>
      <c r="K79" s="492">
        <f>Table_Household_Alloc[[#This Row],[Unit Entitlement]]/1000</f>
        <v>0</v>
      </c>
      <c r="L79" s="493"/>
      <c r="M79" s="490"/>
      <c r="N79" s="494">
        <f>IF(Table_Household_Alloc[[#This Row],[PV Installed]]="Y",1,0)*Table_Household_Alloc[[#This Row],[Calculated Battery Allocation (kWh)]]</f>
        <v>0</v>
      </c>
      <c r="T79" s="495"/>
      <c r="U79" s="496"/>
      <c r="V79" s="497"/>
      <c r="X79" s="498"/>
      <c r="Y79" s="499"/>
    </row>
    <row r="80" s="488" customFormat="1" ht="18" spans="1:25">
      <c r="A80" s="423" t="s">
        <v>342</v>
      </c>
      <c r="B80" s="410" t="s">
        <v>52</v>
      </c>
      <c r="C80" s="424"/>
      <c r="D80" s="490"/>
      <c r="E80" s="489"/>
      <c r="F80" s="489"/>
      <c r="G80" s="490"/>
      <c r="H80" s="490"/>
      <c r="I80" s="490"/>
      <c r="J80" s="491"/>
      <c r="K80" s="492">
        <f>Table_Household_Alloc[[#This Row],[Unit Entitlement]]/1000</f>
        <v>0</v>
      </c>
      <c r="L80" s="493"/>
      <c r="M80" s="490"/>
      <c r="N80" s="494">
        <f>IF(Table_Household_Alloc[[#This Row],[PV Installed]]="Y",1,0)*Table_Household_Alloc[[#This Row],[Calculated Battery Allocation (kWh)]]</f>
        <v>0</v>
      </c>
      <c r="T80" s="495"/>
      <c r="U80" s="496"/>
      <c r="V80" s="497"/>
      <c r="X80" s="498"/>
      <c r="Y80" s="499"/>
    </row>
    <row r="81" s="488" customFormat="1" ht="17.4" spans="1:25">
      <c r="A81" s="409">
        <v>1</v>
      </c>
      <c r="B81" s="410" t="s">
        <v>54</v>
      </c>
      <c r="C81" s="414">
        <v>50002920</v>
      </c>
      <c r="D81" s="490"/>
      <c r="E81" s="490" t="s">
        <v>429</v>
      </c>
      <c r="F81" s="490" t="s">
        <v>430</v>
      </c>
      <c r="G81" s="490" t="s">
        <v>389</v>
      </c>
      <c r="H81" s="490" t="s">
        <v>390</v>
      </c>
      <c r="I81" s="490">
        <v>6286</v>
      </c>
      <c r="J81" s="512">
        <v>40</v>
      </c>
      <c r="K81" s="513">
        <f>Table_Household_Alloc[[#This Row],[Unit Entitlement]]/1000</f>
        <v>0.04</v>
      </c>
      <c r="L81" s="493">
        <f>J81/1000*232</f>
        <v>9.28</v>
      </c>
      <c r="M81" s="514"/>
      <c r="N81" s="494">
        <f>IF(Table_Household_Alloc[[#This Row],[PV Installed]]="Y",1,0)*Table_Household_Alloc[[#This Row],[Calculated Battery Allocation (kWh)]]</f>
        <v>0</v>
      </c>
      <c r="P81" s="490"/>
      <c r="Q81" s="490"/>
      <c r="R81" s="490"/>
      <c r="S81" s="490" t="s">
        <v>223</v>
      </c>
      <c r="T81" s="488" t="s">
        <v>431</v>
      </c>
      <c r="U81" s="496" t="s">
        <v>432</v>
      </c>
      <c r="V81" s="488" t="s">
        <v>433</v>
      </c>
      <c r="X81" s="526"/>
      <c r="Y81" s="499"/>
    </row>
    <row r="82" s="488" customFormat="1" ht="17.4" spans="1:25">
      <c r="A82" s="409">
        <v>2</v>
      </c>
      <c r="B82" s="410" t="s">
        <v>54</v>
      </c>
      <c r="C82" s="424">
        <v>50002903</v>
      </c>
      <c r="D82" s="490"/>
      <c r="E82" s="490" t="s">
        <v>434</v>
      </c>
      <c r="F82" s="490" t="s">
        <v>435</v>
      </c>
      <c r="G82" s="490" t="s">
        <v>389</v>
      </c>
      <c r="H82" s="490" t="s">
        <v>390</v>
      </c>
      <c r="I82" s="490">
        <v>6286</v>
      </c>
      <c r="J82" s="512">
        <v>40</v>
      </c>
      <c r="K82" s="513">
        <f>Table_Household_Alloc[[#This Row],[Unit Entitlement]]/1000</f>
        <v>0.04</v>
      </c>
      <c r="L82" s="493">
        <f t="shared" ref="L82:L154" si="2">J82/1000*232</f>
        <v>9.28</v>
      </c>
      <c r="M82" s="514" t="str">
        <f>CONCATENATE("Symo ",Table_Household_Alloc[[#This Row],[Export Capacity (kW)]])</f>
        <v>Symo 8.2</v>
      </c>
      <c r="N82" s="494">
        <f>IF(Table_Household_Alloc[[#This Row],[PV Installed]]="Y",1,0)*Table_Household_Alloc[[#This Row],[Calculated Battery Allocation (kWh)]]</f>
        <v>9.28</v>
      </c>
      <c r="O82" s="488">
        <v>8.2</v>
      </c>
      <c r="P82" s="490" t="s">
        <v>221</v>
      </c>
      <c r="Q82" s="490" t="s">
        <v>221</v>
      </c>
      <c r="R82" s="490" t="s">
        <v>221</v>
      </c>
      <c r="S82" s="490" t="s">
        <v>234</v>
      </c>
      <c r="T82" s="488" t="s">
        <v>436</v>
      </c>
      <c r="U82" s="496" t="s">
        <v>437</v>
      </c>
      <c r="V82" s="488" t="s">
        <v>438</v>
      </c>
      <c r="X82" s="526">
        <v>44986</v>
      </c>
      <c r="Y82" s="499" t="s">
        <v>227</v>
      </c>
    </row>
    <row r="83" s="488" customFormat="1" ht="17.4" spans="1:25">
      <c r="A83" s="409">
        <v>3</v>
      </c>
      <c r="B83" s="410" t="s">
        <v>54</v>
      </c>
      <c r="C83" s="414"/>
      <c r="D83" s="490"/>
      <c r="E83" s="490" t="s">
        <v>439</v>
      </c>
      <c r="F83" s="490" t="s">
        <v>440</v>
      </c>
      <c r="G83" s="490" t="s">
        <v>389</v>
      </c>
      <c r="H83" s="490" t="s">
        <v>390</v>
      </c>
      <c r="I83" s="490">
        <v>6286</v>
      </c>
      <c r="J83" s="512">
        <v>40</v>
      </c>
      <c r="K83" s="513">
        <f>Table_Household_Alloc[[#This Row],[Unit Entitlement]]/1000</f>
        <v>0.04</v>
      </c>
      <c r="L83" s="493">
        <f t="shared" si="2"/>
        <v>9.28</v>
      </c>
      <c r="M83" s="514"/>
      <c r="N83" s="494">
        <f>IF(Table_Household_Alloc[[#This Row],[PV Installed]]="Y",1,0)*Table_Household_Alloc[[#This Row],[Calculated Battery Allocation (kWh)]]</f>
        <v>0</v>
      </c>
      <c r="P83" s="490"/>
      <c r="Q83" s="490"/>
      <c r="R83" s="490"/>
      <c r="S83" s="490" t="s">
        <v>307</v>
      </c>
      <c r="T83" s="488" t="s">
        <v>441</v>
      </c>
      <c r="U83" s="496"/>
      <c r="V83" s="488" t="s">
        <v>442</v>
      </c>
      <c r="X83" s="526"/>
      <c r="Y83" s="499"/>
    </row>
    <row r="84" s="488" customFormat="1" ht="17.4" spans="1:25">
      <c r="A84" s="409">
        <v>4</v>
      </c>
      <c r="B84" s="410" t="s">
        <v>54</v>
      </c>
      <c r="C84" s="414"/>
      <c r="D84" s="490"/>
      <c r="E84" s="490" t="s">
        <v>443</v>
      </c>
      <c r="F84" s="490" t="s">
        <v>444</v>
      </c>
      <c r="G84" s="490" t="s">
        <v>389</v>
      </c>
      <c r="H84" s="490" t="s">
        <v>390</v>
      </c>
      <c r="I84" s="490">
        <v>6286</v>
      </c>
      <c r="J84" s="512">
        <v>40</v>
      </c>
      <c r="K84" s="513">
        <f>Table_Household_Alloc[[#This Row],[Unit Entitlement]]/1000</f>
        <v>0.04</v>
      </c>
      <c r="L84" s="493">
        <f t="shared" si="2"/>
        <v>9.28</v>
      </c>
      <c r="M84" s="514"/>
      <c r="N84" s="494">
        <f>IF(Table_Household_Alloc[[#This Row],[PV Installed]]="Y",1,0)*Table_Household_Alloc[[#This Row],[Calculated Battery Allocation (kWh)]]</f>
        <v>0</v>
      </c>
      <c r="P84" s="490"/>
      <c r="Q84" s="490"/>
      <c r="R84" s="490"/>
      <c r="S84" s="490" t="s">
        <v>307</v>
      </c>
      <c r="T84" s="488" t="s">
        <v>445</v>
      </c>
      <c r="U84" s="496"/>
      <c r="V84" s="488" t="s">
        <v>446</v>
      </c>
      <c r="X84" s="526"/>
      <c r="Y84" s="499"/>
    </row>
    <row r="85" s="488" customFormat="1" ht="17.4" spans="1:25">
      <c r="A85" s="409">
        <v>5</v>
      </c>
      <c r="B85" s="410" t="s">
        <v>54</v>
      </c>
      <c r="C85" s="424">
        <v>50002911</v>
      </c>
      <c r="D85" s="490"/>
      <c r="E85" s="490" t="s">
        <v>447</v>
      </c>
      <c r="F85" s="490" t="s">
        <v>448</v>
      </c>
      <c r="G85" s="490" t="s">
        <v>389</v>
      </c>
      <c r="H85" s="490" t="s">
        <v>390</v>
      </c>
      <c r="I85" s="490">
        <v>6286</v>
      </c>
      <c r="J85" s="512">
        <v>42</v>
      </c>
      <c r="K85" s="513">
        <f>Table_Household_Alloc[[#This Row],[Unit Entitlement]]/1000</f>
        <v>0.042</v>
      </c>
      <c r="L85" s="493">
        <f t="shared" si="2"/>
        <v>9.744</v>
      </c>
      <c r="M85" s="514" t="str">
        <f>CONCATENATE("Symo ",Table_Household_Alloc[[#This Row],[Export Capacity (kW)]])</f>
        <v>Symo 8.2</v>
      </c>
      <c r="N85" s="494">
        <f>IF(Table_Household_Alloc[[#This Row],[PV Installed]]="Y",1,0)*Table_Household_Alloc[[#This Row],[Calculated Battery Allocation (kWh)]]</f>
        <v>9.744</v>
      </c>
      <c r="O85" s="488">
        <v>8.2</v>
      </c>
      <c r="P85" s="490" t="s">
        <v>221</v>
      </c>
      <c r="Q85" s="490" t="s">
        <v>221</v>
      </c>
      <c r="R85" s="490" t="s">
        <v>221</v>
      </c>
      <c r="S85" s="490" t="s">
        <v>234</v>
      </c>
      <c r="T85" s="488" t="s">
        <v>449</v>
      </c>
      <c r="U85" s="496" t="s">
        <v>450</v>
      </c>
      <c r="V85" s="488" t="s">
        <v>451</v>
      </c>
      <c r="X85" s="526">
        <v>45108</v>
      </c>
      <c r="Y85" s="499" t="s">
        <v>227</v>
      </c>
    </row>
    <row r="86" s="488" customFormat="1" ht="17.4" spans="1:25">
      <c r="A86" s="409">
        <v>6</v>
      </c>
      <c r="B86" s="410" t="s">
        <v>54</v>
      </c>
      <c r="C86" s="414"/>
      <c r="D86" s="490"/>
      <c r="E86" s="490" t="s">
        <v>452</v>
      </c>
      <c r="F86" s="490" t="s">
        <v>453</v>
      </c>
      <c r="G86" s="490" t="s">
        <v>389</v>
      </c>
      <c r="H86" s="490" t="s">
        <v>390</v>
      </c>
      <c r="I86" s="490">
        <v>6286</v>
      </c>
      <c r="J86" s="512">
        <v>41</v>
      </c>
      <c r="K86" s="513">
        <f>Table_Household_Alloc[[#This Row],[Unit Entitlement]]/1000</f>
        <v>0.041</v>
      </c>
      <c r="L86" s="493">
        <f t="shared" si="2"/>
        <v>9.512</v>
      </c>
      <c r="M86" s="514"/>
      <c r="N86" s="494">
        <f>IF(Table_Household_Alloc[[#This Row],[PV Installed]]="Y",1,0)*Table_Household_Alloc[[#This Row],[Calculated Battery Allocation (kWh)]]</f>
        <v>0</v>
      </c>
      <c r="P86" s="490"/>
      <c r="Q86" s="490"/>
      <c r="R86" s="490"/>
      <c r="S86" s="490" t="s">
        <v>307</v>
      </c>
      <c r="T86" s="488" t="s">
        <v>454</v>
      </c>
      <c r="U86" s="496"/>
      <c r="V86" s="488" t="s">
        <v>455</v>
      </c>
      <c r="X86" s="526"/>
      <c r="Y86" s="499"/>
    </row>
    <row r="87" s="488" customFormat="1" ht="17.4" spans="1:25">
      <c r="A87" s="409">
        <v>7</v>
      </c>
      <c r="B87" s="410" t="s">
        <v>54</v>
      </c>
      <c r="C87" s="414"/>
      <c r="D87" s="490"/>
      <c r="E87" s="490" t="s">
        <v>456</v>
      </c>
      <c r="F87" s="490" t="s">
        <v>457</v>
      </c>
      <c r="G87" s="490" t="s">
        <v>389</v>
      </c>
      <c r="H87" s="490" t="s">
        <v>390</v>
      </c>
      <c r="I87" s="490">
        <v>6286</v>
      </c>
      <c r="J87" s="512">
        <v>40</v>
      </c>
      <c r="K87" s="513">
        <f>Table_Household_Alloc[[#This Row],[Unit Entitlement]]/1000</f>
        <v>0.04</v>
      </c>
      <c r="L87" s="493">
        <f t="shared" si="2"/>
        <v>9.28</v>
      </c>
      <c r="M87" s="514"/>
      <c r="N87" s="494">
        <f>IF(Table_Household_Alloc[[#This Row],[PV Installed]]="Y",1,0)*Table_Household_Alloc[[#This Row],[Calculated Battery Allocation (kWh)]]</f>
        <v>0</v>
      </c>
      <c r="P87" s="490"/>
      <c r="Q87" s="490"/>
      <c r="R87" s="490"/>
      <c r="S87" s="490" t="s">
        <v>307</v>
      </c>
      <c r="T87" s="488" t="s">
        <v>458</v>
      </c>
      <c r="U87" s="496" t="s">
        <v>459</v>
      </c>
      <c r="V87" s="488" t="s">
        <v>460</v>
      </c>
      <c r="X87" s="526"/>
      <c r="Y87" s="499"/>
    </row>
    <row r="88" s="488" customFormat="1" ht="17.4" spans="1:25">
      <c r="A88" s="409">
        <v>8</v>
      </c>
      <c r="B88" s="410" t="s">
        <v>54</v>
      </c>
      <c r="C88" s="414"/>
      <c r="D88" s="490"/>
      <c r="E88" s="490" t="s">
        <v>461</v>
      </c>
      <c r="F88" s="490" t="s">
        <v>462</v>
      </c>
      <c r="G88" s="490" t="s">
        <v>389</v>
      </c>
      <c r="H88" s="490" t="s">
        <v>390</v>
      </c>
      <c r="I88" s="490">
        <v>6286</v>
      </c>
      <c r="J88" s="512">
        <v>39</v>
      </c>
      <c r="K88" s="513">
        <f>Table_Household_Alloc[[#This Row],[Unit Entitlement]]/1000</f>
        <v>0.039</v>
      </c>
      <c r="L88" s="493">
        <f t="shared" si="2"/>
        <v>9.048</v>
      </c>
      <c r="M88" s="514"/>
      <c r="N88" s="494">
        <f>IF(Table_Household_Alloc[[#This Row],[PV Installed]]="Y",1,0)*Table_Household_Alloc[[#This Row],[Calculated Battery Allocation (kWh)]]</f>
        <v>0</v>
      </c>
      <c r="P88" s="490"/>
      <c r="Q88" s="490"/>
      <c r="R88" s="490"/>
      <c r="S88" s="490" t="s">
        <v>307</v>
      </c>
      <c r="T88" s="488" t="s">
        <v>463</v>
      </c>
      <c r="U88" s="496"/>
      <c r="V88" s="488" t="s">
        <v>464</v>
      </c>
      <c r="X88" s="526"/>
      <c r="Y88" s="499"/>
    </row>
    <row r="89" s="488" customFormat="1" ht="17.4" spans="1:25">
      <c r="A89" s="409">
        <v>9</v>
      </c>
      <c r="B89" s="410" t="s">
        <v>54</v>
      </c>
      <c r="C89" s="414">
        <v>50002909</v>
      </c>
      <c r="D89" s="490"/>
      <c r="E89" s="490" t="s">
        <v>465</v>
      </c>
      <c r="F89" s="490" t="s">
        <v>466</v>
      </c>
      <c r="G89" s="490" t="s">
        <v>389</v>
      </c>
      <c r="H89" s="490" t="s">
        <v>390</v>
      </c>
      <c r="I89" s="490">
        <v>6286</v>
      </c>
      <c r="J89" s="512">
        <v>54</v>
      </c>
      <c r="K89" s="513">
        <f>Table_Household_Alloc[[#This Row],[Unit Entitlement]]/1000</f>
        <v>0.054</v>
      </c>
      <c r="L89" s="493">
        <f t="shared" si="2"/>
        <v>12.528</v>
      </c>
      <c r="M89" s="514"/>
      <c r="N89" s="494">
        <f>IF(Table_Household_Alloc[[#This Row],[PV Installed]]="Y",1,0)*Table_Household_Alloc[[#This Row],[Calculated Battery Allocation (kWh)]]</f>
        <v>0</v>
      </c>
      <c r="P89" s="490"/>
      <c r="Q89" s="490"/>
      <c r="R89" s="490"/>
      <c r="S89" s="490" t="s">
        <v>234</v>
      </c>
      <c r="T89" s="488" t="s">
        <v>467</v>
      </c>
      <c r="U89" s="496" t="s">
        <v>468</v>
      </c>
      <c r="V89" s="488" t="s">
        <v>469</v>
      </c>
      <c r="X89" s="526">
        <v>45139</v>
      </c>
      <c r="Y89" s="499" t="s">
        <v>227</v>
      </c>
    </row>
    <row r="90" s="488" customFormat="1" ht="17.4" spans="1:25">
      <c r="A90" s="409">
        <v>10</v>
      </c>
      <c r="B90" s="410" t="s">
        <v>54</v>
      </c>
      <c r="C90" s="414"/>
      <c r="D90" s="490"/>
      <c r="E90" s="490" t="s">
        <v>470</v>
      </c>
      <c r="F90" s="490" t="s">
        <v>471</v>
      </c>
      <c r="G90" s="490" t="s">
        <v>389</v>
      </c>
      <c r="H90" s="490" t="s">
        <v>390</v>
      </c>
      <c r="I90" s="490">
        <v>6286</v>
      </c>
      <c r="J90" s="512">
        <v>54</v>
      </c>
      <c r="K90" s="513">
        <f>Table_Household_Alloc[[#This Row],[Unit Entitlement]]/1000</f>
        <v>0.054</v>
      </c>
      <c r="L90" s="493">
        <f t="shared" si="2"/>
        <v>12.528</v>
      </c>
      <c r="M90" s="514"/>
      <c r="N90" s="494">
        <f>IF(Table_Household_Alloc[[#This Row],[PV Installed]]="Y",1,0)*Table_Household_Alloc[[#This Row],[Calculated Battery Allocation (kWh)]]</f>
        <v>0</v>
      </c>
      <c r="P90" s="490"/>
      <c r="Q90" s="490"/>
      <c r="R90" s="490"/>
      <c r="S90" s="490" t="s">
        <v>307</v>
      </c>
      <c r="T90" s="488" t="s">
        <v>472</v>
      </c>
      <c r="U90" s="496" t="s">
        <v>473</v>
      </c>
      <c r="V90" s="488" t="s">
        <v>474</v>
      </c>
      <c r="X90" s="526"/>
      <c r="Y90" s="499"/>
    </row>
    <row r="91" s="488" customFormat="1" ht="17.4" spans="1:25">
      <c r="A91" s="409">
        <v>11</v>
      </c>
      <c r="B91" s="410" t="s">
        <v>54</v>
      </c>
      <c r="C91" s="414"/>
      <c r="D91" s="490"/>
      <c r="E91" s="490" t="s">
        <v>475</v>
      </c>
      <c r="F91" s="490" t="s">
        <v>476</v>
      </c>
      <c r="G91" s="490" t="s">
        <v>389</v>
      </c>
      <c r="H91" s="490" t="s">
        <v>390</v>
      </c>
      <c r="I91" s="490">
        <v>6286</v>
      </c>
      <c r="J91" s="512">
        <v>54</v>
      </c>
      <c r="K91" s="513">
        <f>Table_Household_Alloc[[#This Row],[Unit Entitlement]]/1000</f>
        <v>0.054</v>
      </c>
      <c r="L91" s="493">
        <f t="shared" si="2"/>
        <v>12.528</v>
      </c>
      <c r="M91" s="514"/>
      <c r="N91" s="494">
        <f>IF(Table_Household_Alloc[[#This Row],[PV Installed]]="Y",1,0)*Table_Household_Alloc[[#This Row],[Calculated Battery Allocation (kWh)]]</f>
        <v>0</v>
      </c>
      <c r="P91" s="490"/>
      <c r="Q91" s="490"/>
      <c r="R91" s="490"/>
      <c r="S91" s="490" t="s">
        <v>307</v>
      </c>
      <c r="T91" s="488" t="s">
        <v>477</v>
      </c>
      <c r="U91" s="496"/>
      <c r="V91" s="488" t="s">
        <v>478</v>
      </c>
      <c r="X91" s="526"/>
      <c r="Y91" s="499"/>
    </row>
    <row r="92" s="488" customFormat="1" ht="17.4" spans="1:25">
      <c r="A92" s="409">
        <v>12</v>
      </c>
      <c r="B92" s="410" t="s">
        <v>54</v>
      </c>
      <c r="C92" s="424">
        <v>50002897</v>
      </c>
      <c r="D92" s="490"/>
      <c r="E92" s="490" t="s">
        <v>479</v>
      </c>
      <c r="F92" s="490" t="s">
        <v>480</v>
      </c>
      <c r="G92" s="490" t="s">
        <v>389</v>
      </c>
      <c r="H92" s="490" t="s">
        <v>390</v>
      </c>
      <c r="I92" s="490">
        <v>6286</v>
      </c>
      <c r="J92" s="512">
        <v>54</v>
      </c>
      <c r="K92" s="513">
        <f>Table_Household_Alloc[[#This Row],[Unit Entitlement]]/1000</f>
        <v>0.054</v>
      </c>
      <c r="L92" s="493">
        <f t="shared" si="2"/>
        <v>12.528</v>
      </c>
      <c r="M92" s="514" t="str">
        <f>CONCATENATE("Symo ",Table_Household_Alloc[[#This Row],[Export Capacity (kW)]])</f>
        <v>Symo 10</v>
      </c>
      <c r="N92" s="494">
        <f>IF(Table_Household_Alloc[[#This Row],[PV Installed]]="Y",1,0)*Table_Household_Alloc[[#This Row],[Calculated Battery Allocation (kWh)]]</f>
        <v>12.528</v>
      </c>
      <c r="O92" s="488">
        <v>10</v>
      </c>
      <c r="P92" s="490" t="s">
        <v>221</v>
      </c>
      <c r="Q92" s="490" t="s">
        <v>221</v>
      </c>
      <c r="R92" s="490" t="s">
        <v>221</v>
      </c>
      <c r="S92" s="490" t="s">
        <v>234</v>
      </c>
      <c r="T92" s="488" t="s">
        <v>481</v>
      </c>
      <c r="U92" s="496" t="s">
        <v>482</v>
      </c>
      <c r="V92" s="488" t="s">
        <v>483</v>
      </c>
      <c r="X92" s="526">
        <v>45078</v>
      </c>
      <c r="Y92" s="499" t="s">
        <v>227</v>
      </c>
    </row>
    <row r="93" s="488" customFormat="1" ht="17.4" spans="1:25">
      <c r="A93" s="409">
        <v>13</v>
      </c>
      <c r="B93" s="410" t="s">
        <v>54</v>
      </c>
      <c r="C93" s="424">
        <v>50002839</v>
      </c>
      <c r="D93" s="490"/>
      <c r="E93" s="490" t="s">
        <v>484</v>
      </c>
      <c r="F93" s="490" t="s">
        <v>485</v>
      </c>
      <c r="G93" s="490" t="s">
        <v>389</v>
      </c>
      <c r="H93" s="490" t="s">
        <v>390</v>
      </c>
      <c r="I93" s="490">
        <v>6286</v>
      </c>
      <c r="J93" s="512">
        <v>56</v>
      </c>
      <c r="K93" s="513">
        <f>Table_Household_Alloc[[#This Row],[Unit Entitlement]]/1000</f>
        <v>0.056</v>
      </c>
      <c r="L93" s="493">
        <f t="shared" si="2"/>
        <v>12.992</v>
      </c>
      <c r="M93" s="514"/>
      <c r="N93" s="494">
        <f>IF(Table_Household_Alloc[[#This Row],[PV Installed]]="Y",1,0)*Table_Household_Alloc[[#This Row],[Calculated Battery Allocation (kWh)]]</f>
        <v>0</v>
      </c>
      <c r="P93" s="490" t="s">
        <v>221</v>
      </c>
      <c r="Q93" s="490"/>
      <c r="R93" s="490" t="s">
        <v>221</v>
      </c>
      <c r="S93" s="490" t="s">
        <v>234</v>
      </c>
      <c r="T93" s="488" t="s">
        <v>486</v>
      </c>
      <c r="U93" s="496" t="s">
        <v>487</v>
      </c>
      <c r="V93" s="488" t="s">
        <v>488</v>
      </c>
      <c r="X93" s="526">
        <v>45261</v>
      </c>
      <c r="Y93" s="499" t="s">
        <v>227</v>
      </c>
    </row>
    <row r="94" s="488" customFormat="1" ht="17.4" spans="1:25">
      <c r="A94" s="409">
        <v>14</v>
      </c>
      <c r="B94" s="410" t="s">
        <v>54</v>
      </c>
      <c r="C94" s="432">
        <v>50002863</v>
      </c>
      <c r="D94" s="490"/>
      <c r="E94" s="490" t="s">
        <v>489</v>
      </c>
      <c r="F94" s="490" t="s">
        <v>490</v>
      </c>
      <c r="G94" s="490" t="s">
        <v>389</v>
      </c>
      <c r="H94" s="490" t="s">
        <v>390</v>
      </c>
      <c r="I94" s="490">
        <v>6286</v>
      </c>
      <c r="J94" s="512">
        <v>28</v>
      </c>
      <c r="K94" s="513">
        <f>Table_Household_Alloc[[#This Row],[Unit Entitlement]]/1000</f>
        <v>0.028</v>
      </c>
      <c r="L94" s="493">
        <f t="shared" si="2"/>
        <v>6.496</v>
      </c>
      <c r="M94" s="514" t="str">
        <f>CONCATENATE("Symo ",Table_Household_Alloc[[#This Row],[Export Capacity (kW)]])</f>
        <v>Symo 5</v>
      </c>
      <c r="N94" s="494">
        <f>IF(Table_Household_Alloc[[#This Row],[PV Installed]]="Y",1,0)*Table_Household_Alloc[[#This Row],[Calculated Battery Allocation (kWh)]]</f>
        <v>6.496</v>
      </c>
      <c r="O94" s="488">
        <v>5</v>
      </c>
      <c r="P94" s="490" t="s">
        <v>221</v>
      </c>
      <c r="Q94" s="490" t="s">
        <v>221</v>
      </c>
      <c r="R94" s="490" t="s">
        <v>221</v>
      </c>
      <c r="S94" s="490" t="s">
        <v>234</v>
      </c>
      <c r="T94" s="488" t="s">
        <v>491</v>
      </c>
      <c r="U94" s="496" t="s">
        <v>492</v>
      </c>
      <c r="V94" s="488" t="s">
        <v>493</v>
      </c>
      <c r="X94" s="526">
        <v>45536</v>
      </c>
      <c r="Y94" s="499" t="s">
        <v>227</v>
      </c>
    </row>
    <row r="95" s="488" customFormat="1" ht="17.4" spans="1:25">
      <c r="A95" s="409">
        <v>15</v>
      </c>
      <c r="B95" s="410" t="s">
        <v>54</v>
      </c>
      <c r="C95" s="424">
        <v>50002947</v>
      </c>
      <c r="D95" s="490"/>
      <c r="E95" s="490" t="s">
        <v>494</v>
      </c>
      <c r="F95" s="490" t="s">
        <v>495</v>
      </c>
      <c r="G95" s="490" t="s">
        <v>389</v>
      </c>
      <c r="H95" s="490" t="s">
        <v>390</v>
      </c>
      <c r="I95" s="490">
        <v>6286</v>
      </c>
      <c r="J95" s="512">
        <v>28</v>
      </c>
      <c r="K95" s="513">
        <f>Table_Household_Alloc[[#This Row],[Unit Entitlement]]/1000</f>
        <v>0.028</v>
      </c>
      <c r="L95" s="493">
        <f t="shared" si="2"/>
        <v>6.496</v>
      </c>
      <c r="M95" s="514" t="str">
        <f>CONCATENATE("Symo ",Table_Household_Alloc[[#This Row],[Export Capacity (kW)]])</f>
        <v>Symo 5</v>
      </c>
      <c r="N95" s="494">
        <f>IF(Table_Household_Alloc[[#This Row],[PV Installed]]="Y",1,0)*Table_Household_Alloc[[#This Row],[Calculated Battery Allocation (kWh)]]</f>
        <v>6.496</v>
      </c>
      <c r="O95" s="488">
        <v>5</v>
      </c>
      <c r="P95" s="490" t="s">
        <v>221</v>
      </c>
      <c r="Q95" s="490" t="s">
        <v>221</v>
      </c>
      <c r="R95" s="490" t="s">
        <v>221</v>
      </c>
      <c r="S95" s="490" t="s">
        <v>234</v>
      </c>
      <c r="T95" s="488" t="s">
        <v>496</v>
      </c>
      <c r="U95" s="496"/>
      <c r="V95" s="488" t="s">
        <v>497</v>
      </c>
      <c r="X95" s="526">
        <v>45413</v>
      </c>
      <c r="Y95" s="499" t="s">
        <v>227</v>
      </c>
    </row>
    <row r="96" s="488" customFormat="1" ht="17.4" spans="1:25">
      <c r="A96" s="409">
        <v>16</v>
      </c>
      <c r="B96" s="410" t="s">
        <v>54</v>
      </c>
      <c r="C96" s="414"/>
      <c r="D96" s="490"/>
      <c r="E96" s="490" t="s">
        <v>498</v>
      </c>
      <c r="F96" s="490" t="s">
        <v>499</v>
      </c>
      <c r="G96" s="490" t="s">
        <v>389</v>
      </c>
      <c r="H96" s="490" t="s">
        <v>390</v>
      </c>
      <c r="I96" s="490">
        <v>6286</v>
      </c>
      <c r="J96" s="512">
        <v>28</v>
      </c>
      <c r="K96" s="513">
        <f>Table_Household_Alloc[[#This Row],[Unit Entitlement]]/1000</f>
        <v>0.028</v>
      </c>
      <c r="L96" s="493">
        <f t="shared" si="2"/>
        <v>6.496</v>
      </c>
      <c r="M96" s="514"/>
      <c r="N96" s="494">
        <f>IF(Table_Household_Alloc[[#This Row],[PV Installed]]="Y",1,0)*Table_Household_Alloc[[#This Row],[Calculated Battery Allocation (kWh)]]</f>
        <v>0</v>
      </c>
      <c r="P96" s="490"/>
      <c r="Q96" s="490"/>
      <c r="R96" s="490"/>
      <c r="S96" s="490" t="s">
        <v>307</v>
      </c>
      <c r="T96" s="488" t="s">
        <v>500</v>
      </c>
      <c r="U96" s="496"/>
      <c r="V96" s="488" t="s">
        <v>501</v>
      </c>
      <c r="X96" s="526"/>
      <c r="Y96" s="499"/>
    </row>
    <row r="97" s="488" customFormat="1" ht="17.4" spans="1:25">
      <c r="A97" s="409">
        <v>17</v>
      </c>
      <c r="B97" s="410" t="s">
        <v>54</v>
      </c>
      <c r="C97" s="424">
        <v>50002902</v>
      </c>
      <c r="D97" s="490"/>
      <c r="E97" s="490" t="s">
        <v>502</v>
      </c>
      <c r="F97" s="490" t="s">
        <v>503</v>
      </c>
      <c r="G97" s="490" t="s">
        <v>389</v>
      </c>
      <c r="H97" s="490" t="s">
        <v>390</v>
      </c>
      <c r="I97" s="490">
        <v>6286</v>
      </c>
      <c r="J97" s="512">
        <v>28</v>
      </c>
      <c r="K97" s="513">
        <f>Table_Household_Alloc[[#This Row],[Unit Entitlement]]/1000</f>
        <v>0.028</v>
      </c>
      <c r="L97" s="493">
        <f t="shared" si="2"/>
        <v>6.496</v>
      </c>
      <c r="M97" s="514" t="str">
        <f>CONCATENATE("Symo ",Table_Household_Alloc[[#This Row],[Export Capacity (kW)]])</f>
        <v>Symo 5</v>
      </c>
      <c r="N97" s="494">
        <f>IF(Table_Household_Alloc[[#This Row],[PV Installed]]="Y",1,0)*Table_Household_Alloc[[#This Row],[Calculated Battery Allocation (kWh)]]</f>
        <v>6.496</v>
      </c>
      <c r="O97" s="488">
        <v>5</v>
      </c>
      <c r="P97" s="490" t="s">
        <v>221</v>
      </c>
      <c r="Q97" s="490" t="s">
        <v>221</v>
      </c>
      <c r="R97" s="490" t="s">
        <v>221</v>
      </c>
      <c r="S97" s="490" t="s">
        <v>234</v>
      </c>
      <c r="T97" s="488" t="s">
        <v>504</v>
      </c>
      <c r="U97" s="496"/>
      <c r="V97" s="488" t="s">
        <v>505</v>
      </c>
      <c r="X97" s="526">
        <v>45536</v>
      </c>
      <c r="Y97" s="499" t="s">
        <v>227</v>
      </c>
    </row>
    <row r="98" s="488" customFormat="1" ht="17.4" spans="1:25">
      <c r="A98" s="409">
        <v>18</v>
      </c>
      <c r="B98" s="410" t="s">
        <v>54</v>
      </c>
      <c r="C98" s="424">
        <v>50002950</v>
      </c>
      <c r="D98" s="490"/>
      <c r="E98" s="490" t="s">
        <v>506</v>
      </c>
      <c r="F98" s="490" t="s">
        <v>507</v>
      </c>
      <c r="G98" s="490" t="s">
        <v>389</v>
      </c>
      <c r="H98" s="490" t="s">
        <v>390</v>
      </c>
      <c r="I98" s="490">
        <v>6286</v>
      </c>
      <c r="J98" s="512">
        <v>28</v>
      </c>
      <c r="K98" s="513">
        <f>Table_Household_Alloc[[#This Row],[Unit Entitlement]]/1000</f>
        <v>0.028</v>
      </c>
      <c r="L98" s="493">
        <f t="shared" si="2"/>
        <v>6.496</v>
      </c>
      <c r="M98" s="514" t="str">
        <f>CONCATENATE("Symo ",Table_Household_Alloc[[#This Row],[Export Capacity (kW)]])</f>
        <v>Symo 5</v>
      </c>
      <c r="N98" s="494">
        <f>IF(Table_Household_Alloc[[#This Row],[PV Installed]]="Y",1,0)*Table_Household_Alloc[[#This Row],[Calculated Battery Allocation (kWh)]]</f>
        <v>6.496</v>
      </c>
      <c r="O98" s="488">
        <v>5</v>
      </c>
      <c r="P98" s="490" t="s">
        <v>221</v>
      </c>
      <c r="Q98" s="490" t="s">
        <v>221</v>
      </c>
      <c r="R98" s="490" t="s">
        <v>221</v>
      </c>
      <c r="S98" s="490" t="s">
        <v>234</v>
      </c>
      <c r="T98" s="488" t="s">
        <v>508</v>
      </c>
      <c r="U98" s="496" t="s">
        <v>509</v>
      </c>
      <c r="V98" s="488" t="s">
        <v>510</v>
      </c>
      <c r="X98" s="526">
        <v>45536</v>
      </c>
      <c r="Y98" s="499" t="s">
        <v>227</v>
      </c>
    </row>
    <row r="99" s="488" customFormat="1" ht="17.4" spans="1:25">
      <c r="A99" s="409">
        <v>19</v>
      </c>
      <c r="B99" s="410" t="s">
        <v>54</v>
      </c>
      <c r="C99" s="424">
        <v>50002936</v>
      </c>
      <c r="D99" s="490"/>
      <c r="E99" s="490" t="s">
        <v>511</v>
      </c>
      <c r="F99" s="490" t="s">
        <v>512</v>
      </c>
      <c r="G99" s="490" t="s">
        <v>389</v>
      </c>
      <c r="H99" s="490" t="s">
        <v>390</v>
      </c>
      <c r="I99" s="490">
        <v>6286</v>
      </c>
      <c r="J99" s="512">
        <v>30</v>
      </c>
      <c r="K99" s="513">
        <f>Table_Household_Alloc[[#This Row],[Unit Entitlement]]/1000</f>
        <v>0.03</v>
      </c>
      <c r="L99" s="493">
        <f t="shared" si="2"/>
        <v>6.96</v>
      </c>
      <c r="M99" s="514" t="str">
        <f>CONCATENATE("Symo ",Table_Household_Alloc[[#This Row],[Export Capacity (kW)]])</f>
        <v>Symo 5</v>
      </c>
      <c r="N99" s="494">
        <f>IF(Table_Household_Alloc[[#This Row],[PV Installed]]="Y",1,0)*Table_Household_Alloc[[#This Row],[Calculated Battery Allocation (kWh)]]</f>
        <v>6.96</v>
      </c>
      <c r="O99" s="488">
        <v>5</v>
      </c>
      <c r="P99" s="490" t="s">
        <v>221</v>
      </c>
      <c r="Q99" s="490" t="s">
        <v>221</v>
      </c>
      <c r="R99" s="490" t="s">
        <v>221</v>
      </c>
      <c r="S99" s="490" t="s">
        <v>234</v>
      </c>
      <c r="T99" s="488" t="s">
        <v>513</v>
      </c>
      <c r="U99" s="496"/>
      <c r="V99" s="488" t="s">
        <v>514</v>
      </c>
      <c r="X99" s="526">
        <v>45505</v>
      </c>
      <c r="Y99" s="499" t="s">
        <v>227</v>
      </c>
    </row>
    <row r="100" s="488" customFormat="1" ht="17.4" spans="1:25">
      <c r="A100" s="409">
        <v>20</v>
      </c>
      <c r="B100" s="410" t="s">
        <v>54</v>
      </c>
      <c r="C100" s="414"/>
      <c r="D100" s="490"/>
      <c r="E100" s="490" t="s">
        <v>515</v>
      </c>
      <c r="F100" s="490" t="s">
        <v>516</v>
      </c>
      <c r="G100" s="490" t="s">
        <v>389</v>
      </c>
      <c r="H100" s="490" t="s">
        <v>390</v>
      </c>
      <c r="I100" s="490">
        <v>6286</v>
      </c>
      <c r="J100" s="512">
        <v>59</v>
      </c>
      <c r="K100" s="513">
        <f>Table_Household_Alloc[[#This Row],[Unit Entitlement]]/1000</f>
        <v>0.059</v>
      </c>
      <c r="L100" s="493">
        <f t="shared" si="2"/>
        <v>13.688</v>
      </c>
      <c r="M100" s="514"/>
      <c r="N100" s="494">
        <f>IF(Table_Household_Alloc[[#This Row],[PV Installed]]="Y",1,0)*Table_Household_Alloc[[#This Row],[Calculated Battery Allocation (kWh)]]</f>
        <v>0</v>
      </c>
      <c r="P100" s="490"/>
      <c r="Q100" s="490"/>
      <c r="R100" s="490"/>
      <c r="S100" s="490" t="s">
        <v>307</v>
      </c>
      <c r="T100" s="488" t="s">
        <v>517</v>
      </c>
      <c r="U100" s="496"/>
      <c r="V100" s="488" t="s">
        <v>518</v>
      </c>
      <c r="X100" s="526"/>
      <c r="Y100" s="499"/>
    </row>
    <row r="101" s="488" customFormat="1" ht="17.4" spans="1:25">
      <c r="A101" s="409">
        <v>21</v>
      </c>
      <c r="B101" s="410" t="s">
        <v>54</v>
      </c>
      <c r="C101" s="424">
        <v>50002922</v>
      </c>
      <c r="D101" s="490"/>
      <c r="E101" s="490" t="s">
        <v>519</v>
      </c>
      <c r="F101" s="490" t="s">
        <v>520</v>
      </c>
      <c r="G101" s="490" t="s">
        <v>389</v>
      </c>
      <c r="H101" s="490" t="s">
        <v>390</v>
      </c>
      <c r="I101" s="490">
        <v>6286</v>
      </c>
      <c r="J101" s="512">
        <v>59</v>
      </c>
      <c r="K101" s="513">
        <f>Table_Household_Alloc[[#This Row],[Unit Entitlement]]/1000</f>
        <v>0.059</v>
      </c>
      <c r="L101" s="493">
        <f t="shared" si="2"/>
        <v>13.688</v>
      </c>
      <c r="M101" s="514" t="str">
        <f>CONCATENATE("Symo ",Table_Household_Alloc[[#This Row],[Export Capacity (kW)]])</f>
        <v>Symo 10</v>
      </c>
      <c r="N101" s="494">
        <f>IF(Table_Household_Alloc[[#This Row],[PV Installed]]="Y",1,0)*Table_Household_Alloc[[#This Row],[Calculated Battery Allocation (kWh)]]</f>
        <v>13.688</v>
      </c>
      <c r="O101" s="488">
        <v>10</v>
      </c>
      <c r="P101" s="490" t="s">
        <v>221</v>
      </c>
      <c r="Q101" s="490" t="s">
        <v>221</v>
      </c>
      <c r="R101" s="490" t="s">
        <v>221</v>
      </c>
      <c r="S101" s="490" t="s">
        <v>234</v>
      </c>
      <c r="T101" s="488" t="s">
        <v>521</v>
      </c>
      <c r="U101" s="496" t="s">
        <v>522</v>
      </c>
      <c r="V101" s="488" t="s">
        <v>523</v>
      </c>
      <c r="X101" s="526">
        <v>44896</v>
      </c>
      <c r="Y101" s="499" t="s">
        <v>227</v>
      </c>
    </row>
    <row r="102" s="488" customFormat="1" ht="17.4" spans="1:25">
      <c r="A102" s="409">
        <v>22</v>
      </c>
      <c r="B102" s="410" t="s">
        <v>54</v>
      </c>
      <c r="C102" s="414"/>
      <c r="D102" s="490"/>
      <c r="E102" s="490" t="s">
        <v>524</v>
      </c>
      <c r="F102" s="490" t="s">
        <v>525</v>
      </c>
      <c r="G102" s="490" t="s">
        <v>389</v>
      </c>
      <c r="H102" s="490" t="s">
        <v>390</v>
      </c>
      <c r="I102" s="490">
        <v>6286</v>
      </c>
      <c r="J102" s="512">
        <v>59</v>
      </c>
      <c r="K102" s="513">
        <f>Table_Household_Alloc[[#This Row],[Unit Entitlement]]/1000</f>
        <v>0.059</v>
      </c>
      <c r="L102" s="493">
        <f t="shared" si="2"/>
        <v>13.688</v>
      </c>
      <c r="M102" s="514"/>
      <c r="N102" s="494">
        <f>IF(Table_Household_Alloc[[#This Row],[PV Installed]]="Y",1,0)*Table_Household_Alloc[[#This Row],[Calculated Battery Allocation (kWh)]]</f>
        <v>0</v>
      </c>
      <c r="P102" s="490"/>
      <c r="Q102" s="490"/>
      <c r="R102" s="490"/>
      <c r="S102" s="490" t="s">
        <v>307</v>
      </c>
      <c r="T102" s="488" t="s">
        <v>526</v>
      </c>
      <c r="U102" s="496"/>
      <c r="V102" s="488" t="s">
        <v>527</v>
      </c>
      <c r="X102" s="526"/>
      <c r="Y102" s="499"/>
    </row>
    <row r="103" s="488" customFormat="1" ht="17.4" spans="1:25">
      <c r="A103" s="409">
        <v>23</v>
      </c>
      <c r="B103" s="410" t="s">
        <v>54</v>
      </c>
      <c r="C103" s="414">
        <v>50002928</v>
      </c>
      <c r="D103" s="490"/>
      <c r="E103" s="490" t="s">
        <v>528</v>
      </c>
      <c r="F103" s="490" t="s">
        <v>529</v>
      </c>
      <c r="G103" s="490" t="s">
        <v>389</v>
      </c>
      <c r="H103" s="490" t="s">
        <v>390</v>
      </c>
      <c r="I103" s="490">
        <v>6286</v>
      </c>
      <c r="J103" s="512">
        <v>59</v>
      </c>
      <c r="K103" s="513">
        <f>Table_Household_Alloc[[#This Row],[Unit Entitlement]]/1000</f>
        <v>0.059</v>
      </c>
      <c r="L103" s="493">
        <f t="shared" si="2"/>
        <v>13.688</v>
      </c>
      <c r="M103" s="514"/>
      <c r="N103" s="494">
        <f>IF(Table_Household_Alloc[[#This Row],[PV Installed]]="Y",1,0)*Table_Household_Alloc[[#This Row],[Calculated Battery Allocation (kWh)]]</f>
        <v>0</v>
      </c>
      <c r="P103" s="490"/>
      <c r="Q103" s="490"/>
      <c r="R103" s="490"/>
      <c r="S103" s="490" t="s">
        <v>530</v>
      </c>
      <c r="T103" s="488" t="s">
        <v>531</v>
      </c>
      <c r="U103" s="496" t="s">
        <v>532</v>
      </c>
      <c r="V103" s="488" t="s">
        <v>533</v>
      </c>
      <c r="X103" s="526">
        <v>45383</v>
      </c>
      <c r="Y103" s="499" t="s">
        <v>227</v>
      </c>
    </row>
    <row r="104" s="488" customFormat="1" ht="18" spans="1:25">
      <c r="A104" s="417" t="s">
        <v>334</v>
      </c>
      <c r="B104" s="410" t="s">
        <v>54</v>
      </c>
      <c r="C104" s="424">
        <v>2902000692</v>
      </c>
      <c r="D104" s="490"/>
      <c r="E104" s="502" t="s">
        <v>335</v>
      </c>
      <c r="F104" s="489"/>
      <c r="G104" s="490"/>
      <c r="H104" s="490"/>
      <c r="I104" s="490"/>
      <c r="J104" s="491"/>
      <c r="K104" s="492">
        <f>Table_Household_Alloc[[#This Row],[Unit Entitlement]]/1000</f>
        <v>0</v>
      </c>
      <c r="L104" s="493"/>
      <c r="M104" s="490"/>
      <c r="N104" s="494">
        <f>IF(Table_Household_Alloc[[#This Row],[PV Installed]]="Y",1,0)*Table_Household_Alloc[[#This Row],[Calculated Battery Allocation (kWh)]]</f>
        <v>0</v>
      </c>
      <c r="T104" s="495"/>
      <c r="U104" s="496"/>
      <c r="V104" s="497"/>
      <c r="X104" s="498"/>
      <c r="Y104" s="499"/>
    </row>
    <row r="105" s="488" customFormat="1" ht="17.4" spans="1:25">
      <c r="A105" s="409" t="s">
        <v>336</v>
      </c>
      <c r="B105" s="410" t="s">
        <v>54</v>
      </c>
      <c r="C105" s="424">
        <v>2902000696</v>
      </c>
      <c r="D105" s="490" t="s">
        <v>337</v>
      </c>
      <c r="E105" s="502" t="s">
        <v>338</v>
      </c>
      <c r="F105" s="490"/>
      <c r="G105" s="490" t="s">
        <v>219</v>
      </c>
      <c r="H105" s="490" t="s">
        <v>220</v>
      </c>
      <c r="I105" s="490">
        <v>6286</v>
      </c>
      <c r="J105" s="508"/>
      <c r="K105" s="509">
        <f>Table_Household_Alloc[[#This Row],[Unit Entitlement]]/1000</f>
        <v>0</v>
      </c>
      <c r="L105" s="493">
        <f t="shared" ref="L105:L106" si="3">(J105/1000)*232</f>
        <v>0</v>
      </c>
      <c r="M105" s="514"/>
      <c r="N105" s="494">
        <f>IF(Table_Household_Alloc[[#This Row],[PV Installed]]="Y",1,0)*Table_Household_Alloc[[#This Row],[Calculated Battery Allocation (kWh)]]</f>
        <v>0</v>
      </c>
      <c r="P105" s="500"/>
      <c r="Q105" s="500"/>
      <c r="R105" s="490"/>
      <c r="S105" s="490"/>
      <c r="U105" s="496"/>
      <c r="X105" s="526"/>
      <c r="Y105" s="499"/>
    </row>
    <row r="106" s="488" customFormat="1" ht="17.4" spans="1:25">
      <c r="A106" s="409" t="s">
        <v>339</v>
      </c>
      <c r="B106" s="410" t="s">
        <v>54</v>
      </c>
      <c r="C106" s="424">
        <v>2912025475</v>
      </c>
      <c r="D106" s="490" t="s">
        <v>337</v>
      </c>
      <c r="E106" s="502" t="s">
        <v>340</v>
      </c>
      <c r="F106" s="490"/>
      <c r="G106" s="490" t="s">
        <v>219</v>
      </c>
      <c r="H106" s="490" t="s">
        <v>220</v>
      </c>
      <c r="I106" s="490">
        <v>6286</v>
      </c>
      <c r="J106" s="512"/>
      <c r="K106" s="513">
        <f>Table_Household_Alloc[[#This Row],[Unit Entitlement]]/1000</f>
        <v>0</v>
      </c>
      <c r="L106" s="493">
        <f t="shared" si="3"/>
        <v>0</v>
      </c>
      <c r="M106" s="514"/>
      <c r="N106" s="494">
        <f>IF(Table_Household_Alloc[[#This Row],[PV Installed]]="Y",1,0)*Table_Household_Alloc[[#This Row],[Calculated Battery Allocation (kWh)]]</f>
        <v>0</v>
      </c>
      <c r="P106" s="500"/>
      <c r="Q106" s="500"/>
      <c r="R106" s="490"/>
      <c r="S106" s="490"/>
      <c r="U106" s="496"/>
      <c r="X106" s="526"/>
      <c r="Y106" s="499"/>
    </row>
    <row r="107" s="488" customFormat="1" ht="18" spans="1:25">
      <c r="A107" s="422" t="s">
        <v>341</v>
      </c>
      <c r="B107" s="410" t="s">
        <v>54</v>
      </c>
      <c r="C107" s="424"/>
      <c r="D107" s="490"/>
      <c r="E107" s="489"/>
      <c r="F107" s="489"/>
      <c r="G107" s="490"/>
      <c r="H107" s="490"/>
      <c r="I107" s="490"/>
      <c r="J107" s="491"/>
      <c r="K107" s="492">
        <f>Table_Household_Alloc[[#This Row],[Unit Entitlement]]/1000</f>
        <v>0</v>
      </c>
      <c r="L107" s="493"/>
      <c r="M107" s="490"/>
      <c r="N107" s="494">
        <f>IF(Table_Household_Alloc[[#This Row],[PV Installed]]="Y",1,0)*Table_Household_Alloc[[#This Row],[Calculated Battery Allocation (kWh)]]</f>
        <v>0</v>
      </c>
      <c r="T107" s="495"/>
      <c r="U107" s="496"/>
      <c r="V107" s="497"/>
      <c r="X107" s="498"/>
      <c r="Y107" s="499"/>
    </row>
    <row r="108" s="488" customFormat="1" ht="18" spans="1:25">
      <c r="A108" s="423" t="s">
        <v>342</v>
      </c>
      <c r="B108" s="410" t="s">
        <v>54</v>
      </c>
      <c r="C108" s="424"/>
      <c r="D108" s="490"/>
      <c r="E108" s="489"/>
      <c r="F108" s="489"/>
      <c r="G108" s="490"/>
      <c r="H108" s="490"/>
      <c r="I108" s="490"/>
      <c r="J108" s="491"/>
      <c r="K108" s="492">
        <f>Table_Household_Alloc[[#This Row],[Unit Entitlement]]/1000</f>
        <v>0</v>
      </c>
      <c r="L108" s="493"/>
      <c r="M108" s="490"/>
      <c r="N108" s="494">
        <f>IF(Table_Household_Alloc[[#This Row],[PV Installed]]="Y",1,0)*Table_Household_Alloc[[#This Row],[Calculated Battery Allocation (kWh)]]</f>
        <v>0</v>
      </c>
      <c r="T108" s="495"/>
      <c r="U108" s="496"/>
      <c r="V108" s="497"/>
      <c r="X108" s="498"/>
      <c r="Y108" s="499"/>
    </row>
    <row r="109" s="488" customFormat="1" ht="17.4" spans="1:25">
      <c r="A109" s="409">
        <v>1</v>
      </c>
      <c r="B109" s="410" t="s">
        <v>58</v>
      </c>
      <c r="C109" s="411">
        <v>50003379</v>
      </c>
      <c r="D109" s="490"/>
      <c r="E109" s="490" t="s">
        <v>534</v>
      </c>
      <c r="F109" s="490" t="s">
        <v>535</v>
      </c>
      <c r="G109" s="490" t="s">
        <v>389</v>
      </c>
      <c r="H109" s="490" t="s">
        <v>390</v>
      </c>
      <c r="I109" s="490">
        <v>6286</v>
      </c>
      <c r="J109" s="512">
        <v>39</v>
      </c>
      <c r="K109" s="513">
        <f>Table_Household_Alloc[[#This Row],[Unit Entitlement]]/1000</f>
        <v>0.039</v>
      </c>
      <c r="L109" s="493">
        <f t="shared" si="2"/>
        <v>9.048</v>
      </c>
      <c r="M109" s="514" t="str">
        <f>CONCATENATE("Symo ",Table_Household_Alloc[[#This Row],[Export Capacity (kW)]])</f>
        <v>Symo 8.2</v>
      </c>
      <c r="N109" s="494">
        <f>IF(Table_Household_Alloc[[#This Row],[PV Installed]]="Y",1,0)*Table_Household_Alloc[[#This Row],[Calculated Battery Allocation (kWh)]]</f>
        <v>9.048</v>
      </c>
      <c r="O109" s="488">
        <v>8.2</v>
      </c>
      <c r="P109" s="490" t="s">
        <v>221</v>
      </c>
      <c r="Q109" s="490" t="s">
        <v>221</v>
      </c>
      <c r="R109" s="490" t="s">
        <v>221</v>
      </c>
      <c r="S109" s="490" t="s">
        <v>234</v>
      </c>
      <c r="T109" s="488" t="s">
        <v>536</v>
      </c>
      <c r="U109" s="496" t="s">
        <v>537</v>
      </c>
      <c r="V109" s="488" t="s">
        <v>538</v>
      </c>
      <c r="X109" s="526">
        <v>45424</v>
      </c>
      <c r="Y109" s="499" t="s">
        <v>227</v>
      </c>
    </row>
    <row r="110" s="488" customFormat="1" ht="17.4" spans="1:25">
      <c r="A110" s="409">
        <v>2</v>
      </c>
      <c r="B110" s="410" t="s">
        <v>58</v>
      </c>
      <c r="C110" s="411">
        <v>50002906</v>
      </c>
      <c r="D110" s="490"/>
      <c r="E110" s="490" t="s">
        <v>539</v>
      </c>
      <c r="F110" s="490" t="s">
        <v>540</v>
      </c>
      <c r="G110" s="490" t="s">
        <v>389</v>
      </c>
      <c r="H110" s="490" t="s">
        <v>390</v>
      </c>
      <c r="I110" s="490">
        <v>6286</v>
      </c>
      <c r="J110" s="512">
        <v>38</v>
      </c>
      <c r="K110" s="513">
        <f>Table_Household_Alloc[[#This Row],[Unit Entitlement]]/1000</f>
        <v>0.038</v>
      </c>
      <c r="L110" s="493">
        <f t="shared" si="2"/>
        <v>8.816</v>
      </c>
      <c r="M110" s="514" t="str">
        <f>CONCATENATE("Symo ",Table_Household_Alloc[[#This Row],[Export Capacity (kW)]])</f>
        <v>Symo 8.2</v>
      </c>
      <c r="N110" s="494">
        <f>IF(Table_Household_Alloc[[#This Row],[PV Installed]]="Y",1,0)*Table_Household_Alloc[[#This Row],[Calculated Battery Allocation (kWh)]]</f>
        <v>8.816</v>
      </c>
      <c r="O110" s="488">
        <v>8.2</v>
      </c>
      <c r="P110" s="490" t="s">
        <v>221</v>
      </c>
      <c r="Q110" s="490" t="s">
        <v>221</v>
      </c>
      <c r="R110" s="490" t="s">
        <v>221</v>
      </c>
      <c r="S110" s="490" t="s">
        <v>234</v>
      </c>
      <c r="T110" s="488" t="s">
        <v>541</v>
      </c>
      <c r="U110" s="496" t="s">
        <v>542</v>
      </c>
      <c r="V110" s="488" t="s">
        <v>543</v>
      </c>
      <c r="X110" s="526">
        <v>45251</v>
      </c>
      <c r="Y110" s="499" t="s">
        <v>227</v>
      </c>
    </row>
    <row r="111" s="488" customFormat="1" ht="17.4" spans="1:25">
      <c r="A111" s="409">
        <v>3</v>
      </c>
      <c r="B111" s="410" t="s">
        <v>58</v>
      </c>
      <c r="C111" s="411">
        <v>50002924</v>
      </c>
      <c r="D111" s="490"/>
      <c r="E111" s="490" t="s">
        <v>544</v>
      </c>
      <c r="F111" s="490" t="s">
        <v>545</v>
      </c>
      <c r="G111" s="490" t="s">
        <v>389</v>
      </c>
      <c r="H111" s="490" t="s">
        <v>390</v>
      </c>
      <c r="I111" s="490">
        <v>6286</v>
      </c>
      <c r="J111" s="512">
        <v>39</v>
      </c>
      <c r="K111" s="513">
        <f>Table_Household_Alloc[[#This Row],[Unit Entitlement]]/1000</f>
        <v>0.039</v>
      </c>
      <c r="L111" s="493">
        <f t="shared" si="2"/>
        <v>9.048</v>
      </c>
      <c r="M111" s="514" t="str">
        <f>CONCATENATE("Symo ",Table_Household_Alloc[[#This Row],[Export Capacity (kW)]])</f>
        <v>Symo 5</v>
      </c>
      <c r="N111" s="494">
        <f>IF(Table_Household_Alloc[[#This Row],[PV Installed]]="Y",1,0)*Table_Household_Alloc[[#This Row],[Calculated Battery Allocation (kWh)]]</f>
        <v>9.048</v>
      </c>
      <c r="O111" s="488">
        <v>5</v>
      </c>
      <c r="P111" s="490" t="s">
        <v>221</v>
      </c>
      <c r="Q111" s="490" t="s">
        <v>221</v>
      </c>
      <c r="R111" s="490" t="s">
        <v>221</v>
      </c>
      <c r="S111" s="490" t="s">
        <v>234</v>
      </c>
      <c r="T111" s="488" t="s">
        <v>546</v>
      </c>
      <c r="U111" s="496"/>
      <c r="V111" s="488" t="s">
        <v>547</v>
      </c>
      <c r="X111" s="526">
        <v>44895</v>
      </c>
      <c r="Y111" s="499" t="s">
        <v>227</v>
      </c>
    </row>
    <row r="112" s="488" customFormat="1" ht="17.4" spans="1:25">
      <c r="A112" s="409">
        <v>4</v>
      </c>
      <c r="B112" s="410" t="s">
        <v>58</v>
      </c>
      <c r="C112" s="434"/>
      <c r="D112" s="490"/>
      <c r="E112" s="490" t="s">
        <v>548</v>
      </c>
      <c r="F112" s="490" t="s">
        <v>549</v>
      </c>
      <c r="G112" s="490" t="s">
        <v>389</v>
      </c>
      <c r="H112" s="490" t="s">
        <v>390</v>
      </c>
      <c r="I112" s="490">
        <v>6286</v>
      </c>
      <c r="J112" s="512">
        <v>41</v>
      </c>
      <c r="K112" s="513">
        <f>Table_Household_Alloc[[#This Row],[Unit Entitlement]]/1000</f>
        <v>0.041</v>
      </c>
      <c r="L112" s="493">
        <f t="shared" si="2"/>
        <v>9.512</v>
      </c>
      <c r="M112" s="514"/>
      <c r="N112" s="494">
        <f>IF(Table_Household_Alloc[[#This Row],[PV Installed]]="Y",1,0)*Table_Household_Alloc[[#This Row],[Calculated Battery Allocation (kWh)]]</f>
        <v>0</v>
      </c>
      <c r="P112" s="490"/>
      <c r="Q112" s="490"/>
      <c r="R112" s="490"/>
      <c r="S112" s="490" t="s">
        <v>223</v>
      </c>
      <c r="T112" s="488" t="s">
        <v>550</v>
      </c>
      <c r="U112" s="496"/>
      <c r="V112" s="488" t="s">
        <v>551</v>
      </c>
      <c r="X112" s="526"/>
      <c r="Y112" s="499"/>
    </row>
    <row r="113" s="488" customFormat="1" ht="17.4" spans="1:25">
      <c r="A113" s="409">
        <v>5</v>
      </c>
      <c r="B113" s="410" t="s">
        <v>58</v>
      </c>
      <c r="C113" s="411">
        <v>50002894</v>
      </c>
      <c r="D113" s="490"/>
      <c r="E113" s="490" t="s">
        <v>552</v>
      </c>
      <c r="F113" s="490" t="s">
        <v>553</v>
      </c>
      <c r="G113" s="490" t="s">
        <v>389</v>
      </c>
      <c r="H113" s="490" t="s">
        <v>390</v>
      </c>
      <c r="I113" s="490">
        <v>6286</v>
      </c>
      <c r="J113" s="512">
        <v>41</v>
      </c>
      <c r="K113" s="513">
        <f>Table_Household_Alloc[[#This Row],[Unit Entitlement]]/1000</f>
        <v>0.041</v>
      </c>
      <c r="L113" s="493">
        <f t="shared" si="2"/>
        <v>9.512</v>
      </c>
      <c r="M113" s="514" t="str">
        <f>CONCATENATE("Symo ",Table_Household_Alloc[[#This Row],[Export Capacity (kW)]])</f>
        <v>Symo 8.2</v>
      </c>
      <c r="N113" s="494">
        <f>IF(Table_Household_Alloc[[#This Row],[PV Installed]]="Y",1,0)*Table_Household_Alloc[[#This Row],[Calculated Battery Allocation (kWh)]]</f>
        <v>9.512</v>
      </c>
      <c r="O113" s="488">
        <v>8.2</v>
      </c>
      <c r="P113" s="490" t="s">
        <v>221</v>
      </c>
      <c r="Q113" s="490" t="s">
        <v>221</v>
      </c>
      <c r="R113" s="490" t="s">
        <v>221</v>
      </c>
      <c r="S113" s="490" t="s">
        <v>234</v>
      </c>
      <c r="T113" s="488" t="s">
        <v>554</v>
      </c>
      <c r="U113" s="496"/>
      <c r="V113" s="488" t="s">
        <v>555</v>
      </c>
      <c r="X113" s="526">
        <v>44898</v>
      </c>
      <c r="Y113" s="499" t="s">
        <v>227</v>
      </c>
    </row>
    <row r="114" s="488" customFormat="1" ht="17.4" spans="1:25">
      <c r="A114" s="409">
        <v>6</v>
      </c>
      <c r="B114" s="410" t="s">
        <v>58</v>
      </c>
      <c r="C114" s="411">
        <v>50002835</v>
      </c>
      <c r="D114" s="490"/>
      <c r="E114" s="490" t="s">
        <v>556</v>
      </c>
      <c r="F114" s="490" t="s">
        <v>557</v>
      </c>
      <c r="G114" s="490" t="s">
        <v>389</v>
      </c>
      <c r="H114" s="490" t="s">
        <v>390</v>
      </c>
      <c r="I114" s="490">
        <v>6286</v>
      </c>
      <c r="J114" s="512">
        <v>39</v>
      </c>
      <c r="K114" s="513">
        <f>Table_Household_Alloc[[#This Row],[Unit Entitlement]]/1000</f>
        <v>0.039</v>
      </c>
      <c r="L114" s="493">
        <f t="shared" si="2"/>
        <v>9.048</v>
      </c>
      <c r="M114" s="514" t="str">
        <f>CONCATENATE("Symo ",Table_Household_Alloc[[#This Row],[Export Capacity (kW)]])</f>
        <v>Symo 5</v>
      </c>
      <c r="N114" s="494">
        <f>IF(Table_Household_Alloc[[#This Row],[PV Installed]]="Y",1,0)*Table_Household_Alloc[[#This Row],[Calculated Battery Allocation (kWh)]]</f>
        <v>9.048</v>
      </c>
      <c r="O114" s="488">
        <v>5</v>
      </c>
      <c r="P114" s="490" t="s">
        <v>221</v>
      </c>
      <c r="Q114" s="490" t="s">
        <v>221</v>
      </c>
      <c r="R114" s="490" t="s">
        <v>221</v>
      </c>
      <c r="S114" s="490" t="s">
        <v>234</v>
      </c>
      <c r="T114" s="488" t="s">
        <v>558</v>
      </c>
      <c r="U114" s="496"/>
      <c r="V114" s="488" t="s">
        <v>559</v>
      </c>
      <c r="X114" s="526">
        <v>45221</v>
      </c>
      <c r="Y114" s="499" t="s">
        <v>227</v>
      </c>
    </row>
    <row r="115" s="488" customFormat="1" ht="17.4" spans="1:25">
      <c r="A115" s="409">
        <v>7</v>
      </c>
      <c r="B115" s="410" t="s">
        <v>58</v>
      </c>
      <c r="C115" s="411">
        <v>50002899</v>
      </c>
      <c r="D115" s="490"/>
      <c r="E115" s="490" t="s">
        <v>560</v>
      </c>
      <c r="F115" s="490" t="s">
        <v>561</v>
      </c>
      <c r="G115" s="490" t="s">
        <v>389</v>
      </c>
      <c r="H115" s="490" t="s">
        <v>390</v>
      </c>
      <c r="I115" s="490">
        <v>6286</v>
      </c>
      <c r="J115" s="512">
        <v>38</v>
      </c>
      <c r="K115" s="513">
        <f>Table_Household_Alloc[[#This Row],[Unit Entitlement]]/1000</f>
        <v>0.038</v>
      </c>
      <c r="L115" s="493">
        <f t="shared" si="2"/>
        <v>8.816</v>
      </c>
      <c r="M115" s="514" t="str">
        <f>CONCATENATE("Symo ",Table_Household_Alloc[[#This Row],[Export Capacity (kW)]])</f>
        <v>Symo 5</v>
      </c>
      <c r="N115" s="494">
        <f>IF(Table_Household_Alloc[[#This Row],[PV Installed]]="Y",1,0)*Table_Household_Alloc[[#This Row],[Calculated Battery Allocation (kWh)]]</f>
        <v>8.816</v>
      </c>
      <c r="O115" s="488">
        <v>5</v>
      </c>
      <c r="P115" s="490" t="s">
        <v>221</v>
      </c>
      <c r="Q115" s="490" t="s">
        <v>221</v>
      </c>
      <c r="R115" s="490" t="s">
        <v>221</v>
      </c>
      <c r="S115" s="490" t="s">
        <v>234</v>
      </c>
      <c r="T115" s="488" t="s">
        <v>562</v>
      </c>
      <c r="U115" s="496"/>
      <c r="V115" s="488" t="s">
        <v>563</v>
      </c>
      <c r="X115" s="526">
        <v>44641</v>
      </c>
      <c r="Y115" s="499" t="s">
        <v>227</v>
      </c>
    </row>
    <row r="116" s="488" customFormat="1" ht="17.4" spans="1:25">
      <c r="A116" s="409">
        <v>8</v>
      </c>
      <c r="B116" s="410" t="s">
        <v>58</v>
      </c>
      <c r="C116" s="411">
        <v>50002910</v>
      </c>
      <c r="D116" s="490"/>
      <c r="E116" s="490" t="s">
        <v>564</v>
      </c>
      <c r="F116" s="490" t="s">
        <v>565</v>
      </c>
      <c r="G116" s="490" t="s">
        <v>389</v>
      </c>
      <c r="H116" s="490" t="s">
        <v>390</v>
      </c>
      <c r="I116" s="490">
        <v>6286</v>
      </c>
      <c r="J116" s="512">
        <v>37</v>
      </c>
      <c r="K116" s="513">
        <f>Table_Household_Alloc[[#This Row],[Unit Entitlement]]/1000</f>
        <v>0.037</v>
      </c>
      <c r="L116" s="493">
        <f t="shared" si="2"/>
        <v>8.584</v>
      </c>
      <c r="M116" s="514" t="str">
        <f>CONCATENATE("Symo ",Table_Household_Alloc[[#This Row],[Export Capacity (kW)]])</f>
        <v>Symo 5</v>
      </c>
      <c r="N116" s="494">
        <f>IF(Table_Household_Alloc[[#This Row],[PV Installed]]="Y",1,0)*Table_Household_Alloc[[#This Row],[Calculated Battery Allocation (kWh)]]</f>
        <v>8.584</v>
      </c>
      <c r="O116" s="488">
        <v>5</v>
      </c>
      <c r="P116" s="490" t="s">
        <v>221</v>
      </c>
      <c r="Q116" s="490" t="s">
        <v>221</v>
      </c>
      <c r="R116" s="490" t="s">
        <v>221</v>
      </c>
      <c r="S116" s="490" t="s">
        <v>234</v>
      </c>
      <c r="T116" s="488" t="s">
        <v>566</v>
      </c>
      <c r="U116" s="496" t="s">
        <v>567</v>
      </c>
      <c r="V116" s="488" t="s">
        <v>568</v>
      </c>
      <c r="X116" s="526">
        <v>44948</v>
      </c>
      <c r="Y116" s="499" t="s">
        <v>227</v>
      </c>
    </row>
    <row r="117" s="488" customFormat="1" ht="17.4" spans="1:25">
      <c r="A117" s="409">
        <v>9</v>
      </c>
      <c r="B117" s="410" t="s">
        <v>58</v>
      </c>
      <c r="C117" s="411">
        <v>50002960</v>
      </c>
      <c r="D117" s="490"/>
      <c r="E117" s="490" t="s">
        <v>569</v>
      </c>
      <c r="F117" s="490" t="s">
        <v>570</v>
      </c>
      <c r="G117" s="490" t="s">
        <v>389</v>
      </c>
      <c r="H117" s="490" t="s">
        <v>390</v>
      </c>
      <c r="I117" s="490">
        <v>6286</v>
      </c>
      <c r="J117" s="512">
        <v>36</v>
      </c>
      <c r="K117" s="513">
        <f>Table_Household_Alloc[[#This Row],[Unit Entitlement]]/1000</f>
        <v>0.036</v>
      </c>
      <c r="L117" s="493">
        <f t="shared" si="2"/>
        <v>8.352</v>
      </c>
      <c r="M117" s="514" t="str">
        <f>CONCATENATE("Symo ",Table_Household_Alloc[[#This Row],[Export Capacity (kW)]])</f>
        <v>Symo 8.2</v>
      </c>
      <c r="N117" s="494">
        <f>IF(Table_Household_Alloc[[#This Row],[PV Installed]]="Y",1,0)*Table_Household_Alloc[[#This Row],[Calculated Battery Allocation (kWh)]]</f>
        <v>8.352</v>
      </c>
      <c r="O117" s="488">
        <v>8.2</v>
      </c>
      <c r="P117" s="490" t="s">
        <v>221</v>
      </c>
      <c r="Q117" s="490" t="s">
        <v>221</v>
      </c>
      <c r="R117" s="490" t="s">
        <v>221</v>
      </c>
      <c r="S117" s="490" t="s">
        <v>234</v>
      </c>
      <c r="T117" s="488" t="s">
        <v>571</v>
      </c>
      <c r="U117" s="496" t="s">
        <v>572</v>
      </c>
      <c r="V117" s="488" t="s">
        <v>573</v>
      </c>
      <c r="X117" s="526">
        <v>45100</v>
      </c>
      <c r="Y117" s="499" t="s">
        <v>227</v>
      </c>
    </row>
    <row r="118" s="488" customFormat="1" ht="17.4" spans="1:25">
      <c r="A118" s="409">
        <v>10</v>
      </c>
      <c r="B118" s="410" t="s">
        <v>58</v>
      </c>
      <c r="C118" s="411">
        <v>50002926</v>
      </c>
      <c r="D118" s="490"/>
      <c r="E118" s="490" t="s">
        <v>574</v>
      </c>
      <c r="F118" s="490" t="s">
        <v>575</v>
      </c>
      <c r="G118" s="490" t="s">
        <v>389</v>
      </c>
      <c r="H118" s="490" t="s">
        <v>390</v>
      </c>
      <c r="I118" s="490">
        <v>6286</v>
      </c>
      <c r="J118" s="512">
        <v>61</v>
      </c>
      <c r="K118" s="513">
        <f>Table_Household_Alloc[[#This Row],[Unit Entitlement]]/1000</f>
        <v>0.061</v>
      </c>
      <c r="L118" s="493">
        <f t="shared" si="2"/>
        <v>14.152</v>
      </c>
      <c r="M118" s="514" t="str">
        <f>CONCATENATE("Symo ",Table_Household_Alloc[[#This Row],[Export Capacity (kW)]])</f>
        <v>Symo 8.2</v>
      </c>
      <c r="N118" s="494">
        <f>IF(Table_Household_Alloc[[#This Row],[PV Installed]]="Y",1,0)*Table_Household_Alloc[[#This Row],[Calculated Battery Allocation (kWh)]]</f>
        <v>14.152</v>
      </c>
      <c r="O118" s="488">
        <v>8.2</v>
      </c>
      <c r="P118" s="490" t="s">
        <v>221</v>
      </c>
      <c r="Q118" s="490" t="s">
        <v>221</v>
      </c>
      <c r="R118" s="490" t="s">
        <v>221</v>
      </c>
      <c r="S118" s="490" t="s">
        <v>234</v>
      </c>
      <c r="T118" s="488" t="s">
        <v>576</v>
      </c>
      <c r="U118" s="496"/>
      <c r="V118" s="488" t="s">
        <v>577</v>
      </c>
      <c r="X118" s="526">
        <v>45257</v>
      </c>
      <c r="Y118" s="499" t="s">
        <v>227</v>
      </c>
    </row>
    <row r="119" s="488" customFormat="1" ht="17.4" spans="1:25">
      <c r="A119" s="409">
        <v>11</v>
      </c>
      <c r="B119" s="410" t="s">
        <v>58</v>
      </c>
      <c r="C119" s="434"/>
      <c r="D119" s="490"/>
      <c r="E119" s="490" t="s">
        <v>578</v>
      </c>
      <c r="F119" s="490" t="s">
        <v>579</v>
      </c>
      <c r="G119" s="490" t="s">
        <v>389</v>
      </c>
      <c r="H119" s="490" t="s">
        <v>390</v>
      </c>
      <c r="I119" s="490">
        <v>6286</v>
      </c>
      <c r="J119" s="512">
        <v>62</v>
      </c>
      <c r="K119" s="513">
        <f>Table_Household_Alloc[[#This Row],[Unit Entitlement]]/1000</f>
        <v>0.062</v>
      </c>
      <c r="L119" s="493">
        <f t="shared" si="2"/>
        <v>14.384</v>
      </c>
      <c r="M119" s="514"/>
      <c r="N119" s="494">
        <f>IF(Table_Household_Alloc[[#This Row],[PV Installed]]="Y",1,0)*Table_Household_Alloc[[#This Row],[Calculated Battery Allocation (kWh)]]</f>
        <v>0</v>
      </c>
      <c r="P119" s="490"/>
      <c r="Q119" s="490"/>
      <c r="R119" s="490"/>
      <c r="S119" s="490" t="s">
        <v>307</v>
      </c>
      <c r="T119" s="488" t="s">
        <v>580</v>
      </c>
      <c r="U119" s="496"/>
      <c r="V119" s="488" t="s">
        <v>581</v>
      </c>
      <c r="X119" s="526"/>
      <c r="Y119" s="499"/>
    </row>
    <row r="120" s="488" customFormat="1" ht="17.4" spans="1:25">
      <c r="A120" s="409">
        <v>12</v>
      </c>
      <c r="B120" s="410" t="s">
        <v>58</v>
      </c>
      <c r="C120" s="435"/>
      <c r="D120" s="490"/>
      <c r="E120" s="490" t="s">
        <v>582</v>
      </c>
      <c r="F120" s="490" t="s">
        <v>583</v>
      </c>
      <c r="G120" s="490" t="s">
        <v>389</v>
      </c>
      <c r="H120" s="490" t="s">
        <v>390</v>
      </c>
      <c r="I120" s="490">
        <v>6286</v>
      </c>
      <c r="J120" s="512">
        <v>64</v>
      </c>
      <c r="K120" s="513">
        <f>Table_Household_Alloc[[#This Row],[Unit Entitlement]]/1000</f>
        <v>0.064</v>
      </c>
      <c r="L120" s="493">
        <f t="shared" si="2"/>
        <v>14.848</v>
      </c>
      <c r="M120" s="514"/>
      <c r="N120" s="494">
        <f>IF(Table_Household_Alloc[[#This Row],[PV Installed]]="Y",1,0)*Table_Household_Alloc[[#This Row],[Calculated Battery Allocation (kWh)]]</f>
        <v>0</v>
      </c>
      <c r="P120" s="490"/>
      <c r="Q120" s="490"/>
      <c r="R120" s="490"/>
      <c r="S120" s="490" t="s">
        <v>223</v>
      </c>
      <c r="T120" s="488" t="s">
        <v>584</v>
      </c>
      <c r="U120" s="496"/>
      <c r="V120" s="488" t="s">
        <v>585</v>
      </c>
      <c r="X120" s="526"/>
      <c r="Y120" s="499"/>
    </row>
    <row r="121" s="488" customFormat="1" ht="17.4" spans="1:25">
      <c r="A121" s="409">
        <v>13</v>
      </c>
      <c r="B121" s="410" t="s">
        <v>58</v>
      </c>
      <c r="C121" s="435"/>
      <c r="D121" s="490"/>
      <c r="E121" s="490" t="s">
        <v>586</v>
      </c>
      <c r="F121" s="490" t="s">
        <v>587</v>
      </c>
      <c r="G121" s="490" t="s">
        <v>389</v>
      </c>
      <c r="H121" s="490" t="s">
        <v>390</v>
      </c>
      <c r="I121" s="490">
        <v>6286</v>
      </c>
      <c r="J121" s="512">
        <v>64</v>
      </c>
      <c r="K121" s="513">
        <f>Table_Household_Alloc[[#This Row],[Unit Entitlement]]/1000</f>
        <v>0.064</v>
      </c>
      <c r="L121" s="493">
        <f t="shared" si="2"/>
        <v>14.848</v>
      </c>
      <c r="M121" s="514"/>
      <c r="N121" s="494">
        <f>IF(Table_Household_Alloc[[#This Row],[PV Installed]]="Y",1,0)*Table_Household_Alloc[[#This Row],[Calculated Battery Allocation (kWh)]]</f>
        <v>0</v>
      </c>
      <c r="P121" s="490"/>
      <c r="Q121" s="490"/>
      <c r="R121" s="490"/>
      <c r="S121" s="490" t="s">
        <v>223</v>
      </c>
      <c r="T121" s="488" t="s">
        <v>588</v>
      </c>
      <c r="U121" s="496"/>
      <c r="V121" s="488" t="s">
        <v>589</v>
      </c>
      <c r="X121" s="526"/>
      <c r="Y121" s="499"/>
    </row>
    <row r="122" s="488" customFormat="1" ht="17.4" spans="1:25">
      <c r="A122" s="409">
        <v>14</v>
      </c>
      <c r="B122" s="410" t="s">
        <v>58</v>
      </c>
      <c r="C122" s="434"/>
      <c r="D122" s="490"/>
      <c r="E122" s="490" t="s">
        <v>351</v>
      </c>
      <c r="F122" s="490" t="s">
        <v>590</v>
      </c>
      <c r="G122" s="490" t="s">
        <v>389</v>
      </c>
      <c r="H122" s="490" t="s">
        <v>390</v>
      </c>
      <c r="I122" s="490">
        <v>6286</v>
      </c>
      <c r="J122" s="512">
        <v>27</v>
      </c>
      <c r="K122" s="513">
        <f>Table_Household_Alloc[[#This Row],[Unit Entitlement]]/1000</f>
        <v>0.027</v>
      </c>
      <c r="L122" s="493">
        <f t="shared" si="2"/>
        <v>6.264</v>
      </c>
      <c r="M122" s="514"/>
      <c r="N122" s="494">
        <f>IF(Table_Household_Alloc[[#This Row],[PV Installed]]="Y",1,0)*Table_Household_Alloc[[#This Row],[Calculated Battery Allocation (kWh)]]</f>
        <v>0</v>
      </c>
      <c r="P122" s="490"/>
      <c r="Q122" s="490"/>
      <c r="R122" s="490"/>
      <c r="S122" s="490" t="s">
        <v>307</v>
      </c>
      <c r="T122" s="488" t="s">
        <v>591</v>
      </c>
      <c r="U122" s="496" t="s">
        <v>592</v>
      </c>
      <c r="V122" s="488" t="s">
        <v>593</v>
      </c>
      <c r="X122" s="526"/>
      <c r="Y122" s="499"/>
    </row>
    <row r="123" s="488" customFormat="1" ht="17.4" spans="1:25">
      <c r="A123" s="409">
        <v>15</v>
      </c>
      <c r="B123" s="410" t="s">
        <v>58</v>
      </c>
      <c r="C123" s="411">
        <v>50002930</v>
      </c>
      <c r="D123" s="490"/>
      <c r="E123" s="490" t="s">
        <v>594</v>
      </c>
      <c r="F123" s="490" t="s">
        <v>595</v>
      </c>
      <c r="G123" s="490" t="s">
        <v>389</v>
      </c>
      <c r="H123" s="490" t="s">
        <v>390</v>
      </c>
      <c r="I123" s="490">
        <v>6286</v>
      </c>
      <c r="J123" s="512">
        <v>27</v>
      </c>
      <c r="K123" s="513">
        <f>Table_Household_Alloc[[#This Row],[Unit Entitlement]]/1000</f>
        <v>0.027</v>
      </c>
      <c r="L123" s="493">
        <f t="shared" si="2"/>
        <v>6.264</v>
      </c>
      <c r="M123" s="514" t="str">
        <f>CONCATENATE("Symo ",Table_Household_Alloc[[#This Row],[Export Capacity (kW)]])</f>
        <v>Symo 5</v>
      </c>
      <c r="N123" s="494">
        <f>IF(Table_Household_Alloc[[#This Row],[PV Installed]]="Y",1,0)*Table_Household_Alloc[[#This Row],[Calculated Battery Allocation (kWh)]]</f>
        <v>6.264</v>
      </c>
      <c r="O123" s="488">
        <v>5</v>
      </c>
      <c r="P123" s="490" t="s">
        <v>221</v>
      </c>
      <c r="Q123" s="490" t="s">
        <v>221</v>
      </c>
      <c r="R123" s="490" t="s">
        <v>221</v>
      </c>
      <c r="S123" s="490" t="s">
        <v>234</v>
      </c>
      <c r="T123" s="488" t="s">
        <v>596</v>
      </c>
      <c r="U123" s="496"/>
      <c r="V123" s="488" t="s">
        <v>597</v>
      </c>
      <c r="X123" s="526">
        <v>45501</v>
      </c>
      <c r="Y123" s="499" t="s">
        <v>227</v>
      </c>
    </row>
    <row r="124" s="488" customFormat="1" ht="17.4" spans="1:25">
      <c r="A124" s="409">
        <v>16</v>
      </c>
      <c r="B124" s="410" t="s">
        <v>58</v>
      </c>
      <c r="C124" s="411">
        <v>50002843</v>
      </c>
      <c r="D124" s="490"/>
      <c r="E124" s="490" t="s">
        <v>598</v>
      </c>
      <c r="F124" s="490" t="s">
        <v>599</v>
      </c>
      <c r="G124" s="490" t="s">
        <v>389</v>
      </c>
      <c r="H124" s="490" t="s">
        <v>390</v>
      </c>
      <c r="I124" s="490">
        <v>6286</v>
      </c>
      <c r="J124" s="512">
        <v>27</v>
      </c>
      <c r="K124" s="513">
        <f>Table_Household_Alloc[[#This Row],[Unit Entitlement]]/1000</f>
        <v>0.027</v>
      </c>
      <c r="L124" s="493">
        <f t="shared" si="2"/>
        <v>6.264</v>
      </c>
      <c r="M124" s="514" t="str">
        <f>CONCATENATE("Symo ",Table_Household_Alloc[[#This Row],[Export Capacity (kW)]])</f>
        <v>Symo 5</v>
      </c>
      <c r="N124" s="494">
        <f>IF(Table_Household_Alloc[[#This Row],[PV Installed]]="Y",1,0)*Table_Household_Alloc[[#This Row],[Calculated Battery Allocation (kWh)]]</f>
        <v>6.264</v>
      </c>
      <c r="O124" s="488">
        <v>5</v>
      </c>
      <c r="P124" s="490" t="s">
        <v>221</v>
      </c>
      <c r="Q124" s="490" t="s">
        <v>221</v>
      </c>
      <c r="R124" s="490" t="s">
        <v>221</v>
      </c>
      <c r="S124" s="490" t="s">
        <v>234</v>
      </c>
      <c r="T124" s="488" t="s">
        <v>600</v>
      </c>
      <c r="U124" s="496"/>
      <c r="V124" s="488" t="s">
        <v>601</v>
      </c>
      <c r="X124" s="526">
        <v>44607</v>
      </c>
      <c r="Y124" s="499" t="s">
        <v>227</v>
      </c>
    </row>
    <row r="125" s="488" customFormat="1" ht="17.4" spans="1:25">
      <c r="A125" s="409">
        <v>17</v>
      </c>
      <c r="B125" s="410" t="s">
        <v>58</v>
      </c>
      <c r="C125" s="411">
        <v>50002929</v>
      </c>
      <c r="D125" s="490"/>
      <c r="E125" s="490" t="s">
        <v>602</v>
      </c>
      <c r="F125" s="490" t="s">
        <v>603</v>
      </c>
      <c r="G125" s="490" t="s">
        <v>389</v>
      </c>
      <c r="H125" s="490" t="s">
        <v>390</v>
      </c>
      <c r="I125" s="490">
        <v>6286</v>
      </c>
      <c r="J125" s="512">
        <v>27</v>
      </c>
      <c r="K125" s="513">
        <f>Table_Household_Alloc[[#This Row],[Unit Entitlement]]/1000</f>
        <v>0.027</v>
      </c>
      <c r="L125" s="493">
        <f t="shared" si="2"/>
        <v>6.264</v>
      </c>
      <c r="M125" s="514" t="str">
        <f>CONCATENATE("Symo ",Table_Household_Alloc[[#This Row],[Export Capacity (kW)]])</f>
        <v>Symo 5</v>
      </c>
      <c r="N125" s="494">
        <f>IF(Table_Household_Alloc[[#This Row],[PV Installed]]="Y",1,0)*Table_Household_Alloc[[#This Row],[Calculated Battery Allocation (kWh)]]</f>
        <v>6.264</v>
      </c>
      <c r="O125" s="488">
        <v>5</v>
      </c>
      <c r="P125" s="490" t="s">
        <v>221</v>
      </c>
      <c r="Q125" s="490" t="s">
        <v>221</v>
      </c>
      <c r="R125" s="490" t="s">
        <v>221</v>
      </c>
      <c r="S125" s="490" t="s">
        <v>234</v>
      </c>
      <c r="T125" s="488" t="s">
        <v>604</v>
      </c>
      <c r="U125" s="496"/>
      <c r="V125" s="488" t="s">
        <v>605</v>
      </c>
      <c r="X125" s="526">
        <v>45320</v>
      </c>
      <c r="Y125" s="499" t="s">
        <v>227</v>
      </c>
    </row>
    <row r="126" s="488" customFormat="1" ht="17.4" spans="1:25">
      <c r="A126" s="409">
        <v>18</v>
      </c>
      <c r="B126" s="410" t="s">
        <v>58</v>
      </c>
      <c r="C126" s="435"/>
      <c r="D126" s="490"/>
      <c r="E126" s="490" t="s">
        <v>606</v>
      </c>
      <c r="F126" s="490" t="s">
        <v>607</v>
      </c>
      <c r="G126" s="490" t="s">
        <v>389</v>
      </c>
      <c r="H126" s="490" t="s">
        <v>390</v>
      </c>
      <c r="I126" s="490">
        <v>6286</v>
      </c>
      <c r="J126" s="512">
        <v>31</v>
      </c>
      <c r="K126" s="513">
        <f>Table_Household_Alloc[[#This Row],[Unit Entitlement]]/1000</f>
        <v>0.031</v>
      </c>
      <c r="L126" s="493">
        <f t="shared" si="2"/>
        <v>7.192</v>
      </c>
      <c r="M126" s="514"/>
      <c r="N126" s="494">
        <f>IF(Table_Household_Alloc[[#This Row],[PV Installed]]="Y",1,0)*Table_Household_Alloc[[#This Row],[Calculated Battery Allocation (kWh)]]</f>
        <v>0</v>
      </c>
      <c r="P126" s="490"/>
      <c r="Q126" s="490"/>
      <c r="R126" s="490"/>
      <c r="S126" s="490" t="s">
        <v>307</v>
      </c>
      <c r="T126" s="488" t="s">
        <v>608</v>
      </c>
      <c r="U126" s="496"/>
      <c r="V126" s="488" t="s">
        <v>609</v>
      </c>
      <c r="X126" s="526"/>
      <c r="Y126" s="499"/>
    </row>
    <row r="127" s="488" customFormat="1" ht="17.4" spans="1:25">
      <c r="A127" s="409">
        <v>19</v>
      </c>
      <c r="B127" s="410" t="s">
        <v>58</v>
      </c>
      <c r="C127" s="435"/>
      <c r="D127" s="490"/>
      <c r="E127" s="490" t="s">
        <v>610</v>
      </c>
      <c r="F127" s="490" t="s">
        <v>611</v>
      </c>
      <c r="G127" s="490" t="s">
        <v>389</v>
      </c>
      <c r="H127" s="490" t="s">
        <v>390</v>
      </c>
      <c r="I127" s="490">
        <v>6286</v>
      </c>
      <c r="J127" s="512">
        <v>78</v>
      </c>
      <c r="K127" s="513">
        <f>Table_Household_Alloc[[#This Row],[Unit Entitlement]]/1000</f>
        <v>0.078</v>
      </c>
      <c r="L127" s="493">
        <f t="shared" si="2"/>
        <v>18.096</v>
      </c>
      <c r="M127" s="514"/>
      <c r="N127" s="494">
        <f>IF(Table_Household_Alloc[[#This Row],[PV Installed]]="Y",1,0)*Table_Household_Alloc[[#This Row],[Calculated Battery Allocation (kWh)]]</f>
        <v>18.096</v>
      </c>
      <c r="P127" s="490"/>
      <c r="Q127" s="490" t="s">
        <v>221</v>
      </c>
      <c r="R127" s="490"/>
      <c r="S127" s="490" t="s">
        <v>307</v>
      </c>
      <c r="T127" s="488" t="s">
        <v>612</v>
      </c>
      <c r="U127" s="496"/>
      <c r="V127" s="488" t="s">
        <v>613</v>
      </c>
      <c r="X127" s="526"/>
      <c r="Y127" s="499"/>
    </row>
    <row r="128" s="488" customFormat="1" ht="17.4" spans="1:25">
      <c r="A128" s="409">
        <v>20</v>
      </c>
      <c r="B128" s="410" t="s">
        <v>58</v>
      </c>
      <c r="C128" s="434"/>
      <c r="D128" s="490"/>
      <c r="E128" s="490" t="s">
        <v>614</v>
      </c>
      <c r="F128" s="490" t="s">
        <v>615</v>
      </c>
      <c r="G128" s="490" t="s">
        <v>389</v>
      </c>
      <c r="H128" s="490" t="s">
        <v>390</v>
      </c>
      <c r="I128" s="490">
        <v>6286</v>
      </c>
      <c r="J128" s="512">
        <v>62</v>
      </c>
      <c r="K128" s="513">
        <f>Table_Household_Alloc[[#This Row],[Unit Entitlement]]/1000</f>
        <v>0.062</v>
      </c>
      <c r="L128" s="493">
        <f t="shared" si="2"/>
        <v>14.384</v>
      </c>
      <c r="M128" s="514"/>
      <c r="N128" s="494">
        <f>IF(Table_Household_Alloc[[#This Row],[PV Installed]]="Y",1,0)*Table_Household_Alloc[[#This Row],[Calculated Battery Allocation (kWh)]]</f>
        <v>0</v>
      </c>
      <c r="P128" s="490"/>
      <c r="Q128" s="490"/>
      <c r="R128" s="490"/>
      <c r="S128" s="490" t="s">
        <v>223</v>
      </c>
      <c r="T128" s="488" t="s">
        <v>616</v>
      </c>
      <c r="U128" s="496" t="s">
        <v>617</v>
      </c>
      <c r="V128" s="488" t="s">
        <v>618</v>
      </c>
      <c r="X128" s="526"/>
      <c r="Y128" s="499"/>
    </row>
    <row r="129" s="488" customFormat="1" ht="17.4" spans="1:25">
      <c r="A129" s="409">
        <v>21</v>
      </c>
      <c r="B129" s="410" t="s">
        <v>58</v>
      </c>
      <c r="C129" s="435"/>
      <c r="D129" s="490"/>
      <c r="E129" s="490" t="s">
        <v>619</v>
      </c>
      <c r="F129" s="490" t="s">
        <v>620</v>
      </c>
      <c r="G129" s="490" t="s">
        <v>389</v>
      </c>
      <c r="H129" s="490" t="s">
        <v>390</v>
      </c>
      <c r="I129" s="490">
        <v>6286</v>
      </c>
      <c r="J129" s="512">
        <v>61</v>
      </c>
      <c r="K129" s="513">
        <f>Table_Household_Alloc[[#This Row],[Unit Entitlement]]/1000</f>
        <v>0.061</v>
      </c>
      <c r="L129" s="493">
        <f t="shared" si="2"/>
        <v>14.152</v>
      </c>
      <c r="M129" s="514" t="str">
        <f>CONCATENATE("Symo ",Table_Household_Alloc[[#This Row],[Export Capacity (kW)]])</f>
        <v>Symo 10</v>
      </c>
      <c r="N129" s="494">
        <f>IF(Table_Household_Alloc[[#This Row],[PV Installed]]="Y",1,0)*Table_Household_Alloc[[#This Row],[Calculated Battery Allocation (kWh)]]</f>
        <v>14.152</v>
      </c>
      <c r="O129" s="488">
        <v>10</v>
      </c>
      <c r="P129" s="490" t="s">
        <v>221</v>
      </c>
      <c r="Q129" s="490" t="s">
        <v>221</v>
      </c>
      <c r="R129" s="490" t="s">
        <v>221</v>
      </c>
      <c r="S129" s="490" t="s">
        <v>234</v>
      </c>
      <c r="T129" s="488" t="s">
        <v>621</v>
      </c>
      <c r="U129" s="496" t="s">
        <v>622</v>
      </c>
      <c r="V129" s="488" t="s">
        <v>623</v>
      </c>
      <c r="X129" s="526">
        <v>44884</v>
      </c>
      <c r="Y129" s="499" t="s">
        <v>227</v>
      </c>
    </row>
    <row r="130" s="488" customFormat="1" ht="17.4" spans="1:25">
      <c r="A130" s="409">
        <v>22</v>
      </c>
      <c r="B130" s="410" t="s">
        <v>58</v>
      </c>
      <c r="C130" s="434"/>
      <c r="D130" s="490"/>
      <c r="E130" s="490" t="s">
        <v>624</v>
      </c>
      <c r="F130" s="490" t="s">
        <v>625</v>
      </c>
      <c r="G130" s="490" t="s">
        <v>389</v>
      </c>
      <c r="H130" s="490" t="s">
        <v>390</v>
      </c>
      <c r="I130" s="490">
        <v>6286</v>
      </c>
      <c r="J130" s="512">
        <v>61</v>
      </c>
      <c r="K130" s="513">
        <f>Table_Household_Alloc[[#This Row],[Unit Entitlement]]/1000</f>
        <v>0.061</v>
      </c>
      <c r="L130" s="493">
        <f t="shared" si="2"/>
        <v>14.152</v>
      </c>
      <c r="M130" s="514"/>
      <c r="N130" s="494">
        <f>IF(Table_Household_Alloc[[#This Row],[PV Installed]]="Y",1,0)*Table_Household_Alloc[[#This Row],[Calculated Battery Allocation (kWh)]]</f>
        <v>0</v>
      </c>
      <c r="P130" s="490"/>
      <c r="Q130" s="490"/>
      <c r="R130" s="490"/>
      <c r="S130" s="490" t="s">
        <v>307</v>
      </c>
      <c r="T130" s="488" t="s">
        <v>626</v>
      </c>
      <c r="U130" s="496" t="s">
        <v>627</v>
      </c>
      <c r="V130" s="488" t="s">
        <v>628</v>
      </c>
      <c r="X130" s="526"/>
      <c r="Y130" s="499"/>
    </row>
    <row r="131" s="488" customFormat="1" ht="18" spans="1:25">
      <c r="A131" s="417" t="s">
        <v>334</v>
      </c>
      <c r="B131" s="410" t="s">
        <v>58</v>
      </c>
      <c r="C131" s="411">
        <v>2902000956</v>
      </c>
      <c r="D131" s="490"/>
      <c r="E131" s="502" t="s">
        <v>335</v>
      </c>
      <c r="F131" s="489"/>
      <c r="G131" s="490"/>
      <c r="H131" s="490"/>
      <c r="I131" s="490"/>
      <c r="J131" s="491"/>
      <c r="K131" s="492">
        <f>Table_Household_Alloc[[#This Row],[Unit Entitlement]]/1000</f>
        <v>0</v>
      </c>
      <c r="L131" s="493"/>
      <c r="M131" s="490"/>
      <c r="N131" s="494">
        <f>IF(Table_Household_Alloc[[#This Row],[PV Installed]]="Y",1,0)*Table_Household_Alloc[[#This Row],[Calculated Battery Allocation (kWh)]]</f>
        <v>0</v>
      </c>
      <c r="T131" s="495"/>
      <c r="U131" s="496"/>
      <c r="V131" s="497"/>
      <c r="X131" s="498"/>
      <c r="Y131" s="499"/>
    </row>
    <row r="132" s="488" customFormat="1" ht="17.4" spans="1:25">
      <c r="A132" s="409" t="s">
        <v>336</v>
      </c>
      <c r="B132" s="410" t="s">
        <v>58</v>
      </c>
      <c r="C132" s="411">
        <v>2902000944</v>
      </c>
      <c r="D132" s="490" t="s">
        <v>337</v>
      </c>
      <c r="E132" s="502" t="s">
        <v>338</v>
      </c>
      <c r="F132" s="490"/>
      <c r="G132" s="490" t="s">
        <v>219</v>
      </c>
      <c r="H132" s="490" t="s">
        <v>220</v>
      </c>
      <c r="I132" s="490">
        <v>6286</v>
      </c>
      <c r="J132" s="508"/>
      <c r="K132" s="509">
        <f>Table_Household_Alloc[[#This Row],[Unit Entitlement]]/1000</f>
        <v>0</v>
      </c>
      <c r="L132" s="493">
        <f t="shared" ref="L132:L133" si="4">(J132/1000)*232</f>
        <v>0</v>
      </c>
      <c r="M132" s="514"/>
      <c r="N132" s="494">
        <f>IF(Table_Household_Alloc[[#This Row],[PV Installed]]="Y",1,0)*Table_Household_Alloc[[#This Row],[Calculated Battery Allocation (kWh)]]</f>
        <v>0</v>
      </c>
      <c r="P132" s="500"/>
      <c r="Q132" s="500"/>
      <c r="R132" s="490"/>
      <c r="S132" s="490"/>
      <c r="U132" s="496"/>
      <c r="X132" s="526"/>
      <c r="Y132" s="499"/>
    </row>
    <row r="133" s="488" customFormat="1" ht="17.4" spans="1:25">
      <c r="A133" s="409" t="s">
        <v>339</v>
      </c>
      <c r="B133" s="410" t="s">
        <v>58</v>
      </c>
      <c r="C133" s="411">
        <v>2912025226</v>
      </c>
      <c r="D133" s="490" t="s">
        <v>337</v>
      </c>
      <c r="E133" s="502" t="s">
        <v>340</v>
      </c>
      <c r="F133" s="490"/>
      <c r="G133" s="490" t="s">
        <v>219</v>
      </c>
      <c r="H133" s="490" t="s">
        <v>220</v>
      </c>
      <c r="I133" s="490">
        <v>6286</v>
      </c>
      <c r="J133" s="512"/>
      <c r="K133" s="513">
        <f>Table_Household_Alloc[[#This Row],[Unit Entitlement]]/1000</f>
        <v>0</v>
      </c>
      <c r="L133" s="493">
        <f t="shared" si="4"/>
        <v>0</v>
      </c>
      <c r="M133" s="514"/>
      <c r="N133" s="494">
        <f>IF(Table_Household_Alloc[[#This Row],[PV Installed]]="Y",1,0)*Table_Household_Alloc[[#This Row],[Calculated Battery Allocation (kWh)]]</f>
        <v>0</v>
      </c>
      <c r="P133" s="500"/>
      <c r="Q133" s="500"/>
      <c r="R133" s="490"/>
      <c r="S133" s="490"/>
      <c r="U133" s="496"/>
      <c r="X133" s="526"/>
      <c r="Y133" s="499"/>
    </row>
    <row r="134" s="488" customFormat="1" ht="18" spans="1:25">
      <c r="A134" s="422" t="s">
        <v>341</v>
      </c>
      <c r="B134" s="410" t="s">
        <v>58</v>
      </c>
      <c r="C134" s="411"/>
      <c r="D134" s="490"/>
      <c r="E134" s="489"/>
      <c r="F134" s="489"/>
      <c r="G134" s="490"/>
      <c r="H134" s="490"/>
      <c r="I134" s="490"/>
      <c r="J134" s="491"/>
      <c r="K134" s="492">
        <f>Table_Household_Alloc[[#This Row],[Unit Entitlement]]/1000</f>
        <v>0</v>
      </c>
      <c r="L134" s="493"/>
      <c r="M134" s="490"/>
      <c r="N134" s="494">
        <f>IF(Table_Household_Alloc[[#This Row],[PV Installed]]="Y",1,0)*Table_Household_Alloc[[#This Row],[Calculated Battery Allocation (kWh)]]</f>
        <v>0</v>
      </c>
      <c r="T134" s="495"/>
      <c r="U134" s="496"/>
      <c r="V134" s="497"/>
      <c r="X134" s="498"/>
      <c r="Y134" s="499"/>
    </row>
    <row r="135" s="488" customFormat="1" ht="18" spans="1:25">
      <c r="A135" s="423" t="s">
        <v>342</v>
      </c>
      <c r="B135" s="410" t="s">
        <v>58</v>
      </c>
      <c r="C135" s="411"/>
      <c r="D135" s="490"/>
      <c r="E135" s="489"/>
      <c r="F135" s="489"/>
      <c r="G135" s="490"/>
      <c r="H135" s="490"/>
      <c r="I135" s="490"/>
      <c r="J135" s="491"/>
      <c r="K135" s="492">
        <f>Table_Household_Alloc[[#This Row],[Unit Entitlement]]/1000</f>
        <v>0</v>
      </c>
      <c r="L135" s="493"/>
      <c r="M135" s="490"/>
      <c r="N135" s="494">
        <f>IF(Table_Household_Alloc[[#This Row],[PV Installed]]="Y",1,0)*Table_Household_Alloc[[#This Row],[Calculated Battery Allocation (kWh)]]</f>
        <v>0</v>
      </c>
      <c r="T135" s="495"/>
      <c r="U135" s="496"/>
      <c r="V135" s="497"/>
      <c r="X135" s="498"/>
      <c r="Y135" s="499"/>
    </row>
    <row r="136" s="488" customFormat="1" ht="17.4" spans="1:25">
      <c r="A136" s="409">
        <v>1</v>
      </c>
      <c r="B136" s="410" t="s">
        <v>59</v>
      </c>
      <c r="C136" s="414"/>
      <c r="D136" s="490"/>
      <c r="E136" s="490" t="s">
        <v>629</v>
      </c>
      <c r="F136" s="490" t="s">
        <v>630</v>
      </c>
      <c r="G136" s="490" t="s">
        <v>389</v>
      </c>
      <c r="H136" s="490" t="s">
        <v>390</v>
      </c>
      <c r="I136" s="490">
        <v>6286</v>
      </c>
      <c r="J136" s="512">
        <v>32</v>
      </c>
      <c r="K136" s="513">
        <f>Table_Household_Alloc[[#This Row],[Unit Entitlement]]/1000</f>
        <v>0.032</v>
      </c>
      <c r="L136" s="493">
        <f t="shared" si="2"/>
        <v>7.424</v>
      </c>
      <c r="M136" s="514"/>
      <c r="N136" s="494">
        <f>IF(Table_Household_Alloc[[#This Row],[PV Installed]]="Y",1,0)*Table_Household_Alloc[[#This Row],[Calculated Battery Allocation (kWh)]]</f>
        <v>0</v>
      </c>
      <c r="P136" s="490"/>
      <c r="Q136" s="545"/>
      <c r="R136" s="490"/>
      <c r="S136" s="490" t="s">
        <v>234</v>
      </c>
      <c r="T136" s="546" t="s">
        <v>631</v>
      </c>
      <c r="U136" s="496"/>
      <c r="V136" s="547" t="s">
        <v>632</v>
      </c>
      <c r="X136" s="548">
        <v>45588</v>
      </c>
      <c r="Y136" s="499" t="s">
        <v>227</v>
      </c>
    </row>
    <row r="137" s="488" customFormat="1" ht="17.4" spans="1:25">
      <c r="A137" s="409">
        <v>2</v>
      </c>
      <c r="B137" s="410" t="s">
        <v>59</v>
      </c>
      <c r="C137" s="414"/>
      <c r="D137" s="490"/>
      <c r="E137" s="490" t="s">
        <v>633</v>
      </c>
      <c r="F137" s="490" t="s">
        <v>634</v>
      </c>
      <c r="G137" s="490" t="s">
        <v>389</v>
      </c>
      <c r="H137" s="490" t="s">
        <v>390</v>
      </c>
      <c r="I137" s="490">
        <v>6286</v>
      </c>
      <c r="J137" s="512">
        <v>32</v>
      </c>
      <c r="K137" s="513">
        <f>Table_Household_Alloc[[#This Row],[Unit Entitlement]]/1000</f>
        <v>0.032</v>
      </c>
      <c r="L137" s="493">
        <f t="shared" si="2"/>
        <v>7.424</v>
      </c>
      <c r="M137" s="514"/>
      <c r="N137" s="494">
        <f>IF(Table_Household_Alloc[[#This Row],[PV Installed]]="Y",1,0)*Table_Household_Alloc[[#This Row],[Calculated Battery Allocation (kWh)]]</f>
        <v>0</v>
      </c>
      <c r="P137" s="490"/>
      <c r="Q137" s="490"/>
      <c r="R137" s="490"/>
      <c r="S137" s="490" t="s">
        <v>307</v>
      </c>
      <c r="T137" s="546" t="s">
        <v>635</v>
      </c>
      <c r="U137" s="496"/>
      <c r="V137" s="549" t="s">
        <v>636</v>
      </c>
      <c r="X137" s="548"/>
      <c r="Y137" s="499"/>
    </row>
    <row r="138" s="488" customFormat="1" ht="17.4" spans="1:25">
      <c r="A138" s="409">
        <v>3</v>
      </c>
      <c r="B138" s="410" t="s">
        <v>59</v>
      </c>
      <c r="C138" s="436"/>
      <c r="D138" s="490"/>
      <c r="E138" s="490" t="s">
        <v>637</v>
      </c>
      <c r="F138" s="490" t="s">
        <v>638</v>
      </c>
      <c r="G138" s="490" t="s">
        <v>389</v>
      </c>
      <c r="H138" s="490" t="s">
        <v>390</v>
      </c>
      <c r="I138" s="490">
        <v>6286</v>
      </c>
      <c r="J138" s="512">
        <v>34</v>
      </c>
      <c r="K138" s="513">
        <f>Table_Household_Alloc[[#This Row],[Unit Entitlement]]/1000</f>
        <v>0.034</v>
      </c>
      <c r="L138" s="493">
        <f t="shared" si="2"/>
        <v>7.888</v>
      </c>
      <c r="M138" s="514"/>
      <c r="N138" s="494">
        <f>IF(Table_Household_Alloc[[#This Row],[PV Installed]]="Y",1,0)*Table_Household_Alloc[[#This Row],[Calculated Battery Allocation (kWh)]]</f>
        <v>0</v>
      </c>
      <c r="P138" s="490"/>
      <c r="Q138" s="490"/>
      <c r="R138" s="490"/>
      <c r="S138" s="490" t="s">
        <v>307</v>
      </c>
      <c r="T138" s="546" t="s">
        <v>639</v>
      </c>
      <c r="U138" s="496"/>
      <c r="V138" s="549" t="s">
        <v>640</v>
      </c>
      <c r="X138" s="548"/>
      <c r="Y138" s="499"/>
    </row>
    <row r="139" s="488" customFormat="1" ht="17.4" spans="1:25">
      <c r="A139" s="409">
        <v>4</v>
      </c>
      <c r="B139" s="410" t="s">
        <v>59</v>
      </c>
      <c r="C139" s="411">
        <v>50002962</v>
      </c>
      <c r="D139" s="490"/>
      <c r="E139" s="490" t="s">
        <v>641</v>
      </c>
      <c r="F139" s="490" t="s">
        <v>642</v>
      </c>
      <c r="G139" s="490" t="s">
        <v>389</v>
      </c>
      <c r="H139" s="490" t="s">
        <v>390</v>
      </c>
      <c r="I139" s="490">
        <v>6286</v>
      </c>
      <c r="J139" s="512">
        <v>35</v>
      </c>
      <c r="K139" s="513">
        <f>Table_Household_Alloc[[#This Row],[Unit Entitlement]]/1000</f>
        <v>0.035</v>
      </c>
      <c r="L139" s="493">
        <f t="shared" si="2"/>
        <v>8.12</v>
      </c>
      <c r="M139" s="514" t="str">
        <f>CONCATENATE("Symo ",Table_Household_Alloc[[#This Row],[Export Capacity (kW)]])</f>
        <v>Symo 5</v>
      </c>
      <c r="N139" s="494">
        <f>IF(Table_Household_Alloc[[#This Row],[PV Installed]]="Y",1,0)*Table_Household_Alloc[[#This Row],[Calculated Battery Allocation (kWh)]]</f>
        <v>8.12</v>
      </c>
      <c r="O139" s="488">
        <v>5</v>
      </c>
      <c r="P139" s="490" t="s">
        <v>221</v>
      </c>
      <c r="Q139" s="490" t="s">
        <v>221</v>
      </c>
      <c r="R139" s="490" t="s">
        <v>221</v>
      </c>
      <c r="S139" s="490" t="s">
        <v>234</v>
      </c>
      <c r="T139" s="546" t="s">
        <v>643</v>
      </c>
      <c r="U139" s="496"/>
      <c r="V139" s="549" t="s">
        <v>585</v>
      </c>
      <c r="X139" s="550">
        <v>45040</v>
      </c>
      <c r="Y139" s="499" t="s">
        <v>227</v>
      </c>
    </row>
    <row r="140" s="488" customFormat="1" ht="17.4" spans="1:25">
      <c r="A140" s="409">
        <v>5</v>
      </c>
      <c r="B140" s="410" t="s">
        <v>59</v>
      </c>
      <c r="C140" s="436"/>
      <c r="D140" s="490"/>
      <c r="E140" s="490" t="s">
        <v>644</v>
      </c>
      <c r="F140" s="490" t="s">
        <v>645</v>
      </c>
      <c r="G140" s="490" t="s">
        <v>389</v>
      </c>
      <c r="H140" s="490" t="s">
        <v>390</v>
      </c>
      <c r="I140" s="490">
        <v>6286</v>
      </c>
      <c r="J140" s="512">
        <v>35</v>
      </c>
      <c r="K140" s="513">
        <f>Table_Household_Alloc[[#This Row],[Unit Entitlement]]/1000</f>
        <v>0.035</v>
      </c>
      <c r="L140" s="493">
        <f t="shared" si="2"/>
        <v>8.12</v>
      </c>
      <c r="M140" s="514"/>
      <c r="N140" s="494">
        <f>IF(Table_Household_Alloc[[#This Row],[PV Installed]]="Y",1,0)*Table_Household_Alloc[[#This Row],[Calculated Battery Allocation (kWh)]]</f>
        <v>0</v>
      </c>
      <c r="P140" s="490"/>
      <c r="Q140" s="490"/>
      <c r="R140" s="490"/>
      <c r="S140" s="490" t="s">
        <v>307</v>
      </c>
      <c r="T140" s="546" t="s">
        <v>646</v>
      </c>
      <c r="U140" s="496"/>
      <c r="V140" s="549" t="s">
        <v>647</v>
      </c>
      <c r="X140" s="548"/>
      <c r="Y140" s="499"/>
    </row>
    <row r="141" s="488" customFormat="1" ht="17.4" spans="1:25">
      <c r="A141" s="409">
        <v>6</v>
      </c>
      <c r="B141" s="410" t="s">
        <v>59</v>
      </c>
      <c r="C141" s="436"/>
      <c r="D141" s="490"/>
      <c r="E141" s="490" t="s">
        <v>648</v>
      </c>
      <c r="F141" s="490" t="s">
        <v>649</v>
      </c>
      <c r="G141" s="490" t="s">
        <v>389</v>
      </c>
      <c r="H141" s="490" t="s">
        <v>390</v>
      </c>
      <c r="I141" s="490">
        <v>6286</v>
      </c>
      <c r="J141" s="512">
        <v>29</v>
      </c>
      <c r="K141" s="513">
        <f>Table_Household_Alloc[[#This Row],[Unit Entitlement]]/1000</f>
        <v>0.029</v>
      </c>
      <c r="L141" s="493">
        <f t="shared" si="2"/>
        <v>6.728</v>
      </c>
      <c r="M141" s="514"/>
      <c r="N141" s="494">
        <f>IF(Table_Household_Alloc[[#This Row],[PV Installed]]="Y",1,0)*Table_Household_Alloc[[#This Row],[Calculated Battery Allocation (kWh)]]</f>
        <v>0</v>
      </c>
      <c r="P141" s="490"/>
      <c r="Q141" s="490"/>
      <c r="R141" s="490"/>
      <c r="S141" s="490" t="s">
        <v>307</v>
      </c>
      <c r="T141" s="546" t="s">
        <v>650</v>
      </c>
      <c r="U141" s="496"/>
      <c r="V141" s="549" t="s">
        <v>651</v>
      </c>
      <c r="X141" s="548"/>
      <c r="Y141" s="499"/>
    </row>
    <row r="142" s="488" customFormat="1" ht="17.4" spans="1:25">
      <c r="A142" s="409">
        <v>7</v>
      </c>
      <c r="B142" s="410" t="s">
        <v>59</v>
      </c>
      <c r="C142" s="411">
        <v>50003423</v>
      </c>
      <c r="D142" s="490"/>
      <c r="E142" s="490" t="s">
        <v>652</v>
      </c>
      <c r="F142" s="490" t="s">
        <v>653</v>
      </c>
      <c r="G142" s="490" t="s">
        <v>389</v>
      </c>
      <c r="H142" s="490" t="s">
        <v>390</v>
      </c>
      <c r="I142" s="490">
        <v>6286</v>
      </c>
      <c r="J142" s="512">
        <v>31</v>
      </c>
      <c r="K142" s="513">
        <f>Table_Household_Alloc[[#This Row],[Unit Entitlement]]/1000</f>
        <v>0.031</v>
      </c>
      <c r="L142" s="493">
        <f t="shared" si="2"/>
        <v>7.192</v>
      </c>
      <c r="M142" s="514" t="str">
        <f>CONCATENATE("Symo ",Table_Household_Alloc[[#This Row],[Export Capacity (kW)]])</f>
        <v>Symo 5</v>
      </c>
      <c r="N142" s="494">
        <f>IF(Table_Household_Alloc[[#This Row],[PV Installed]]="Y",1,0)*Table_Household_Alloc[[#This Row],[Calculated Battery Allocation (kWh)]]</f>
        <v>7.192</v>
      </c>
      <c r="O142" s="488">
        <v>5</v>
      </c>
      <c r="P142" s="490" t="s">
        <v>221</v>
      </c>
      <c r="Q142" s="490" t="s">
        <v>221</v>
      </c>
      <c r="R142" s="490" t="s">
        <v>221</v>
      </c>
      <c r="S142" s="490" t="s">
        <v>234</v>
      </c>
      <c r="T142" s="546" t="s">
        <v>654</v>
      </c>
      <c r="U142" s="496"/>
      <c r="V142" s="549" t="s">
        <v>655</v>
      </c>
      <c r="X142" s="551">
        <v>45295</v>
      </c>
      <c r="Y142" s="499" t="s">
        <v>227</v>
      </c>
    </row>
    <row r="143" s="488" customFormat="1" ht="17.4" spans="1:25">
      <c r="A143" s="409">
        <v>8</v>
      </c>
      <c r="B143" s="410" t="s">
        <v>59</v>
      </c>
      <c r="C143" s="436"/>
      <c r="D143" s="490"/>
      <c r="E143" s="490" t="s">
        <v>656</v>
      </c>
      <c r="F143" s="490" t="s">
        <v>657</v>
      </c>
      <c r="G143" s="490" t="s">
        <v>389</v>
      </c>
      <c r="H143" s="490" t="s">
        <v>390</v>
      </c>
      <c r="I143" s="490">
        <v>6286</v>
      </c>
      <c r="J143" s="512">
        <v>31</v>
      </c>
      <c r="K143" s="513">
        <f>Table_Household_Alloc[[#This Row],[Unit Entitlement]]/1000</f>
        <v>0.031</v>
      </c>
      <c r="L143" s="493">
        <f t="shared" si="2"/>
        <v>7.192</v>
      </c>
      <c r="M143" s="514"/>
      <c r="N143" s="494">
        <f>IF(Table_Household_Alloc[[#This Row],[PV Installed]]="Y",1,0)*Table_Household_Alloc[[#This Row],[Calculated Battery Allocation (kWh)]]</f>
        <v>0</v>
      </c>
      <c r="P143" s="490"/>
      <c r="Q143" s="490"/>
      <c r="R143" s="490"/>
      <c r="S143" s="490" t="s">
        <v>307</v>
      </c>
      <c r="T143" s="552" t="s">
        <v>658</v>
      </c>
      <c r="U143" s="496"/>
      <c r="V143" s="549" t="s">
        <v>659</v>
      </c>
      <c r="X143" s="548"/>
      <c r="Y143" s="499"/>
    </row>
    <row r="144" s="488" customFormat="1" ht="17.4" spans="1:25">
      <c r="A144" s="409">
        <v>9</v>
      </c>
      <c r="B144" s="410" t="s">
        <v>59</v>
      </c>
      <c r="C144" s="414"/>
      <c r="D144" s="490"/>
      <c r="E144" s="490" t="s">
        <v>660</v>
      </c>
      <c r="F144" s="490" t="s">
        <v>661</v>
      </c>
      <c r="G144" s="490" t="s">
        <v>389</v>
      </c>
      <c r="H144" s="490" t="s">
        <v>390</v>
      </c>
      <c r="I144" s="490">
        <v>6286</v>
      </c>
      <c r="J144" s="512">
        <v>45</v>
      </c>
      <c r="K144" s="513">
        <f>Table_Household_Alloc[[#This Row],[Unit Entitlement]]/1000</f>
        <v>0.045</v>
      </c>
      <c r="L144" s="493">
        <f t="shared" si="2"/>
        <v>10.44</v>
      </c>
      <c r="M144" s="514"/>
      <c r="N144" s="494">
        <f>IF(Table_Household_Alloc[[#This Row],[PV Installed]]="Y",1,0)*Table_Household_Alloc[[#This Row],[Calculated Battery Allocation (kWh)]]</f>
        <v>0</v>
      </c>
      <c r="P144" s="490"/>
      <c r="Q144" s="490"/>
      <c r="R144" s="490"/>
      <c r="S144" s="490" t="s">
        <v>223</v>
      </c>
      <c r="T144" s="546" t="s">
        <v>662</v>
      </c>
      <c r="U144" s="496"/>
      <c r="V144" s="549" t="s">
        <v>663</v>
      </c>
      <c r="X144" s="548"/>
      <c r="Y144" s="499"/>
    </row>
    <row r="145" s="488" customFormat="1" ht="17.4" spans="1:25">
      <c r="A145" s="409">
        <v>10</v>
      </c>
      <c r="B145" s="410" t="s">
        <v>59</v>
      </c>
      <c r="C145" s="414"/>
      <c r="D145" s="490"/>
      <c r="E145" s="490" t="s">
        <v>664</v>
      </c>
      <c r="F145" s="490" t="s">
        <v>665</v>
      </c>
      <c r="G145" s="490" t="s">
        <v>389</v>
      </c>
      <c r="H145" s="490" t="s">
        <v>390</v>
      </c>
      <c r="I145" s="490">
        <v>6286</v>
      </c>
      <c r="J145" s="512">
        <v>45</v>
      </c>
      <c r="K145" s="513">
        <f>Table_Household_Alloc[[#This Row],[Unit Entitlement]]/1000</f>
        <v>0.045</v>
      </c>
      <c r="L145" s="493">
        <f t="shared" si="2"/>
        <v>10.44</v>
      </c>
      <c r="M145" s="514"/>
      <c r="N145" s="494">
        <f>IF(Table_Household_Alloc[[#This Row],[PV Installed]]="Y",1,0)*Table_Household_Alloc[[#This Row],[Calculated Battery Allocation (kWh)]]</f>
        <v>0</v>
      </c>
      <c r="P145" s="490"/>
      <c r="Q145" s="490"/>
      <c r="R145" s="490"/>
      <c r="S145" s="490" t="s">
        <v>307</v>
      </c>
      <c r="T145" s="546" t="s">
        <v>666</v>
      </c>
      <c r="U145" s="496"/>
      <c r="V145" s="549" t="s">
        <v>667</v>
      </c>
      <c r="X145" s="548"/>
      <c r="Y145" s="499"/>
    </row>
    <row r="146" s="488" customFormat="1" ht="17.4" spans="1:25">
      <c r="A146" s="409">
        <v>11</v>
      </c>
      <c r="B146" s="410" t="s">
        <v>59</v>
      </c>
      <c r="C146" s="436"/>
      <c r="D146" s="490"/>
      <c r="E146" s="490" t="s">
        <v>668</v>
      </c>
      <c r="F146" s="490" t="s">
        <v>669</v>
      </c>
      <c r="G146" s="490" t="s">
        <v>389</v>
      </c>
      <c r="H146" s="490" t="s">
        <v>390</v>
      </c>
      <c r="I146" s="490">
        <v>6286</v>
      </c>
      <c r="J146" s="512">
        <v>45</v>
      </c>
      <c r="K146" s="513">
        <f>Table_Household_Alloc[[#This Row],[Unit Entitlement]]/1000</f>
        <v>0.045</v>
      </c>
      <c r="L146" s="493">
        <f t="shared" si="2"/>
        <v>10.44</v>
      </c>
      <c r="M146" s="514"/>
      <c r="N146" s="494">
        <f>IF(Table_Household_Alloc[[#This Row],[PV Installed]]="Y",1,0)*Table_Household_Alloc[[#This Row],[Calculated Battery Allocation (kWh)]]</f>
        <v>0</v>
      </c>
      <c r="P146" s="490"/>
      <c r="Q146" s="490"/>
      <c r="R146" s="490"/>
      <c r="S146" s="490" t="s">
        <v>223</v>
      </c>
      <c r="T146" s="546" t="s">
        <v>670</v>
      </c>
      <c r="U146" s="496"/>
      <c r="V146" s="549" t="s">
        <v>671</v>
      </c>
      <c r="X146" s="548"/>
      <c r="Y146" s="499"/>
    </row>
    <row r="147" s="488" customFormat="1" ht="17.4" spans="1:25">
      <c r="A147" s="409">
        <v>12</v>
      </c>
      <c r="B147" s="410" t="s">
        <v>59</v>
      </c>
      <c r="C147" s="414"/>
      <c r="D147" s="490"/>
      <c r="E147" s="490" t="s">
        <v>672</v>
      </c>
      <c r="F147" s="490" t="s">
        <v>673</v>
      </c>
      <c r="G147" s="490" t="s">
        <v>389</v>
      </c>
      <c r="H147" s="490" t="s">
        <v>390</v>
      </c>
      <c r="I147" s="490">
        <v>6286</v>
      </c>
      <c r="J147" s="512">
        <v>45</v>
      </c>
      <c r="K147" s="513">
        <f>Table_Household_Alloc[[#This Row],[Unit Entitlement]]/1000</f>
        <v>0.045</v>
      </c>
      <c r="L147" s="493">
        <f t="shared" si="2"/>
        <v>10.44</v>
      </c>
      <c r="M147" s="514"/>
      <c r="N147" s="494">
        <f>IF(Table_Household_Alloc[[#This Row],[PV Installed]]="Y",1,0)*Table_Household_Alloc[[#This Row],[Calculated Battery Allocation (kWh)]]</f>
        <v>0</v>
      </c>
      <c r="P147" s="490"/>
      <c r="Q147" s="490"/>
      <c r="R147" s="490"/>
      <c r="S147" s="490" t="s">
        <v>223</v>
      </c>
      <c r="T147" s="546" t="s">
        <v>674</v>
      </c>
      <c r="U147" s="496"/>
      <c r="V147" s="549" t="s">
        <v>675</v>
      </c>
      <c r="X147" s="548"/>
      <c r="Y147" s="499"/>
    </row>
    <row r="148" s="488" customFormat="1" ht="17.4" spans="1:25">
      <c r="A148" s="409">
        <v>13</v>
      </c>
      <c r="B148" s="410" t="s">
        <v>59</v>
      </c>
      <c r="C148" s="436"/>
      <c r="D148" s="490"/>
      <c r="E148" s="490" t="s">
        <v>676</v>
      </c>
      <c r="F148" s="490" t="s">
        <v>677</v>
      </c>
      <c r="G148" s="490" t="s">
        <v>389</v>
      </c>
      <c r="H148" s="490" t="s">
        <v>390</v>
      </c>
      <c r="I148" s="490">
        <v>6286</v>
      </c>
      <c r="J148" s="512">
        <v>45</v>
      </c>
      <c r="K148" s="513">
        <f>Table_Household_Alloc[[#This Row],[Unit Entitlement]]/1000</f>
        <v>0.045</v>
      </c>
      <c r="L148" s="493">
        <f t="shared" si="2"/>
        <v>10.44</v>
      </c>
      <c r="M148" s="514"/>
      <c r="N148" s="494">
        <f>IF(Table_Household_Alloc[[#This Row],[PV Installed]]="Y",1,0)*Table_Household_Alloc[[#This Row],[Calculated Battery Allocation (kWh)]]</f>
        <v>0</v>
      </c>
      <c r="P148" s="490"/>
      <c r="Q148" s="490"/>
      <c r="R148" s="490"/>
      <c r="S148" s="490" t="s">
        <v>307</v>
      </c>
      <c r="T148" s="546"/>
      <c r="U148" s="496"/>
      <c r="V148" s="549" t="s">
        <v>678</v>
      </c>
      <c r="X148" s="548"/>
      <c r="Y148" s="499"/>
    </row>
    <row r="149" s="488" customFormat="1" ht="30" spans="1:25">
      <c r="A149" s="409">
        <v>14</v>
      </c>
      <c r="B149" s="410" t="s">
        <v>59</v>
      </c>
      <c r="C149" s="414"/>
      <c r="D149" s="490"/>
      <c r="E149" s="490" t="s">
        <v>679</v>
      </c>
      <c r="F149" s="490" t="s">
        <v>680</v>
      </c>
      <c r="G149" s="490" t="s">
        <v>389</v>
      </c>
      <c r="H149" s="490" t="s">
        <v>390</v>
      </c>
      <c r="I149" s="490">
        <v>6286</v>
      </c>
      <c r="J149" s="512">
        <v>45</v>
      </c>
      <c r="K149" s="513">
        <f>Table_Household_Alloc[[#This Row],[Unit Entitlement]]/1000</f>
        <v>0.045</v>
      </c>
      <c r="L149" s="493">
        <f t="shared" si="2"/>
        <v>10.44</v>
      </c>
      <c r="M149" s="514"/>
      <c r="N149" s="494">
        <f>IF(Table_Household_Alloc[[#This Row],[PV Installed]]="Y",1,0)*Table_Household_Alloc[[#This Row],[Calculated Battery Allocation (kWh)]]</f>
        <v>0</v>
      </c>
      <c r="P149" s="490"/>
      <c r="Q149" s="490"/>
      <c r="R149" s="490"/>
      <c r="S149" s="490" t="s">
        <v>307</v>
      </c>
      <c r="T149" s="546" t="s">
        <v>681</v>
      </c>
      <c r="U149" s="496"/>
      <c r="V149" s="549" t="s">
        <v>682</v>
      </c>
      <c r="X149" s="548"/>
      <c r="Y149" s="499"/>
    </row>
    <row r="150" s="488" customFormat="1" ht="17.4" spans="1:25">
      <c r="A150" s="409">
        <v>15</v>
      </c>
      <c r="B150" s="410" t="s">
        <v>59</v>
      </c>
      <c r="C150" s="436"/>
      <c r="D150" s="490"/>
      <c r="E150" s="490" t="s">
        <v>683</v>
      </c>
      <c r="F150" s="490" t="s">
        <v>684</v>
      </c>
      <c r="G150" s="490" t="s">
        <v>389</v>
      </c>
      <c r="H150" s="490" t="s">
        <v>390</v>
      </c>
      <c r="I150" s="490">
        <v>6286</v>
      </c>
      <c r="J150" s="512">
        <v>21</v>
      </c>
      <c r="K150" s="513">
        <f>Table_Household_Alloc[[#This Row],[Unit Entitlement]]/1000</f>
        <v>0.021</v>
      </c>
      <c r="L150" s="493">
        <f t="shared" si="2"/>
        <v>4.872</v>
      </c>
      <c r="M150" s="514"/>
      <c r="N150" s="494">
        <f>IF(Table_Household_Alloc[[#This Row],[PV Installed]]="Y",1,0)*Table_Household_Alloc[[#This Row],[Calculated Battery Allocation (kWh)]]</f>
        <v>0</v>
      </c>
      <c r="P150" s="490"/>
      <c r="Q150" s="490"/>
      <c r="R150" s="490"/>
      <c r="S150" s="490" t="s">
        <v>234</v>
      </c>
      <c r="T150" s="546" t="s">
        <v>685</v>
      </c>
      <c r="U150" s="496"/>
      <c r="V150" s="549" t="s">
        <v>153</v>
      </c>
      <c r="X150" s="551">
        <v>45008</v>
      </c>
      <c r="Y150" s="499" t="s">
        <v>227</v>
      </c>
    </row>
    <row r="151" s="488" customFormat="1" ht="17.4" spans="1:25">
      <c r="A151" s="409">
        <v>16</v>
      </c>
      <c r="B151" s="410" t="s">
        <v>59</v>
      </c>
      <c r="C151" s="436"/>
      <c r="D151" s="490"/>
      <c r="E151" s="490" t="s">
        <v>686</v>
      </c>
      <c r="F151" s="490" t="s">
        <v>687</v>
      </c>
      <c r="G151" s="490" t="s">
        <v>389</v>
      </c>
      <c r="H151" s="490" t="s">
        <v>390</v>
      </c>
      <c r="I151" s="490">
        <v>6286</v>
      </c>
      <c r="J151" s="512">
        <v>22</v>
      </c>
      <c r="K151" s="513">
        <f>Table_Household_Alloc[[#This Row],[Unit Entitlement]]/1000</f>
        <v>0.022</v>
      </c>
      <c r="L151" s="493">
        <f t="shared" si="2"/>
        <v>5.104</v>
      </c>
      <c r="M151" s="514"/>
      <c r="N151" s="494">
        <f>IF(Table_Household_Alloc[[#This Row],[PV Installed]]="Y",1,0)*Table_Household_Alloc[[#This Row],[Calculated Battery Allocation (kWh)]]</f>
        <v>0</v>
      </c>
      <c r="P151" s="490"/>
      <c r="Q151" s="490"/>
      <c r="R151" s="490"/>
      <c r="S151" s="490" t="s">
        <v>234</v>
      </c>
      <c r="T151" s="552" t="s">
        <v>688</v>
      </c>
      <c r="U151" s="496"/>
      <c r="V151" s="549" t="s">
        <v>689</v>
      </c>
      <c r="X151" s="553">
        <v>45323</v>
      </c>
      <c r="Y151" s="499" t="s">
        <v>227</v>
      </c>
    </row>
    <row r="152" s="488" customFormat="1" ht="17.4" spans="1:25">
      <c r="A152" s="409">
        <v>17</v>
      </c>
      <c r="B152" s="410" t="s">
        <v>59</v>
      </c>
      <c r="C152" s="436"/>
      <c r="D152" s="490"/>
      <c r="E152" s="490" t="s">
        <v>690</v>
      </c>
      <c r="F152" s="490" t="s">
        <v>691</v>
      </c>
      <c r="G152" s="490" t="s">
        <v>389</v>
      </c>
      <c r="H152" s="490" t="s">
        <v>390</v>
      </c>
      <c r="I152" s="490">
        <v>6286</v>
      </c>
      <c r="J152" s="512">
        <v>22</v>
      </c>
      <c r="K152" s="513">
        <f>Table_Household_Alloc[[#This Row],[Unit Entitlement]]/1000</f>
        <v>0.022</v>
      </c>
      <c r="L152" s="493">
        <f t="shared" si="2"/>
        <v>5.104</v>
      </c>
      <c r="M152" s="514"/>
      <c r="N152" s="494">
        <f>IF(Table_Household_Alloc[[#This Row],[PV Installed]]="Y",1,0)*Table_Household_Alloc[[#This Row],[Calculated Battery Allocation (kWh)]]</f>
        <v>0</v>
      </c>
      <c r="P152" s="490"/>
      <c r="Q152" s="490"/>
      <c r="R152" s="490"/>
      <c r="S152" s="490" t="s">
        <v>307</v>
      </c>
      <c r="T152" s="546" t="s">
        <v>692</v>
      </c>
      <c r="U152" s="496"/>
      <c r="V152" s="549" t="s">
        <v>693</v>
      </c>
      <c r="X152" s="548"/>
      <c r="Y152" s="499"/>
    </row>
    <row r="153" s="488" customFormat="1" ht="17.4" spans="1:25">
      <c r="A153" s="409">
        <v>18</v>
      </c>
      <c r="B153" s="410" t="s">
        <v>59</v>
      </c>
      <c r="C153" s="414"/>
      <c r="D153" s="490"/>
      <c r="E153" s="490" t="s">
        <v>694</v>
      </c>
      <c r="F153" s="490" t="s">
        <v>695</v>
      </c>
      <c r="G153" s="490" t="s">
        <v>389</v>
      </c>
      <c r="H153" s="490" t="s">
        <v>390</v>
      </c>
      <c r="I153" s="490">
        <v>6286</v>
      </c>
      <c r="J153" s="512">
        <v>22</v>
      </c>
      <c r="K153" s="513">
        <f>Table_Household_Alloc[[#This Row],[Unit Entitlement]]/1000</f>
        <v>0.022</v>
      </c>
      <c r="L153" s="493">
        <f t="shared" si="2"/>
        <v>5.104</v>
      </c>
      <c r="M153" s="514"/>
      <c r="N153" s="494">
        <f>IF(Table_Household_Alloc[[#This Row],[PV Installed]]="Y",1,0)*Table_Household_Alloc[[#This Row],[Calculated Battery Allocation (kWh)]]</f>
        <v>0</v>
      </c>
      <c r="P153" s="490"/>
      <c r="Q153" s="490"/>
      <c r="R153" s="490"/>
      <c r="S153" s="490" t="s">
        <v>234</v>
      </c>
      <c r="T153" s="546" t="s">
        <v>696</v>
      </c>
      <c r="U153" s="496"/>
      <c r="V153" s="549" t="s">
        <v>697</v>
      </c>
      <c r="X153" s="548">
        <v>45504</v>
      </c>
      <c r="Y153" s="499" t="s">
        <v>227</v>
      </c>
    </row>
    <row r="154" s="488" customFormat="1" ht="17.4" spans="1:25">
      <c r="A154" s="409">
        <v>19</v>
      </c>
      <c r="B154" s="410" t="s">
        <v>59</v>
      </c>
      <c r="C154" s="411">
        <v>50003387</v>
      </c>
      <c r="D154" s="490"/>
      <c r="E154" s="490" t="s">
        <v>698</v>
      </c>
      <c r="F154" s="490" t="s">
        <v>699</v>
      </c>
      <c r="G154" s="490" t="s">
        <v>389</v>
      </c>
      <c r="H154" s="490" t="s">
        <v>390</v>
      </c>
      <c r="I154" s="490">
        <v>6286</v>
      </c>
      <c r="J154" s="512">
        <v>24</v>
      </c>
      <c r="K154" s="513">
        <f>Table_Household_Alloc[[#This Row],[Unit Entitlement]]/1000</f>
        <v>0.024</v>
      </c>
      <c r="L154" s="493">
        <f t="shared" si="2"/>
        <v>5.568</v>
      </c>
      <c r="M154" s="514" t="str">
        <f>CONCATENATE("Symo ",Table_Household_Alloc[[#This Row],[Export Capacity (kW)]])</f>
        <v>Symo 5</v>
      </c>
      <c r="N154" s="494">
        <f>IF(Table_Household_Alloc[[#This Row],[PV Installed]]="Y",1,0)*Table_Household_Alloc[[#This Row],[Calculated Battery Allocation (kWh)]]</f>
        <v>5.568</v>
      </c>
      <c r="O154" s="488">
        <v>5</v>
      </c>
      <c r="P154" s="490" t="s">
        <v>221</v>
      </c>
      <c r="Q154" s="490" t="s">
        <v>221</v>
      </c>
      <c r="R154" s="490" t="s">
        <v>221</v>
      </c>
      <c r="S154" s="490" t="s">
        <v>234</v>
      </c>
      <c r="T154" s="546" t="s">
        <v>700</v>
      </c>
      <c r="U154" s="496"/>
      <c r="V154" s="549" t="s">
        <v>701</v>
      </c>
      <c r="X154" s="554">
        <v>45044</v>
      </c>
      <c r="Y154" s="499" t="s">
        <v>227</v>
      </c>
    </row>
    <row r="155" s="488" customFormat="1" ht="17.4" spans="1:25">
      <c r="A155" s="409">
        <v>20</v>
      </c>
      <c r="B155" s="410" t="s">
        <v>59</v>
      </c>
      <c r="C155" s="436"/>
      <c r="D155" s="490"/>
      <c r="E155" s="490" t="s">
        <v>702</v>
      </c>
      <c r="F155" s="490" t="s">
        <v>703</v>
      </c>
      <c r="G155" s="490" t="s">
        <v>389</v>
      </c>
      <c r="H155" s="490" t="s">
        <v>390</v>
      </c>
      <c r="I155" s="490">
        <v>6286</v>
      </c>
      <c r="J155" s="512">
        <v>51</v>
      </c>
      <c r="K155" s="513">
        <f>Table_Household_Alloc[[#This Row],[Unit Entitlement]]/1000</f>
        <v>0.051</v>
      </c>
      <c r="L155" s="493">
        <f t="shared" ref="L155:L187" si="5">J155/1000*232</f>
        <v>11.832</v>
      </c>
      <c r="M155" s="514"/>
      <c r="N155" s="494">
        <f>IF(Table_Household_Alloc[[#This Row],[PV Installed]]="Y",1,0)*Table_Household_Alloc[[#This Row],[Calculated Battery Allocation (kWh)]]</f>
        <v>0</v>
      </c>
      <c r="P155" s="490"/>
      <c r="Q155" s="490"/>
      <c r="R155" s="490"/>
      <c r="S155" s="490" t="s">
        <v>223</v>
      </c>
      <c r="T155" s="546" t="s">
        <v>704</v>
      </c>
      <c r="U155" s="496"/>
      <c r="V155" s="549" t="s">
        <v>705</v>
      </c>
      <c r="X155" s="548"/>
      <c r="Y155" s="499"/>
    </row>
    <row r="156" s="488" customFormat="1" ht="17.4" spans="1:25">
      <c r="A156" s="409">
        <v>21</v>
      </c>
      <c r="B156" s="410" t="s">
        <v>59</v>
      </c>
      <c r="C156" s="436"/>
      <c r="D156" s="490"/>
      <c r="E156" s="490" t="s">
        <v>706</v>
      </c>
      <c r="F156" s="490" t="s">
        <v>707</v>
      </c>
      <c r="G156" s="490" t="s">
        <v>389</v>
      </c>
      <c r="H156" s="490" t="s">
        <v>390</v>
      </c>
      <c r="I156" s="490">
        <v>6286</v>
      </c>
      <c r="J156" s="512">
        <v>45</v>
      </c>
      <c r="K156" s="513">
        <f>Table_Household_Alloc[[#This Row],[Unit Entitlement]]/1000</f>
        <v>0.045</v>
      </c>
      <c r="L156" s="493">
        <f t="shared" si="5"/>
        <v>10.44</v>
      </c>
      <c r="M156" s="514"/>
      <c r="N156" s="494">
        <f>IF(Table_Household_Alloc[[#This Row],[PV Installed]]="Y",1,0)*Table_Household_Alloc[[#This Row],[Calculated Battery Allocation (kWh)]]</f>
        <v>0</v>
      </c>
      <c r="P156" s="490"/>
      <c r="Q156" s="490"/>
      <c r="R156" s="490"/>
      <c r="S156" s="490" t="s">
        <v>307</v>
      </c>
      <c r="T156" s="546" t="s">
        <v>708</v>
      </c>
      <c r="U156" s="496"/>
      <c r="V156" s="549" t="s">
        <v>709</v>
      </c>
      <c r="X156" s="548"/>
      <c r="Y156" s="499"/>
    </row>
    <row r="157" s="488" customFormat="1" ht="30" spans="1:25">
      <c r="A157" s="409">
        <v>22</v>
      </c>
      <c r="B157" s="410" t="s">
        <v>59</v>
      </c>
      <c r="C157" s="411">
        <v>50002397</v>
      </c>
      <c r="D157" s="490"/>
      <c r="E157" s="490" t="s">
        <v>710</v>
      </c>
      <c r="F157" s="490" t="s">
        <v>711</v>
      </c>
      <c r="G157" s="490" t="s">
        <v>389</v>
      </c>
      <c r="H157" s="490" t="s">
        <v>390</v>
      </c>
      <c r="I157" s="490">
        <v>6286</v>
      </c>
      <c r="J157" s="512">
        <v>44</v>
      </c>
      <c r="K157" s="513">
        <f>Table_Household_Alloc[[#This Row],[Unit Entitlement]]/1000</f>
        <v>0.044</v>
      </c>
      <c r="L157" s="493">
        <f t="shared" si="5"/>
        <v>10.208</v>
      </c>
      <c r="M157" s="514" t="str">
        <f>CONCATENATE("Symo ",Table_Household_Alloc[[#This Row],[Export Capacity (kW)]])</f>
        <v>Symo 5</v>
      </c>
      <c r="N157" s="494">
        <f>IF(Table_Household_Alloc[[#This Row],[PV Installed]]="Y",1,0)*Table_Household_Alloc[[#This Row],[Calculated Battery Allocation (kWh)]]</f>
        <v>10.208</v>
      </c>
      <c r="O157" s="488">
        <v>5</v>
      </c>
      <c r="P157" s="490" t="s">
        <v>221</v>
      </c>
      <c r="Q157" s="490" t="s">
        <v>221</v>
      </c>
      <c r="R157" s="490" t="s">
        <v>221</v>
      </c>
      <c r="S157" s="490" t="s">
        <v>234</v>
      </c>
      <c r="T157" s="546" t="s">
        <v>712</v>
      </c>
      <c r="U157" s="496"/>
      <c r="V157" s="549" t="s">
        <v>713</v>
      </c>
      <c r="X157" s="555">
        <v>45412</v>
      </c>
      <c r="Y157" s="499" t="s">
        <v>227</v>
      </c>
    </row>
    <row r="158" s="488" customFormat="1" ht="17.4" spans="1:25">
      <c r="A158" s="409">
        <v>23</v>
      </c>
      <c r="B158" s="410" t="s">
        <v>59</v>
      </c>
      <c r="C158" s="436"/>
      <c r="D158" s="490"/>
      <c r="E158" s="490" t="s">
        <v>714</v>
      </c>
      <c r="F158" s="490" t="s">
        <v>715</v>
      </c>
      <c r="G158" s="490" t="s">
        <v>389</v>
      </c>
      <c r="H158" s="490" t="s">
        <v>390</v>
      </c>
      <c r="I158" s="490">
        <v>6286</v>
      </c>
      <c r="J158" s="512">
        <v>44</v>
      </c>
      <c r="K158" s="513">
        <f>Table_Household_Alloc[[#This Row],[Unit Entitlement]]/1000</f>
        <v>0.044</v>
      </c>
      <c r="L158" s="493">
        <f t="shared" si="5"/>
        <v>10.208</v>
      </c>
      <c r="M158" s="514"/>
      <c r="N158" s="494">
        <f>IF(Table_Household_Alloc[[#This Row],[PV Installed]]="Y",1,0)*Table_Household_Alloc[[#This Row],[Calculated Battery Allocation (kWh)]]</f>
        <v>0</v>
      </c>
      <c r="P158" s="490"/>
      <c r="Q158" s="490"/>
      <c r="R158" s="490"/>
      <c r="S158" s="490" t="s">
        <v>307</v>
      </c>
      <c r="T158" s="546" t="s">
        <v>716</v>
      </c>
      <c r="U158" s="496"/>
      <c r="V158" s="549" t="s">
        <v>717</v>
      </c>
      <c r="X158" s="548"/>
      <c r="Y158" s="499"/>
    </row>
    <row r="159" s="488" customFormat="1" ht="30" spans="1:25">
      <c r="A159" s="409">
        <v>24</v>
      </c>
      <c r="B159" s="410" t="s">
        <v>59</v>
      </c>
      <c r="C159" s="411">
        <v>50002985</v>
      </c>
      <c r="D159" s="490"/>
      <c r="E159" s="490" t="s">
        <v>718</v>
      </c>
      <c r="F159" s="490" t="s">
        <v>719</v>
      </c>
      <c r="G159" s="490" t="s">
        <v>389</v>
      </c>
      <c r="H159" s="490" t="s">
        <v>390</v>
      </c>
      <c r="I159" s="490">
        <v>6286</v>
      </c>
      <c r="J159" s="512">
        <v>44</v>
      </c>
      <c r="K159" s="513">
        <f>Table_Household_Alloc[[#This Row],[Unit Entitlement]]/1000</f>
        <v>0.044</v>
      </c>
      <c r="L159" s="493">
        <f t="shared" si="5"/>
        <v>10.208</v>
      </c>
      <c r="M159" s="514" t="str">
        <f>CONCATENATE("Symo ",Table_Household_Alloc[[#This Row],[Export Capacity (kW)]])</f>
        <v>Symo 10</v>
      </c>
      <c r="N159" s="494">
        <f>IF(Table_Household_Alloc[[#This Row],[PV Installed]]="Y",1,0)*Table_Household_Alloc[[#This Row],[Calculated Battery Allocation (kWh)]]</f>
        <v>10.208</v>
      </c>
      <c r="O159" s="488">
        <v>10</v>
      </c>
      <c r="P159" s="490" t="s">
        <v>221</v>
      </c>
      <c r="Q159" s="490" t="s">
        <v>221</v>
      </c>
      <c r="R159" s="490" t="s">
        <v>221</v>
      </c>
      <c r="S159" s="490" t="s">
        <v>234</v>
      </c>
      <c r="T159" s="556" t="s">
        <v>720</v>
      </c>
      <c r="U159" s="496"/>
      <c r="V159" s="549" t="s">
        <v>721</v>
      </c>
      <c r="X159" s="555">
        <v>45058</v>
      </c>
      <c r="Y159" s="499" t="s">
        <v>227</v>
      </c>
    </row>
    <row r="160" s="488" customFormat="1" ht="17.4" spans="1:25">
      <c r="A160" s="409">
        <v>25</v>
      </c>
      <c r="B160" s="410" t="s">
        <v>59</v>
      </c>
      <c r="C160" s="411">
        <v>50002966</v>
      </c>
      <c r="D160" s="490"/>
      <c r="E160" s="490" t="s">
        <v>722</v>
      </c>
      <c r="F160" s="490" t="s">
        <v>723</v>
      </c>
      <c r="G160" s="490" t="s">
        <v>389</v>
      </c>
      <c r="H160" s="490" t="s">
        <v>390</v>
      </c>
      <c r="I160" s="490">
        <v>6286</v>
      </c>
      <c r="J160" s="512">
        <v>44</v>
      </c>
      <c r="K160" s="513">
        <f>Table_Household_Alloc[[#This Row],[Unit Entitlement]]/1000</f>
        <v>0.044</v>
      </c>
      <c r="L160" s="493">
        <f t="shared" si="5"/>
        <v>10.208</v>
      </c>
      <c r="M160" s="514" t="str">
        <f>CONCATENATE("Symo ",Table_Household_Alloc[[#This Row],[Export Capacity (kW)]])</f>
        <v>Symo 5</v>
      </c>
      <c r="N160" s="494">
        <f>IF(Table_Household_Alloc[[#This Row],[PV Installed]]="Y",1,0)*Table_Household_Alloc[[#This Row],[Calculated Battery Allocation (kWh)]]</f>
        <v>10.208</v>
      </c>
      <c r="O160" s="488">
        <v>5</v>
      </c>
      <c r="P160" s="490" t="s">
        <v>221</v>
      </c>
      <c r="Q160" s="490" t="s">
        <v>221</v>
      </c>
      <c r="R160" s="490" t="s">
        <v>221</v>
      </c>
      <c r="S160" s="490" t="s">
        <v>234</v>
      </c>
      <c r="T160" s="546" t="s">
        <v>724</v>
      </c>
      <c r="U160" s="496"/>
      <c r="V160" s="549" t="s">
        <v>725</v>
      </c>
      <c r="X160" s="548">
        <v>45219</v>
      </c>
      <c r="Y160" s="499" t="s">
        <v>227</v>
      </c>
    </row>
    <row r="161" s="488" customFormat="1" ht="17.4" spans="1:25">
      <c r="A161" s="409">
        <v>26</v>
      </c>
      <c r="B161" s="410" t="s">
        <v>59</v>
      </c>
      <c r="C161" s="434"/>
      <c r="D161" s="490"/>
      <c r="E161" s="490" t="s">
        <v>726</v>
      </c>
      <c r="F161" s="490" t="s">
        <v>727</v>
      </c>
      <c r="G161" s="490" t="s">
        <v>389</v>
      </c>
      <c r="H161" s="490" t="s">
        <v>390</v>
      </c>
      <c r="I161" s="490">
        <v>6286</v>
      </c>
      <c r="J161" s="512">
        <v>44</v>
      </c>
      <c r="K161" s="513">
        <f>Table_Household_Alloc[[#This Row],[Unit Entitlement]]/1000</f>
        <v>0.044</v>
      </c>
      <c r="L161" s="493">
        <f t="shared" si="5"/>
        <v>10.208</v>
      </c>
      <c r="M161" s="514"/>
      <c r="N161" s="494">
        <f>IF(Table_Household_Alloc[[#This Row],[PV Installed]]="Y",1,0)*Table_Household_Alloc[[#This Row],[Calculated Battery Allocation (kWh)]]</f>
        <v>0</v>
      </c>
      <c r="P161" s="490"/>
      <c r="Q161" s="490"/>
      <c r="R161" s="490"/>
      <c r="S161" s="490" t="s">
        <v>307</v>
      </c>
      <c r="T161" s="546" t="s">
        <v>728</v>
      </c>
      <c r="U161" s="496"/>
      <c r="V161" s="549" t="s">
        <v>729</v>
      </c>
      <c r="X161" s="548"/>
      <c r="Y161" s="499"/>
    </row>
    <row r="162" s="488" customFormat="1" ht="17.4" spans="1:25">
      <c r="A162" s="409">
        <v>27</v>
      </c>
      <c r="B162" s="410" t="s">
        <v>59</v>
      </c>
      <c r="C162" s="434"/>
      <c r="D162" s="490"/>
      <c r="E162" s="490" t="s">
        <v>730</v>
      </c>
      <c r="F162" s="490" t="s">
        <v>731</v>
      </c>
      <c r="G162" s="490" t="s">
        <v>389</v>
      </c>
      <c r="H162" s="490" t="s">
        <v>390</v>
      </c>
      <c r="I162" s="490">
        <v>6286</v>
      </c>
      <c r="J162" s="512">
        <v>44</v>
      </c>
      <c r="K162" s="513">
        <f>Table_Household_Alloc[[#This Row],[Unit Entitlement]]/1000</f>
        <v>0.044</v>
      </c>
      <c r="L162" s="493">
        <f t="shared" si="5"/>
        <v>10.208</v>
      </c>
      <c r="M162" s="514"/>
      <c r="N162" s="494">
        <f>IF(Table_Household_Alloc[[#This Row],[PV Installed]]="Y",1,0)*Table_Household_Alloc[[#This Row],[Calculated Battery Allocation (kWh)]]</f>
        <v>0</v>
      </c>
      <c r="P162" s="490"/>
      <c r="Q162" s="490"/>
      <c r="R162" s="490"/>
      <c r="S162" s="490" t="s">
        <v>223</v>
      </c>
      <c r="T162" s="546" t="s">
        <v>732</v>
      </c>
      <c r="U162" s="496"/>
      <c r="V162" s="549" t="s">
        <v>733</v>
      </c>
      <c r="X162" s="548"/>
      <c r="Y162" s="499"/>
    </row>
    <row r="163" s="488" customFormat="1" ht="18" spans="1:25">
      <c r="A163" s="417" t="s">
        <v>334</v>
      </c>
      <c r="B163" s="410" t="s">
        <v>59</v>
      </c>
      <c r="C163" s="411">
        <v>2911041070</v>
      </c>
      <c r="D163" s="490"/>
      <c r="E163" s="502" t="s">
        <v>335</v>
      </c>
      <c r="F163" s="489"/>
      <c r="G163" s="490"/>
      <c r="H163" s="490"/>
      <c r="I163" s="490"/>
      <c r="J163" s="491"/>
      <c r="K163" s="492">
        <f>Table_Household_Alloc[[#This Row],[Unit Entitlement]]/1000</f>
        <v>0</v>
      </c>
      <c r="L163" s="493"/>
      <c r="M163" s="490"/>
      <c r="N163" s="494">
        <f>IF(Table_Household_Alloc[[#This Row],[PV Installed]]="Y",1,0)*Table_Household_Alloc[[#This Row],[Calculated Battery Allocation (kWh)]]</f>
        <v>0</v>
      </c>
      <c r="T163" s="495"/>
      <c r="U163" s="496"/>
      <c r="V163" s="497"/>
      <c r="X163" s="498"/>
      <c r="Y163" s="499"/>
    </row>
    <row r="164" s="488" customFormat="1" ht="17.4" spans="1:25">
      <c r="A164" s="409" t="s">
        <v>336</v>
      </c>
      <c r="B164" s="410" t="s">
        <v>59</v>
      </c>
      <c r="C164" s="411">
        <v>2911041113</v>
      </c>
      <c r="D164" s="490" t="s">
        <v>337</v>
      </c>
      <c r="E164" s="502" t="s">
        <v>338</v>
      </c>
      <c r="F164" s="490"/>
      <c r="G164" s="490" t="s">
        <v>219</v>
      </c>
      <c r="H164" s="490" t="s">
        <v>220</v>
      </c>
      <c r="I164" s="490">
        <v>6286</v>
      </c>
      <c r="J164" s="508"/>
      <c r="K164" s="509">
        <f>Table_Household_Alloc[[#This Row],[Unit Entitlement]]/1000</f>
        <v>0</v>
      </c>
      <c r="L164" s="493">
        <f t="shared" ref="L164:L165" si="6">(J164/1000)*232</f>
        <v>0</v>
      </c>
      <c r="M164" s="514"/>
      <c r="N164" s="494">
        <f>IF(Table_Household_Alloc[[#This Row],[PV Installed]]="Y",1,0)*Table_Household_Alloc[[#This Row],[Calculated Battery Allocation (kWh)]]</f>
        <v>0</v>
      </c>
      <c r="P164" s="500"/>
      <c r="Q164" s="500"/>
      <c r="R164" s="490"/>
      <c r="S164" s="490"/>
      <c r="U164" s="496"/>
      <c r="X164" s="526"/>
      <c r="Y164" s="499"/>
    </row>
    <row r="165" s="488" customFormat="1" ht="17.4" spans="1:25">
      <c r="A165" s="409" t="s">
        <v>339</v>
      </c>
      <c r="B165" s="410" t="s">
        <v>59</v>
      </c>
      <c r="C165" s="414"/>
      <c r="D165" s="490" t="s">
        <v>337</v>
      </c>
      <c r="E165" s="502" t="s">
        <v>340</v>
      </c>
      <c r="F165" s="490"/>
      <c r="G165" s="490" t="s">
        <v>219</v>
      </c>
      <c r="H165" s="490" t="s">
        <v>220</v>
      </c>
      <c r="I165" s="490">
        <v>6286</v>
      </c>
      <c r="J165" s="512"/>
      <c r="K165" s="513">
        <f>Table_Household_Alloc[[#This Row],[Unit Entitlement]]/1000</f>
        <v>0</v>
      </c>
      <c r="L165" s="493">
        <f t="shared" si="6"/>
        <v>0</v>
      </c>
      <c r="M165" s="514"/>
      <c r="N165" s="494">
        <f>IF(Table_Household_Alloc[[#This Row],[PV Installed]]="Y",1,0)*Table_Household_Alloc[[#This Row],[Calculated Battery Allocation (kWh)]]</f>
        <v>0</v>
      </c>
      <c r="P165" s="500"/>
      <c r="Q165" s="500"/>
      <c r="R165" s="490"/>
      <c r="S165" s="490"/>
      <c r="U165" s="496"/>
      <c r="X165" s="526"/>
      <c r="Y165" s="499"/>
    </row>
    <row r="166" s="488" customFormat="1" ht="18" spans="1:25">
      <c r="A166" s="422" t="s">
        <v>341</v>
      </c>
      <c r="B166" s="410" t="s">
        <v>59</v>
      </c>
      <c r="C166" s="437"/>
      <c r="D166" s="490"/>
      <c r="E166" s="489"/>
      <c r="F166" s="489"/>
      <c r="G166" s="490"/>
      <c r="H166" s="490"/>
      <c r="I166" s="490"/>
      <c r="J166" s="491"/>
      <c r="K166" s="492">
        <f>Table_Household_Alloc[[#This Row],[Unit Entitlement]]/1000</f>
        <v>0</v>
      </c>
      <c r="L166" s="493"/>
      <c r="M166" s="490"/>
      <c r="N166" s="494">
        <f>IF(Table_Household_Alloc[[#This Row],[PV Installed]]="Y",1,0)*Table_Household_Alloc[[#This Row],[Calculated Battery Allocation (kWh)]]</f>
        <v>0</v>
      </c>
      <c r="T166" s="495"/>
      <c r="U166" s="496"/>
      <c r="V166" s="497"/>
      <c r="X166" s="498"/>
      <c r="Y166" s="499"/>
    </row>
    <row r="167" s="488" customFormat="1" ht="18" spans="1:25">
      <c r="A167" s="423" t="s">
        <v>342</v>
      </c>
      <c r="B167" s="410" t="s">
        <v>59</v>
      </c>
      <c r="C167" s="437"/>
      <c r="D167" s="490"/>
      <c r="E167" s="489"/>
      <c r="F167" s="489"/>
      <c r="G167" s="490"/>
      <c r="H167" s="490"/>
      <c r="I167" s="490"/>
      <c r="J167" s="491"/>
      <c r="K167" s="492">
        <f>Table_Household_Alloc[[#This Row],[Unit Entitlement]]/1000</f>
        <v>0</v>
      </c>
      <c r="L167" s="493"/>
      <c r="M167" s="490"/>
      <c r="N167" s="494">
        <f>IF(Table_Household_Alloc[[#This Row],[PV Installed]]="Y",1,0)*Table_Household_Alloc[[#This Row],[Calculated Battery Allocation (kWh)]]</f>
        <v>0</v>
      </c>
      <c r="T167" s="495"/>
      <c r="U167" s="496"/>
      <c r="V167" s="497"/>
      <c r="X167" s="498"/>
      <c r="Y167" s="499"/>
    </row>
    <row r="168" s="488" customFormat="1" ht="31.2" spans="1:25">
      <c r="A168" s="438">
        <v>1</v>
      </c>
      <c r="B168" s="410" t="s">
        <v>60</v>
      </c>
      <c r="C168" s="414"/>
      <c r="D168" s="490"/>
      <c r="E168" s="501" t="s">
        <v>734</v>
      </c>
      <c r="F168" s="501" t="s">
        <v>735</v>
      </c>
      <c r="G168" s="490" t="s">
        <v>389</v>
      </c>
      <c r="H168" s="490" t="s">
        <v>390</v>
      </c>
      <c r="I168" s="490">
        <v>6286</v>
      </c>
      <c r="J168" s="544">
        <v>82</v>
      </c>
      <c r="K168" s="492">
        <f>Table_Household_Alloc[[#This Row],[Unit Entitlement]]/1000</f>
        <v>0.082</v>
      </c>
      <c r="L168" s="493">
        <f t="shared" si="5"/>
        <v>19.024</v>
      </c>
      <c r="M168" s="490"/>
      <c r="N168" s="494">
        <f>IF(Table_Household_Alloc[[#This Row],[PV Installed]]="Y",1,0)*Table_Household_Alloc[[#This Row],[Calculated Battery Allocation (kWh)]]</f>
        <v>0</v>
      </c>
      <c r="S168" s="501" t="s">
        <v>736</v>
      </c>
      <c r="T168" s="557" t="s">
        <v>737</v>
      </c>
      <c r="U168" s="496"/>
      <c r="V168" s="558" t="s">
        <v>738</v>
      </c>
      <c r="X168" s="559"/>
      <c r="Y168" s="499"/>
    </row>
    <row r="169" s="488" customFormat="1" ht="18" spans="1:25">
      <c r="A169" s="438">
        <v>2</v>
      </c>
      <c r="B169" s="410" t="s">
        <v>60</v>
      </c>
      <c r="C169" s="414"/>
      <c r="D169" s="490"/>
      <c r="E169" s="501" t="s">
        <v>739</v>
      </c>
      <c r="F169" s="501" t="s">
        <v>740</v>
      </c>
      <c r="G169" s="490" t="s">
        <v>389</v>
      </c>
      <c r="H169" s="490" t="s">
        <v>390</v>
      </c>
      <c r="I169" s="490">
        <v>6286</v>
      </c>
      <c r="J169" s="544">
        <v>58</v>
      </c>
      <c r="K169" s="492">
        <f>Table_Household_Alloc[[#This Row],[Unit Entitlement]]/1000</f>
        <v>0.058</v>
      </c>
      <c r="L169" s="493">
        <f t="shared" si="5"/>
        <v>13.456</v>
      </c>
      <c r="M169" s="490"/>
      <c r="N169" s="494">
        <f>IF(Table_Household_Alloc[[#This Row],[PV Installed]]="Y",1,0)*Table_Household_Alloc[[#This Row],[Calculated Battery Allocation (kWh)]]</f>
        <v>0</v>
      </c>
      <c r="S169" s="488" t="s">
        <v>741</v>
      </c>
      <c r="T169" s="557" t="s">
        <v>742</v>
      </c>
      <c r="U169" s="496" t="s">
        <v>743</v>
      </c>
      <c r="V169" s="560" t="s">
        <v>744</v>
      </c>
      <c r="X169" s="559"/>
      <c r="Y169" s="499"/>
    </row>
    <row r="170" s="488" customFormat="1" ht="18" spans="1:25">
      <c r="A170" s="438">
        <v>3</v>
      </c>
      <c r="B170" s="410" t="s">
        <v>60</v>
      </c>
      <c r="C170" s="436"/>
      <c r="D170" s="490"/>
      <c r="E170" s="501" t="s">
        <v>745</v>
      </c>
      <c r="F170" s="501" t="s">
        <v>746</v>
      </c>
      <c r="G170" s="490" t="s">
        <v>389</v>
      </c>
      <c r="H170" s="490" t="s">
        <v>390</v>
      </c>
      <c r="I170" s="490">
        <v>6286</v>
      </c>
      <c r="J170" s="544">
        <v>57</v>
      </c>
      <c r="K170" s="492">
        <f>Table_Household_Alloc[[#This Row],[Unit Entitlement]]/1000</f>
        <v>0.057</v>
      </c>
      <c r="L170" s="493">
        <f t="shared" si="5"/>
        <v>13.224</v>
      </c>
      <c r="M170" s="490"/>
      <c r="N170" s="494">
        <f>IF(Table_Household_Alloc[[#This Row],[PV Installed]]="Y",1,0)*Table_Household_Alloc[[#This Row],[Calculated Battery Allocation (kWh)]]</f>
        <v>0</v>
      </c>
      <c r="S170" s="488" t="s">
        <v>307</v>
      </c>
      <c r="T170" s="557" t="s">
        <v>747</v>
      </c>
      <c r="U170" s="496" t="s">
        <v>748</v>
      </c>
      <c r="V170" s="560" t="s">
        <v>749</v>
      </c>
      <c r="X170" s="559"/>
      <c r="Y170" s="499"/>
    </row>
    <row r="171" s="488" customFormat="1" ht="30" spans="1:25">
      <c r="A171" s="438">
        <v>4</v>
      </c>
      <c r="B171" s="410" t="s">
        <v>60</v>
      </c>
      <c r="C171" s="411">
        <v>50002962</v>
      </c>
      <c r="D171" s="490"/>
      <c r="E171" s="501" t="s">
        <v>750</v>
      </c>
      <c r="F171" s="501" t="s">
        <v>751</v>
      </c>
      <c r="G171" s="490" t="s">
        <v>389</v>
      </c>
      <c r="H171" s="490" t="s">
        <v>390</v>
      </c>
      <c r="I171" s="490">
        <v>6286</v>
      </c>
      <c r="J171" s="544">
        <v>56</v>
      </c>
      <c r="K171" s="492">
        <f>Table_Household_Alloc[[#This Row],[Unit Entitlement]]/1000</f>
        <v>0.056</v>
      </c>
      <c r="L171" s="493">
        <f t="shared" si="5"/>
        <v>12.992</v>
      </c>
      <c r="M171" s="490"/>
      <c r="N171" s="494">
        <f>IF(Table_Household_Alloc[[#This Row],[PV Installed]]="Y",1,0)*Table_Household_Alloc[[#This Row],[Calculated Battery Allocation (kWh)]]</f>
        <v>0</v>
      </c>
      <c r="S171" s="488" t="s">
        <v>307</v>
      </c>
      <c r="T171" s="557" t="s">
        <v>752</v>
      </c>
      <c r="U171" s="496"/>
      <c r="V171" s="560" t="s">
        <v>753</v>
      </c>
      <c r="X171" s="559"/>
      <c r="Y171" s="499"/>
    </row>
    <row r="172" s="488" customFormat="1" ht="30" spans="1:25">
      <c r="A172" s="438">
        <v>5.2</v>
      </c>
      <c r="B172" s="410" t="s">
        <v>60</v>
      </c>
      <c r="C172" s="543"/>
      <c r="D172" s="490"/>
      <c r="E172" s="501" t="s">
        <v>754</v>
      </c>
      <c r="F172" s="501" t="s">
        <v>755</v>
      </c>
      <c r="G172" s="490" t="s">
        <v>389</v>
      </c>
      <c r="H172" s="490" t="s">
        <v>390</v>
      </c>
      <c r="I172" s="490">
        <v>6286</v>
      </c>
      <c r="J172" s="544">
        <v>55</v>
      </c>
      <c r="K172" s="492">
        <f>Table_Household_Alloc[[#This Row],[Unit Entitlement]]/1000</f>
        <v>0.055</v>
      </c>
      <c r="L172" s="493">
        <f t="shared" si="5"/>
        <v>12.76</v>
      </c>
      <c r="M172" s="490"/>
      <c r="N172" s="494">
        <f>IF(Table_Household_Alloc[[#This Row],[PV Installed]]="Y",1,0)*Table_Household_Alloc[[#This Row],[Calculated Battery Allocation (kWh)]]</f>
        <v>0</v>
      </c>
      <c r="S172" s="488" t="s">
        <v>234</v>
      </c>
      <c r="T172" s="557" t="s">
        <v>756</v>
      </c>
      <c r="U172" s="496"/>
      <c r="V172" s="560" t="s">
        <v>757</v>
      </c>
      <c r="X172" s="559">
        <v>45245</v>
      </c>
      <c r="Y172" s="564">
        <v>45546</v>
      </c>
    </row>
    <row r="173" s="488" customFormat="1" ht="18" spans="1:25">
      <c r="A173" s="438">
        <v>5</v>
      </c>
      <c r="B173" s="410" t="s">
        <v>60</v>
      </c>
      <c r="C173" s="543"/>
      <c r="D173" s="490"/>
      <c r="E173" s="501" t="s">
        <v>758</v>
      </c>
      <c r="F173" s="501" t="s">
        <v>755</v>
      </c>
      <c r="G173" s="490" t="s">
        <v>389</v>
      </c>
      <c r="H173" s="490" t="s">
        <v>390</v>
      </c>
      <c r="I173" s="490">
        <v>6286</v>
      </c>
      <c r="J173" s="544">
        <v>55</v>
      </c>
      <c r="K173" s="492">
        <f>Table_Household_Alloc[[#This Row],[Unit Entitlement]]/1000</f>
        <v>0.055</v>
      </c>
      <c r="L173" s="493">
        <f t="shared" si="5"/>
        <v>12.76</v>
      </c>
      <c r="M173" s="490"/>
      <c r="N173" s="494">
        <f>IF(Table_Household_Alloc[[#This Row],[PV Installed]]="Y",1,0)*Table_Household_Alloc[[#This Row],[Calculated Battery Allocation (kWh)]]</f>
        <v>0</v>
      </c>
      <c r="S173" s="488" t="s">
        <v>234</v>
      </c>
      <c r="T173" s="488" t="s">
        <v>759</v>
      </c>
      <c r="U173" s="496"/>
      <c r="V173" s="560" t="s">
        <v>760</v>
      </c>
      <c r="X173" s="559">
        <v>45547</v>
      </c>
      <c r="Y173" s="499" t="s">
        <v>227</v>
      </c>
    </row>
    <row r="174" s="488" customFormat="1" ht="18" spans="1:25">
      <c r="A174" s="438">
        <v>6</v>
      </c>
      <c r="B174" s="410" t="s">
        <v>60</v>
      </c>
      <c r="C174" s="436"/>
      <c r="D174" s="490"/>
      <c r="E174" s="501" t="s">
        <v>761</v>
      </c>
      <c r="F174" s="501" t="s">
        <v>762</v>
      </c>
      <c r="G174" s="490" t="s">
        <v>389</v>
      </c>
      <c r="H174" s="490" t="s">
        <v>390</v>
      </c>
      <c r="I174" s="490">
        <v>6286</v>
      </c>
      <c r="J174" s="544">
        <v>55</v>
      </c>
      <c r="K174" s="492">
        <f>Table_Household_Alloc[[#This Row],[Unit Entitlement]]/1000</f>
        <v>0.055</v>
      </c>
      <c r="L174" s="493">
        <f t="shared" si="5"/>
        <v>12.76</v>
      </c>
      <c r="M174" s="490"/>
      <c r="N174" s="494">
        <f>IF(Table_Household_Alloc[[#This Row],[PV Installed]]="Y",1,0)*Table_Household_Alloc[[#This Row],[Calculated Battery Allocation (kWh)]]</f>
        <v>0</v>
      </c>
      <c r="S174" s="488" t="s">
        <v>234</v>
      </c>
      <c r="T174" s="557" t="s">
        <v>763</v>
      </c>
      <c r="U174" s="496"/>
      <c r="V174" s="561" t="s">
        <v>764</v>
      </c>
      <c r="X174" s="559">
        <v>45547</v>
      </c>
      <c r="Y174" s="499" t="s">
        <v>227</v>
      </c>
    </row>
    <row r="175" s="488" customFormat="1" ht="18" spans="1:25">
      <c r="A175" s="438">
        <v>7</v>
      </c>
      <c r="B175" s="410" t="s">
        <v>60</v>
      </c>
      <c r="C175" s="411">
        <v>50003423</v>
      </c>
      <c r="D175" s="490"/>
      <c r="E175" s="501" t="s">
        <v>765</v>
      </c>
      <c r="F175" s="501" t="s">
        <v>766</v>
      </c>
      <c r="G175" s="490" t="s">
        <v>389</v>
      </c>
      <c r="H175" s="490" t="s">
        <v>390</v>
      </c>
      <c r="I175" s="490">
        <v>6286</v>
      </c>
      <c r="J175" s="544">
        <v>60</v>
      </c>
      <c r="K175" s="492">
        <f>Table_Household_Alloc[[#This Row],[Unit Entitlement]]/1000</f>
        <v>0.06</v>
      </c>
      <c r="L175" s="493">
        <f t="shared" si="5"/>
        <v>13.92</v>
      </c>
      <c r="M175" s="490"/>
      <c r="N175" s="494">
        <f>IF(Table_Household_Alloc[[#This Row],[PV Installed]]="Y",1,0)*Table_Household_Alloc[[#This Row],[Calculated Battery Allocation (kWh)]]</f>
        <v>0</v>
      </c>
      <c r="S175" s="488" t="s">
        <v>234</v>
      </c>
      <c r="T175" s="557" t="s">
        <v>767</v>
      </c>
      <c r="U175" s="496"/>
      <c r="V175" s="560" t="s">
        <v>768</v>
      </c>
      <c r="X175" s="559">
        <v>45247</v>
      </c>
      <c r="Y175" s="499" t="s">
        <v>227</v>
      </c>
    </row>
    <row r="176" s="488" customFormat="1" ht="18" spans="1:25">
      <c r="A176" s="438">
        <v>8</v>
      </c>
      <c r="B176" s="410" t="s">
        <v>60</v>
      </c>
      <c r="C176" s="414"/>
      <c r="D176" s="490"/>
      <c r="E176" s="501" t="s">
        <v>769</v>
      </c>
      <c r="F176" s="501" t="s">
        <v>770</v>
      </c>
      <c r="G176" s="490" t="s">
        <v>389</v>
      </c>
      <c r="H176" s="490" t="s">
        <v>390</v>
      </c>
      <c r="I176" s="490">
        <v>6286</v>
      </c>
      <c r="J176" s="544">
        <v>60</v>
      </c>
      <c r="K176" s="492">
        <f>Table_Household_Alloc[[#This Row],[Unit Entitlement]]/1000</f>
        <v>0.06</v>
      </c>
      <c r="L176" s="493">
        <f t="shared" si="5"/>
        <v>13.92</v>
      </c>
      <c r="M176" s="490"/>
      <c r="N176" s="494">
        <f>IF(Table_Household_Alloc[[#This Row],[PV Installed]]="Y",1,0)*Table_Household_Alloc[[#This Row],[Calculated Battery Allocation (kWh)]]</f>
        <v>0</v>
      </c>
      <c r="S176" s="488" t="s">
        <v>234</v>
      </c>
      <c r="T176" s="557" t="s">
        <v>771</v>
      </c>
      <c r="U176" s="496" t="s">
        <v>772</v>
      </c>
      <c r="V176" s="560" t="s">
        <v>168</v>
      </c>
      <c r="X176" s="559">
        <v>45485</v>
      </c>
      <c r="Y176" s="499" t="s">
        <v>227</v>
      </c>
    </row>
    <row r="177" s="488" customFormat="1" ht="18" spans="1:25">
      <c r="A177" s="438">
        <v>9</v>
      </c>
      <c r="B177" s="410" t="s">
        <v>60</v>
      </c>
      <c r="C177" s="414"/>
      <c r="D177" s="490"/>
      <c r="E177" s="501" t="s">
        <v>773</v>
      </c>
      <c r="F177" s="501" t="s">
        <v>774</v>
      </c>
      <c r="G177" s="490" t="s">
        <v>389</v>
      </c>
      <c r="H177" s="490" t="s">
        <v>390</v>
      </c>
      <c r="I177" s="490">
        <v>6286</v>
      </c>
      <c r="J177" s="544">
        <v>64</v>
      </c>
      <c r="K177" s="492">
        <f>Table_Household_Alloc[[#This Row],[Unit Entitlement]]/1000</f>
        <v>0.064</v>
      </c>
      <c r="L177" s="493">
        <f t="shared" si="5"/>
        <v>14.848</v>
      </c>
      <c r="M177" s="490"/>
      <c r="N177" s="494">
        <f>IF(Table_Household_Alloc[[#This Row],[PV Installed]]="Y",1,0)*Table_Household_Alloc[[#This Row],[Calculated Battery Allocation (kWh)]]</f>
        <v>0</v>
      </c>
      <c r="S177" s="488" t="s">
        <v>307</v>
      </c>
      <c r="T177" s="557" t="s">
        <v>775</v>
      </c>
      <c r="U177" s="496" t="s">
        <v>776</v>
      </c>
      <c r="V177" s="558" t="s">
        <v>777</v>
      </c>
      <c r="X177" s="559"/>
      <c r="Y177" s="499"/>
    </row>
    <row r="178" s="488" customFormat="1" ht="18" spans="1:25">
      <c r="A178" s="438">
        <v>10</v>
      </c>
      <c r="B178" s="410" t="s">
        <v>60</v>
      </c>
      <c r="C178" s="436"/>
      <c r="D178" s="490"/>
      <c r="E178" s="501" t="s">
        <v>778</v>
      </c>
      <c r="F178" s="501" t="s">
        <v>779</v>
      </c>
      <c r="G178" s="490" t="s">
        <v>389</v>
      </c>
      <c r="H178" s="490" t="s">
        <v>390</v>
      </c>
      <c r="I178" s="490">
        <v>6286</v>
      </c>
      <c r="J178" s="544">
        <v>64</v>
      </c>
      <c r="K178" s="492">
        <f>Table_Household_Alloc[[#This Row],[Unit Entitlement]]/1000</f>
        <v>0.064</v>
      </c>
      <c r="L178" s="493">
        <f t="shared" si="5"/>
        <v>14.848</v>
      </c>
      <c r="M178" s="490"/>
      <c r="N178" s="494">
        <f>IF(Table_Household_Alloc[[#This Row],[PV Installed]]="Y",1,0)*Table_Household_Alloc[[#This Row],[Calculated Battery Allocation (kWh)]]</f>
        <v>0</v>
      </c>
      <c r="S178" s="488" t="s">
        <v>741</v>
      </c>
      <c r="T178" s="557" t="s">
        <v>780</v>
      </c>
      <c r="U178" s="496"/>
      <c r="V178" s="560" t="s">
        <v>781</v>
      </c>
      <c r="X178" s="559"/>
      <c r="Y178" s="499"/>
    </row>
    <row r="179" s="488" customFormat="1" ht="18" spans="1:25">
      <c r="A179" s="438">
        <v>11</v>
      </c>
      <c r="B179" s="410" t="s">
        <v>60</v>
      </c>
      <c r="C179" s="414"/>
      <c r="D179" s="490"/>
      <c r="E179" s="501" t="s">
        <v>782</v>
      </c>
      <c r="F179" s="501" t="s">
        <v>783</v>
      </c>
      <c r="G179" s="490" t="s">
        <v>389</v>
      </c>
      <c r="H179" s="490" t="s">
        <v>390</v>
      </c>
      <c r="I179" s="490">
        <v>6286</v>
      </c>
      <c r="J179" s="544">
        <v>64</v>
      </c>
      <c r="K179" s="492">
        <f>Table_Household_Alloc[[#This Row],[Unit Entitlement]]/1000</f>
        <v>0.064</v>
      </c>
      <c r="L179" s="493">
        <f t="shared" si="5"/>
        <v>14.848</v>
      </c>
      <c r="M179" s="490"/>
      <c r="N179" s="494">
        <f>IF(Table_Household_Alloc[[#This Row],[PV Installed]]="Y",1,0)*Table_Household_Alloc[[#This Row],[Calculated Battery Allocation (kWh)]]</f>
        <v>0</v>
      </c>
      <c r="S179" s="488" t="s">
        <v>307</v>
      </c>
      <c r="T179" s="557" t="s">
        <v>784</v>
      </c>
      <c r="U179" s="496"/>
      <c r="V179" s="560" t="s">
        <v>785</v>
      </c>
      <c r="X179" s="559"/>
      <c r="Y179" s="499"/>
    </row>
    <row r="180" s="488" customFormat="1" ht="18" spans="1:25">
      <c r="A180" s="438">
        <v>12</v>
      </c>
      <c r="B180" s="410" t="s">
        <v>60</v>
      </c>
      <c r="C180" s="436"/>
      <c r="D180" s="490"/>
      <c r="E180" s="501" t="s">
        <v>786</v>
      </c>
      <c r="F180" s="501" t="s">
        <v>787</v>
      </c>
      <c r="G180" s="490" t="s">
        <v>389</v>
      </c>
      <c r="H180" s="490" t="s">
        <v>390</v>
      </c>
      <c r="I180" s="490">
        <v>6286</v>
      </c>
      <c r="J180" s="544">
        <v>64</v>
      </c>
      <c r="K180" s="492">
        <f>Table_Household_Alloc[[#This Row],[Unit Entitlement]]/1000</f>
        <v>0.064</v>
      </c>
      <c r="L180" s="493">
        <f t="shared" si="5"/>
        <v>14.848</v>
      </c>
      <c r="M180" s="490"/>
      <c r="N180" s="494">
        <f>IF(Table_Household_Alloc[[#This Row],[PV Installed]]="Y",1,0)*Table_Household_Alloc[[#This Row],[Calculated Battery Allocation (kWh)]]</f>
        <v>0</v>
      </c>
      <c r="S180" s="488" t="s">
        <v>307</v>
      </c>
      <c r="T180" s="557" t="s">
        <v>788</v>
      </c>
      <c r="U180" s="496" t="s">
        <v>789</v>
      </c>
      <c r="V180" s="560" t="s">
        <v>790</v>
      </c>
      <c r="X180" s="559"/>
      <c r="Y180" s="499"/>
    </row>
    <row r="181" s="488" customFormat="1" ht="18" spans="1:25">
      <c r="A181" s="438">
        <v>13</v>
      </c>
      <c r="B181" s="410" t="s">
        <v>60</v>
      </c>
      <c r="C181" s="414"/>
      <c r="D181" s="490"/>
      <c r="E181" s="501" t="s">
        <v>791</v>
      </c>
      <c r="F181" s="501" t="s">
        <v>792</v>
      </c>
      <c r="G181" s="490" t="s">
        <v>389</v>
      </c>
      <c r="H181" s="490" t="s">
        <v>390</v>
      </c>
      <c r="I181" s="490">
        <v>6286</v>
      </c>
      <c r="J181" s="544">
        <v>64</v>
      </c>
      <c r="K181" s="492">
        <f>Table_Household_Alloc[[#This Row],[Unit Entitlement]]/1000</f>
        <v>0.064</v>
      </c>
      <c r="L181" s="493">
        <f t="shared" si="5"/>
        <v>14.848</v>
      </c>
      <c r="M181" s="490"/>
      <c r="N181" s="494">
        <f>IF(Table_Household_Alloc[[#This Row],[PV Installed]]="Y",1,0)*Table_Household_Alloc[[#This Row],[Calculated Battery Allocation (kWh)]]</f>
        <v>0</v>
      </c>
      <c r="S181" s="488" t="s">
        <v>234</v>
      </c>
      <c r="T181" s="557" t="s">
        <v>793</v>
      </c>
      <c r="U181" s="496" t="s">
        <v>794</v>
      </c>
      <c r="V181" s="562" t="s">
        <v>162</v>
      </c>
      <c r="X181" s="667" t="s">
        <v>795</v>
      </c>
      <c r="Y181" s="499" t="s">
        <v>227</v>
      </c>
    </row>
    <row r="182" s="488" customFormat="1" ht="18" spans="1:25">
      <c r="A182" s="438">
        <v>14</v>
      </c>
      <c r="B182" s="410" t="s">
        <v>60</v>
      </c>
      <c r="C182" s="436"/>
      <c r="D182" s="490"/>
      <c r="E182" s="501" t="s">
        <v>796</v>
      </c>
      <c r="F182" s="501" t="s">
        <v>797</v>
      </c>
      <c r="G182" s="490" t="s">
        <v>389</v>
      </c>
      <c r="H182" s="490" t="s">
        <v>390</v>
      </c>
      <c r="I182" s="490">
        <v>6286</v>
      </c>
      <c r="J182" s="544">
        <v>63</v>
      </c>
      <c r="K182" s="492">
        <f>Table_Household_Alloc[[#This Row],[Unit Entitlement]]/1000</f>
        <v>0.063</v>
      </c>
      <c r="L182" s="493">
        <f t="shared" si="5"/>
        <v>14.616</v>
      </c>
      <c r="M182" s="490"/>
      <c r="N182" s="494">
        <f>IF(Table_Household_Alloc[[#This Row],[PV Installed]]="Y",1,0)*Table_Household_Alloc[[#This Row],[Calculated Battery Allocation (kWh)]]</f>
        <v>0</v>
      </c>
      <c r="S182" s="488" t="s">
        <v>223</v>
      </c>
      <c r="T182" s="557" t="s">
        <v>798</v>
      </c>
      <c r="U182" s="496" t="s">
        <v>799</v>
      </c>
      <c r="V182" s="558" t="s">
        <v>800</v>
      </c>
      <c r="X182" s="559"/>
      <c r="Y182" s="499"/>
    </row>
    <row r="183" s="488" customFormat="1" ht="18" spans="1:25">
      <c r="A183" s="438">
        <v>15</v>
      </c>
      <c r="B183" s="410" t="s">
        <v>60</v>
      </c>
      <c r="C183" s="436"/>
      <c r="D183" s="490"/>
      <c r="E183" s="501" t="s">
        <v>801</v>
      </c>
      <c r="F183" s="501" t="s">
        <v>802</v>
      </c>
      <c r="G183" s="490" t="s">
        <v>389</v>
      </c>
      <c r="H183" s="490" t="s">
        <v>390</v>
      </c>
      <c r="I183" s="490">
        <v>6286</v>
      </c>
      <c r="J183" s="544">
        <v>26</v>
      </c>
      <c r="K183" s="492">
        <f>Table_Household_Alloc[[#This Row],[Unit Entitlement]]/1000</f>
        <v>0.026</v>
      </c>
      <c r="L183" s="493">
        <f t="shared" si="5"/>
        <v>6.032</v>
      </c>
      <c r="M183" s="490"/>
      <c r="N183" s="494">
        <f>IF(Table_Household_Alloc[[#This Row],[PV Installed]]="Y",1,0)*Table_Household_Alloc[[#This Row],[Calculated Battery Allocation (kWh)]]</f>
        <v>0</v>
      </c>
      <c r="S183" s="488" t="s">
        <v>307</v>
      </c>
      <c r="T183" s="557" t="s">
        <v>803</v>
      </c>
      <c r="U183" s="496"/>
      <c r="V183" s="561" t="s">
        <v>804</v>
      </c>
      <c r="X183" s="559"/>
      <c r="Y183" s="499"/>
    </row>
    <row r="184" s="488" customFormat="1" ht="18" spans="1:25">
      <c r="A184" s="438">
        <v>16</v>
      </c>
      <c r="B184" s="410" t="s">
        <v>60</v>
      </c>
      <c r="C184" s="436"/>
      <c r="D184" s="490"/>
      <c r="E184" s="501" t="s">
        <v>805</v>
      </c>
      <c r="F184" s="501" t="s">
        <v>806</v>
      </c>
      <c r="G184" s="490" t="s">
        <v>389</v>
      </c>
      <c r="H184" s="490" t="s">
        <v>390</v>
      </c>
      <c r="I184" s="490">
        <v>6286</v>
      </c>
      <c r="J184" s="544">
        <v>26</v>
      </c>
      <c r="K184" s="492">
        <f>Table_Household_Alloc[[#This Row],[Unit Entitlement]]/1000</f>
        <v>0.026</v>
      </c>
      <c r="L184" s="493">
        <f t="shared" si="5"/>
        <v>6.032</v>
      </c>
      <c r="M184" s="490"/>
      <c r="N184" s="494">
        <f>IF(Table_Household_Alloc[[#This Row],[PV Installed]]="Y",1,0)*Table_Household_Alloc[[#This Row],[Calculated Battery Allocation (kWh)]]</f>
        <v>0</v>
      </c>
      <c r="S184" s="488" t="s">
        <v>307</v>
      </c>
      <c r="T184" s="557" t="s">
        <v>807</v>
      </c>
      <c r="U184" s="496"/>
      <c r="V184" s="561" t="s">
        <v>808</v>
      </c>
      <c r="X184" s="559"/>
      <c r="Y184" s="499"/>
    </row>
    <row r="185" s="488" customFormat="1" ht="18" spans="1:25">
      <c r="A185" s="438">
        <v>17</v>
      </c>
      <c r="B185" s="410" t="s">
        <v>60</v>
      </c>
      <c r="C185" s="414"/>
      <c r="D185" s="490"/>
      <c r="E185" s="501" t="s">
        <v>809</v>
      </c>
      <c r="F185" s="501" t="s">
        <v>810</v>
      </c>
      <c r="G185" s="490" t="s">
        <v>389</v>
      </c>
      <c r="H185" s="490" t="s">
        <v>390</v>
      </c>
      <c r="I185" s="490">
        <v>6286</v>
      </c>
      <c r="J185" s="544">
        <v>26</v>
      </c>
      <c r="K185" s="492">
        <f>Table_Household_Alloc[[#This Row],[Unit Entitlement]]/1000</f>
        <v>0.026</v>
      </c>
      <c r="L185" s="493">
        <f t="shared" si="5"/>
        <v>6.032</v>
      </c>
      <c r="M185" s="490"/>
      <c r="N185" s="494">
        <f>IF(Table_Household_Alloc[[#This Row],[PV Installed]]="Y",1,0)*Table_Household_Alloc[[#This Row],[Calculated Battery Allocation (kWh)]]</f>
        <v>0</v>
      </c>
      <c r="S185" s="488" t="s">
        <v>307</v>
      </c>
      <c r="T185" s="557" t="s">
        <v>811</v>
      </c>
      <c r="U185" s="496"/>
      <c r="V185" s="560" t="s">
        <v>812</v>
      </c>
      <c r="X185" s="559"/>
      <c r="Y185" s="499"/>
    </row>
    <row r="186" s="488" customFormat="1" ht="18" spans="1:25">
      <c r="A186" s="438">
        <v>18</v>
      </c>
      <c r="B186" s="410" t="s">
        <v>60</v>
      </c>
      <c r="C186" s="414"/>
      <c r="D186" s="490"/>
      <c r="E186" s="501" t="s">
        <v>813</v>
      </c>
      <c r="F186" s="501" t="s">
        <v>814</v>
      </c>
      <c r="G186" s="490" t="s">
        <v>389</v>
      </c>
      <c r="H186" s="490" t="s">
        <v>390</v>
      </c>
      <c r="I186" s="490">
        <v>6286</v>
      </c>
      <c r="J186" s="544">
        <v>26</v>
      </c>
      <c r="K186" s="492">
        <f>Table_Household_Alloc[[#This Row],[Unit Entitlement]]/1000</f>
        <v>0.026</v>
      </c>
      <c r="L186" s="493">
        <f t="shared" si="5"/>
        <v>6.032</v>
      </c>
      <c r="M186" s="490"/>
      <c r="N186" s="494">
        <f>IF(Table_Household_Alloc[[#This Row],[PV Installed]]="Y",1,0)*Table_Household_Alloc[[#This Row],[Calculated Battery Allocation (kWh)]]</f>
        <v>0</v>
      </c>
      <c r="S186" s="488" t="s">
        <v>223</v>
      </c>
      <c r="T186" s="557" t="s">
        <v>815</v>
      </c>
      <c r="U186" s="496"/>
      <c r="V186" s="560" t="s">
        <v>816</v>
      </c>
      <c r="X186" s="559"/>
      <c r="Y186" s="499"/>
    </row>
    <row r="187" s="488" customFormat="1" ht="18" spans="1:25">
      <c r="A187" s="438">
        <v>19</v>
      </c>
      <c r="B187" s="410" t="s">
        <v>60</v>
      </c>
      <c r="C187" s="411">
        <v>50003387</v>
      </c>
      <c r="D187" s="490"/>
      <c r="E187" s="501" t="s">
        <v>817</v>
      </c>
      <c r="F187" s="501" t="s">
        <v>818</v>
      </c>
      <c r="G187" s="490" t="s">
        <v>389</v>
      </c>
      <c r="H187" s="490" t="s">
        <v>390</v>
      </c>
      <c r="I187" s="490">
        <v>6286</v>
      </c>
      <c r="J187" s="544">
        <v>30</v>
      </c>
      <c r="K187" s="492">
        <f>Table_Household_Alloc[[#This Row],[Unit Entitlement]]/1000</f>
        <v>0.03</v>
      </c>
      <c r="L187" s="493">
        <f t="shared" si="5"/>
        <v>6.96</v>
      </c>
      <c r="M187" s="490"/>
      <c r="N187" s="494">
        <f>IF(Table_Household_Alloc[[#This Row],[PV Installed]]="Y",1,0)*Table_Household_Alloc[[#This Row],[Calculated Battery Allocation (kWh)]]</f>
        <v>0</v>
      </c>
      <c r="S187" s="488" t="s">
        <v>234</v>
      </c>
      <c r="T187" s="557" t="s">
        <v>819</v>
      </c>
      <c r="U187" s="496" t="s">
        <v>820</v>
      </c>
      <c r="V187" s="560" t="s">
        <v>821</v>
      </c>
      <c r="X187" s="667" t="s">
        <v>795</v>
      </c>
      <c r="Y187" s="499" t="s">
        <v>227</v>
      </c>
    </row>
    <row r="188" s="488" customFormat="1" ht="18" spans="1:25">
      <c r="A188" s="417" t="s">
        <v>334</v>
      </c>
      <c r="B188" s="410" t="s">
        <v>60</v>
      </c>
      <c r="C188" s="411">
        <v>2911041070</v>
      </c>
      <c r="D188" s="490"/>
      <c r="E188" s="502" t="s">
        <v>335</v>
      </c>
      <c r="F188" s="501"/>
      <c r="G188" s="490"/>
      <c r="H188" s="490"/>
      <c r="I188" s="490"/>
      <c r="J188" s="536"/>
      <c r="K188" s="492">
        <f>Table_Household_Alloc[[#This Row],[Unit Entitlement]]/1000</f>
        <v>0</v>
      </c>
      <c r="L188" s="493"/>
      <c r="M188" s="490"/>
      <c r="N188" s="494">
        <f>IF(Table_Household_Alloc[[#This Row],[PV Installed]]="Y",1,0)*Table_Household_Alloc[[#This Row],[Calculated Battery Allocation (kWh)]]</f>
        <v>0</v>
      </c>
      <c r="T188" s="495"/>
      <c r="U188" s="496"/>
      <c r="V188" s="563"/>
      <c r="X188" s="498"/>
      <c r="Y188" s="499"/>
    </row>
    <row r="189" s="488" customFormat="1" ht="17.4" spans="1:25">
      <c r="A189" s="409" t="s">
        <v>336</v>
      </c>
      <c r="B189" s="410" t="s">
        <v>60</v>
      </c>
      <c r="C189" s="411">
        <v>2911041113</v>
      </c>
      <c r="D189" s="490" t="s">
        <v>337</v>
      </c>
      <c r="E189" s="502" t="s">
        <v>338</v>
      </c>
      <c r="F189" s="490"/>
      <c r="G189" s="490" t="s">
        <v>219</v>
      </c>
      <c r="H189" s="490" t="s">
        <v>220</v>
      </c>
      <c r="I189" s="490">
        <v>6286</v>
      </c>
      <c r="J189" s="508"/>
      <c r="K189" s="509">
        <f>Table_Household_Alloc[[#This Row],[Unit Entitlement]]/1000</f>
        <v>0</v>
      </c>
      <c r="L189" s="493">
        <f t="shared" ref="L189:L190" si="7">(J189/1000)*232</f>
        <v>0</v>
      </c>
      <c r="M189" s="490"/>
      <c r="N189" s="494">
        <f>IF(Table_Household_Alloc[[#This Row],[PV Installed]]="Y",1,0)*Table_Household_Alloc[[#This Row],[Calculated Battery Allocation (kWh)]]</f>
        <v>0</v>
      </c>
      <c r="P189" s="500"/>
      <c r="Q189" s="500"/>
      <c r="R189" s="490"/>
      <c r="S189" s="490"/>
      <c r="U189" s="496"/>
      <c r="X189" s="526"/>
      <c r="Y189" s="499"/>
    </row>
    <row r="190" s="488" customFormat="1" ht="17.4" spans="1:25">
      <c r="A190" s="439" t="s">
        <v>339</v>
      </c>
      <c r="B190" s="440" t="s">
        <v>60</v>
      </c>
      <c r="C190" s="441"/>
      <c r="D190" s="490" t="s">
        <v>337</v>
      </c>
      <c r="E190" s="502" t="s">
        <v>340</v>
      </c>
      <c r="F190" s="490"/>
      <c r="G190" s="490" t="s">
        <v>219</v>
      </c>
      <c r="H190" s="490" t="s">
        <v>220</v>
      </c>
      <c r="I190" s="490">
        <v>6286</v>
      </c>
      <c r="J190" s="512"/>
      <c r="K190" s="513">
        <f>Table_Household_Alloc[[#This Row],[Unit Entitlement]]/1000</f>
        <v>0</v>
      </c>
      <c r="L190" s="493">
        <f t="shared" si="7"/>
        <v>0</v>
      </c>
      <c r="M190" s="490"/>
      <c r="N190" s="494">
        <f>IF(Table_Household_Alloc[[#This Row],[PV Installed]]="Y",1,0)*Table_Household_Alloc[[#This Row],[Calculated Battery Allocation (kWh)]]</f>
        <v>0</v>
      </c>
      <c r="P190" s="500"/>
      <c r="Q190" s="500"/>
      <c r="R190" s="490"/>
      <c r="S190" s="490"/>
      <c r="U190" s="496"/>
      <c r="X190" s="526"/>
      <c r="Y190" s="499"/>
    </row>
    <row r="191" s="488" customFormat="1" ht="18" spans="1:25">
      <c r="A191" s="422" t="s">
        <v>341</v>
      </c>
      <c r="B191" s="440" t="s">
        <v>60</v>
      </c>
      <c r="C191" s="437"/>
      <c r="D191" s="490"/>
      <c r="E191" s="489"/>
      <c r="F191" s="489"/>
      <c r="G191" s="490"/>
      <c r="H191" s="490"/>
      <c r="I191" s="490"/>
      <c r="J191" s="491"/>
      <c r="K191" s="492">
        <f>Table_Household_Alloc[[#This Row],[Unit Entitlement]]/1000</f>
        <v>0</v>
      </c>
      <c r="L191" s="493"/>
      <c r="M191" s="490"/>
      <c r="N191" s="494">
        <f>IF(Table_Household_Alloc[[#This Row],[PV Installed]]="Y",1,0)*Table_Household_Alloc[[#This Row],[Calculated Battery Allocation (kWh)]]</f>
        <v>0</v>
      </c>
      <c r="T191" s="495"/>
      <c r="U191" s="496"/>
      <c r="V191" s="497"/>
      <c r="X191" s="498"/>
      <c r="Y191" s="499"/>
    </row>
    <row r="192" s="488" customFormat="1" ht="18" spans="1:25">
      <c r="A192" s="423" t="s">
        <v>342</v>
      </c>
      <c r="B192" s="440" t="s">
        <v>60</v>
      </c>
      <c r="C192" s="443"/>
      <c r="D192" s="490"/>
      <c r="E192" s="489"/>
      <c r="F192" s="489"/>
      <c r="G192" s="490"/>
      <c r="H192" s="490"/>
      <c r="I192" s="490"/>
      <c r="J192" s="491"/>
      <c r="K192" s="492">
        <f>Table_Household_Alloc[[#This Row],[Unit Entitlement]]/1000</f>
        <v>0</v>
      </c>
      <c r="L192" s="493"/>
      <c r="M192" s="490"/>
      <c r="N192" s="494">
        <f>IF(Table_Household_Alloc[[#This Row],[PV Installed]]="Y",1,0)*Table_Household_Alloc[[#This Row],[Calculated Battery Allocation (kWh)]]</f>
        <v>0</v>
      </c>
      <c r="T192" s="495"/>
      <c r="U192" s="496"/>
      <c r="V192" s="497"/>
      <c r="X192" s="498"/>
      <c r="Y192" s="499"/>
    </row>
    <row r="193" spans="11:30">
      <c r="K193" s="492">
        <f>Table_Household_Alloc[[#This Row],[Unit Entitlement]]/1000</f>
        <v>0</v>
      </c>
      <c r="N193" s="494">
        <f>IF(Table_Household_Alloc[[#This Row],[PV Installed]]="Y",1,0)*Table_Household_Alloc[[#This Row],[Calculated Battery Allocation (kWh)]]</f>
        <v>0</v>
      </c>
      <c r="Z193" s="490"/>
      <c r="AA193" s="490"/>
      <c r="AB193" s="490"/>
      <c r="AC193" s="490"/>
      <c r="AD193" s="490"/>
    </row>
  </sheetData>
  <conditionalFormatting sqref="N2:N193">
    <cfRule type="cellIs" dxfId="35" priority="1" operator="equal">
      <formula>0</formula>
    </cfRule>
  </conditionalFormatting>
  <hyperlinks>
    <hyperlink ref="V173" r:id="rId4" display="brunomartinangeli09@gmail.com"/>
    <hyperlink ref="V187" r:id="rId5" display="Chloe_lovelidge@hotmail.com "/>
    <hyperlink ref="V186" r:id="rId6" display="meish.b98@gmail.com"/>
    <hyperlink ref="V185" r:id="rId7" display="riverlcp@gmail.com "/>
    <hyperlink ref="V181" r:id="rId8" display="jasonmchattan@gmail.com"/>
    <hyperlink ref="V180" r:id="rId9" display="fiona_skoglund@hotmail.com"/>
    <hyperlink ref="V179" r:id="rId10" display="pamezdroz@protonmail.com"/>
    <hyperlink ref="V178" r:id="rId11" display="msannieawilson@gmail.com"/>
    <hyperlink ref="V176" r:id="rId12" display="timjcthomson@gmail.com"/>
    <hyperlink ref="V175" r:id="rId13" display="karenkotze@outlook.com"/>
    <hyperlink ref="V172" r:id="rId14" display="hansendagmarvandiest@gmail.com"/>
    <hyperlink ref="V171" r:id="rId15" display="bronwyn_edwards@yahoo.com.au"/>
    <hyperlink ref="V170" r:id="rId16" display="sarahhewer@me.com"/>
    <hyperlink ref="V169" r:id="rId17" display="ggreenwell2@outlook.com"/>
    <hyperlink ref="V25" r:id="rId18" display="0437445630"/>
    <hyperlink ref="V24" r:id="rId19" display="0406351722"/>
    <hyperlink ref="V23" r:id="rId20" display="0499270453"/>
    <hyperlink ref="V22" r:id="rId21" display="0456121155"/>
    <hyperlink ref="V21" r:id="rId22" display="0439968661"/>
    <hyperlink ref="V20" r:id="rId23" display="0493385725"/>
    <hyperlink ref="V19" r:id="rId24" display="0408751379"/>
    <hyperlink ref="V18" r:id="rId25" display="0407076552"/>
    <hyperlink ref="V17" r:id="rId26" display="0413993452"/>
    <hyperlink ref="V16" r:id="rId27" display="0409770316"/>
    <hyperlink ref="V15" r:id="rId28" display="0475716267"/>
    <hyperlink ref="V14" r:id="rId29" display="0418946078"/>
    <hyperlink ref="V13" r:id="rId30" display="0428088590"/>
    <hyperlink ref="V12" r:id="rId31" display="0427444150"/>
    <hyperlink ref="V11" r:id="rId32" display="0410416005"/>
    <hyperlink ref="V10" r:id="rId33" display="0408323274"/>
    <hyperlink ref="V9" r:id="rId34" display="0433290368"/>
    <hyperlink ref="V8" r:id="rId35" display="0425890670"/>
    <hyperlink ref="V7" r:id="rId36" display="0417950370"/>
    <hyperlink ref="V6" r:id="rId37" display="0408744572"/>
    <hyperlink ref="V5" r:id="rId38" display="0412261482"/>
    <hyperlink ref="V4" r:id="rId39" display="0424154036"/>
    <hyperlink ref="V3" r:id="rId40" display="0416732634"/>
    <hyperlink ref="V2" r:id="rId41" display="0457 578 078"/>
  </hyperlinks>
  <pageMargins left="0.7" right="0.7" top="0.75" bottom="0.75" header="0.3" footer="0.3"/>
  <pageSetup paperSize="9" orientation="portrait"/>
  <headerFooter/>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XFA24"/>
  <sheetViews>
    <sheetView workbookViewId="0">
      <selection activeCell="L2" sqref="L2"/>
    </sheetView>
  </sheetViews>
  <sheetFormatPr defaultColWidth="11" defaultRowHeight="13.8"/>
  <cols>
    <col min="1" max="1" width="8.7" style="484" customWidth="1"/>
    <col min="2" max="3" width="7.5" style="484" customWidth="1"/>
    <col min="4" max="5" width="11.7" style="2" customWidth="1"/>
    <col min="6" max="6" width="12.2" style="2" customWidth="1"/>
    <col min="7" max="7" width="13.5" style="2" customWidth="1"/>
    <col min="8" max="8" width="12.3" customWidth="1"/>
    <col min="9" max="9" width="12" customWidth="1"/>
    <col min="10" max="10" width="16.2" customWidth="1"/>
  </cols>
  <sheetData>
    <row r="1" ht="64.05" customHeight="1" spans="1:10">
      <c r="A1" s="485" t="s">
        <v>34</v>
      </c>
      <c r="B1" s="485" t="s">
        <v>822</v>
      </c>
      <c r="C1" s="485" t="s">
        <v>823</v>
      </c>
      <c r="D1" s="485" t="s">
        <v>824</v>
      </c>
      <c r="E1" s="485" t="s">
        <v>825</v>
      </c>
      <c r="F1" s="486" t="s">
        <v>826</v>
      </c>
      <c r="G1" s="486" t="s">
        <v>827</v>
      </c>
      <c r="H1" s="486" t="s">
        <v>828</v>
      </c>
      <c r="I1" s="486" t="s">
        <v>829</v>
      </c>
      <c r="J1" s="486" t="s">
        <v>830</v>
      </c>
    </row>
    <row r="2" spans="1:10">
      <c r="A2" s="191" t="s">
        <v>44</v>
      </c>
      <c r="B2" s="445">
        <v>2025</v>
      </c>
      <c r="C2" s="668" t="s">
        <v>831</v>
      </c>
      <c r="D2" s="445">
        <v>33.93</v>
      </c>
      <c r="E2" s="445">
        <v>11281.06</v>
      </c>
      <c r="F2" s="445">
        <v>10.16</v>
      </c>
      <c r="G2" s="445">
        <v>-434.32</v>
      </c>
      <c r="H2" s="445">
        <v>170.5</v>
      </c>
      <c r="I2" s="445">
        <v>15.54</v>
      </c>
      <c r="J2" s="445">
        <v>-238.12</v>
      </c>
    </row>
    <row r="3" spans="1:10">
      <c r="A3" s="191" t="s">
        <v>44</v>
      </c>
      <c r="B3" s="445">
        <v>2025</v>
      </c>
      <c r="C3" s="668" t="s">
        <v>832</v>
      </c>
      <c r="D3" s="445">
        <v>9.73</v>
      </c>
      <c r="E3" s="445">
        <v>10654.83</v>
      </c>
      <c r="F3" s="445">
        <v>2.92</v>
      </c>
      <c r="G3" s="445">
        <v>-410.21</v>
      </c>
      <c r="H3" s="445">
        <v>154</v>
      </c>
      <c r="I3" s="445">
        <v>12.85</v>
      </c>
      <c r="J3" s="445">
        <v>-240.45</v>
      </c>
    </row>
    <row r="4" spans="1:10">
      <c r="A4" s="191" t="s">
        <v>44</v>
      </c>
      <c r="B4" s="445">
        <v>2025</v>
      </c>
      <c r="C4" s="668" t="s">
        <v>833</v>
      </c>
      <c r="D4" s="445">
        <v>41.84</v>
      </c>
      <c r="E4" s="445">
        <v>11239.82</v>
      </c>
      <c r="F4" s="445">
        <v>12.52</v>
      </c>
      <c r="G4" s="445">
        <v>-432.73</v>
      </c>
      <c r="H4" s="445">
        <v>170.5</v>
      </c>
      <c r="I4" s="445">
        <v>16.76</v>
      </c>
      <c r="J4" s="445">
        <v>-232.95</v>
      </c>
    </row>
    <row r="5" spans="1:10">
      <c r="A5" s="191" t="s">
        <v>48</v>
      </c>
      <c r="B5" s="445">
        <v>2025</v>
      </c>
      <c r="C5" s="668" t="s">
        <v>831</v>
      </c>
      <c r="D5" s="445">
        <v>12.07</v>
      </c>
      <c r="E5" s="445">
        <v>17535.52</v>
      </c>
      <c r="F5" s="445">
        <v>3.62</v>
      </c>
      <c r="G5" s="445">
        <v>-675.11</v>
      </c>
      <c r="H5" s="445">
        <v>170.5</v>
      </c>
      <c r="I5" s="445">
        <v>18.04</v>
      </c>
      <c r="J5" s="445">
        <v>-482.96</v>
      </c>
    </row>
    <row r="6" spans="1:10">
      <c r="A6" s="191" t="s">
        <v>48</v>
      </c>
      <c r="B6" s="445">
        <v>2025</v>
      </c>
      <c r="C6" s="668" t="s">
        <v>832</v>
      </c>
      <c r="D6" s="445">
        <v>13.33</v>
      </c>
      <c r="E6" s="445">
        <v>13942.64</v>
      </c>
      <c r="F6" s="445">
        <v>3.99</v>
      </c>
      <c r="G6" s="445">
        <v>-536.79</v>
      </c>
      <c r="H6" s="445">
        <v>154</v>
      </c>
      <c r="I6" s="445">
        <v>16.57</v>
      </c>
      <c r="J6" s="445">
        <v>-362.23</v>
      </c>
    </row>
    <row r="7" spans="1:10">
      <c r="A7" s="191" t="s">
        <v>48</v>
      </c>
      <c r="B7" s="445">
        <v>2025</v>
      </c>
      <c r="C7" s="668" t="s">
        <v>833</v>
      </c>
      <c r="D7" s="445">
        <v>14.9</v>
      </c>
      <c r="E7" s="445">
        <v>14891.96</v>
      </c>
      <c r="F7" s="445">
        <v>4.46</v>
      </c>
      <c r="G7" s="445">
        <v>-573.34</v>
      </c>
      <c r="H7" s="445">
        <v>170.5</v>
      </c>
      <c r="I7" s="445">
        <v>18.59</v>
      </c>
      <c r="J7" s="445">
        <v>-379.8</v>
      </c>
    </row>
    <row r="8" spans="1:10">
      <c r="A8" s="191" t="s">
        <v>52</v>
      </c>
      <c r="B8" s="445">
        <v>2025</v>
      </c>
      <c r="C8" s="668" t="s">
        <v>831</v>
      </c>
      <c r="D8" s="445">
        <v>44.48</v>
      </c>
      <c r="E8" s="445">
        <v>13074.94</v>
      </c>
      <c r="F8" s="445">
        <v>13.32</v>
      </c>
      <c r="G8" s="445">
        <v>-503.38</v>
      </c>
      <c r="H8" s="445">
        <v>170.5</v>
      </c>
      <c r="I8" s="445">
        <v>22.22</v>
      </c>
      <c r="J8" s="445">
        <v>-297.34</v>
      </c>
    </row>
    <row r="9" spans="1:10">
      <c r="A9" s="191" t="s">
        <v>52</v>
      </c>
      <c r="B9" s="445">
        <v>2025</v>
      </c>
      <c r="C9" s="668" t="s">
        <v>832</v>
      </c>
      <c r="D9" s="445">
        <v>46.06</v>
      </c>
      <c r="E9" s="445">
        <v>12380.74</v>
      </c>
      <c r="F9" s="445">
        <v>13.78</v>
      </c>
      <c r="G9" s="445">
        <v>-476.66</v>
      </c>
      <c r="H9" s="445">
        <v>154</v>
      </c>
      <c r="I9" s="445">
        <v>19.29</v>
      </c>
      <c r="J9" s="445">
        <v>-289.59</v>
      </c>
    </row>
    <row r="10" spans="1:10">
      <c r="A10" s="191" t="s">
        <v>52</v>
      </c>
      <c r="B10" s="445">
        <v>2025</v>
      </c>
      <c r="C10" s="668" t="s">
        <v>833</v>
      </c>
      <c r="D10" s="445">
        <v>17.99</v>
      </c>
      <c r="E10" s="445">
        <v>14328.95</v>
      </c>
      <c r="F10" s="445">
        <v>5.38</v>
      </c>
      <c r="G10" s="445">
        <v>-551.66</v>
      </c>
      <c r="H10" s="445">
        <v>170.5</v>
      </c>
      <c r="I10" s="445">
        <v>19.8</v>
      </c>
      <c r="J10" s="445">
        <v>-355.98</v>
      </c>
    </row>
    <row r="11" spans="1:10">
      <c r="A11" s="191" t="s">
        <v>54</v>
      </c>
      <c r="B11" s="445">
        <v>2025</v>
      </c>
      <c r="C11" s="668" t="s">
        <v>831</v>
      </c>
      <c r="D11" s="445">
        <v>68.36</v>
      </c>
      <c r="E11" s="445">
        <v>9864.97</v>
      </c>
      <c r="F11" s="445">
        <v>21.46</v>
      </c>
      <c r="G11" s="445">
        <v>-379.8</v>
      </c>
      <c r="H11" s="445">
        <v>178.78</v>
      </c>
      <c r="I11" s="445">
        <v>0</v>
      </c>
      <c r="J11" s="445">
        <v>-179.55</v>
      </c>
    </row>
    <row r="12" spans="1:10">
      <c r="A12" s="191" t="s">
        <v>54</v>
      </c>
      <c r="B12" s="445">
        <v>2025</v>
      </c>
      <c r="C12" s="668" t="s">
        <v>832</v>
      </c>
      <c r="D12" s="445">
        <v>60.15</v>
      </c>
      <c r="E12" s="445">
        <v>9289.63</v>
      </c>
      <c r="F12" s="445">
        <v>18.89</v>
      </c>
      <c r="G12" s="445">
        <v>-357.64</v>
      </c>
      <c r="H12" s="445">
        <v>161.48</v>
      </c>
      <c r="I12" s="445">
        <v>0</v>
      </c>
      <c r="J12" s="445">
        <v>-177.28</v>
      </c>
    </row>
    <row r="13" spans="1:10">
      <c r="A13" s="191" t="s">
        <v>58</v>
      </c>
      <c r="B13" s="445">
        <v>2025</v>
      </c>
      <c r="C13" s="668" t="s">
        <v>831</v>
      </c>
      <c r="D13" s="445">
        <v>25.59</v>
      </c>
      <c r="E13" s="445">
        <v>13715.2</v>
      </c>
      <c r="F13" s="445">
        <v>8.04</v>
      </c>
      <c r="G13" s="445">
        <v>-528.04</v>
      </c>
      <c r="H13" s="445">
        <v>178.78</v>
      </c>
      <c r="I13" s="445">
        <v>0</v>
      </c>
      <c r="J13" s="445">
        <v>-341.22</v>
      </c>
    </row>
    <row r="14" spans="1:10">
      <c r="A14" s="191" t="s">
        <v>58</v>
      </c>
      <c r="B14" s="445">
        <v>2025</v>
      </c>
      <c r="C14" s="668" t="s">
        <v>832</v>
      </c>
      <c r="D14" s="445">
        <v>20.76</v>
      </c>
      <c r="E14" s="445">
        <v>10080.49</v>
      </c>
      <c r="F14" s="445">
        <v>6.52</v>
      </c>
      <c r="G14" s="445">
        <v>-388.1</v>
      </c>
      <c r="H14" s="445">
        <v>161.48</v>
      </c>
      <c r="I14" s="445">
        <v>0</v>
      </c>
      <c r="J14" s="445">
        <v>-220.1</v>
      </c>
    </row>
    <row r="15" spans="1:10">
      <c r="A15" s="191" t="s">
        <v>58</v>
      </c>
      <c r="B15" s="445">
        <v>2025</v>
      </c>
      <c r="C15" s="668" t="s">
        <v>833</v>
      </c>
      <c r="D15" s="445">
        <v>32.44</v>
      </c>
      <c r="E15" s="445">
        <v>12419.46</v>
      </c>
      <c r="F15" s="445">
        <v>10.19</v>
      </c>
      <c r="G15" s="445">
        <v>-478.15</v>
      </c>
      <c r="H15" s="445">
        <v>178.78</v>
      </c>
      <c r="I15" s="445">
        <v>0</v>
      </c>
      <c r="J15" s="445">
        <v>-289.18</v>
      </c>
    </row>
    <row r="16" spans="1:10">
      <c r="A16" s="191" t="s">
        <v>59</v>
      </c>
      <c r="B16" s="445">
        <v>2025</v>
      </c>
      <c r="C16" s="668" t="s">
        <v>831</v>
      </c>
      <c r="D16" s="445">
        <v>397.4</v>
      </c>
      <c r="E16" s="445">
        <v>5237.2</v>
      </c>
      <c r="F16" s="445">
        <v>124.77</v>
      </c>
      <c r="G16" s="445">
        <v>-201.63</v>
      </c>
      <c r="H16" s="445">
        <v>178.78</v>
      </c>
      <c r="I16" s="445">
        <v>0</v>
      </c>
      <c r="J16" s="445">
        <v>101.93</v>
      </c>
    </row>
    <row r="17" spans="1:10">
      <c r="A17" s="191" t="s">
        <v>59</v>
      </c>
      <c r="B17" s="445">
        <v>2025</v>
      </c>
      <c r="C17" s="668" t="s">
        <v>832</v>
      </c>
      <c r="D17" s="445">
        <v>1319.47</v>
      </c>
      <c r="E17" s="445">
        <v>7643.82</v>
      </c>
      <c r="F17" s="445">
        <v>414.27</v>
      </c>
      <c r="G17" s="445">
        <v>-294.28</v>
      </c>
      <c r="H17" s="445">
        <v>161.48</v>
      </c>
      <c r="I17" s="445">
        <v>0</v>
      </c>
      <c r="J17" s="445">
        <v>281.47</v>
      </c>
    </row>
    <row r="18" s="445" customFormat="1" ht="13.2" spans="1:16381">
      <c r="A18" s="191" t="s">
        <v>59</v>
      </c>
      <c r="B18" s="445">
        <v>2025</v>
      </c>
      <c r="C18" s="668" t="s">
        <v>833</v>
      </c>
      <c r="D18" s="445">
        <v>2186.28</v>
      </c>
      <c r="E18" s="445">
        <v>9198.2</v>
      </c>
      <c r="F18" s="445">
        <v>686.41</v>
      </c>
      <c r="G18" s="445">
        <v>-354.13</v>
      </c>
      <c r="H18" s="445">
        <v>178.78</v>
      </c>
      <c r="I18" s="445">
        <v>0</v>
      </c>
      <c r="J18" s="445">
        <v>511.06</v>
      </c>
      <c r="K18" s="191"/>
      <c r="U18" s="191"/>
      <c r="AE18" s="191"/>
      <c r="AO18" s="191"/>
      <c r="AY18" s="191"/>
      <c r="BI18" s="191"/>
      <c r="BS18" s="191"/>
      <c r="CC18" s="191"/>
      <c r="CM18" s="191"/>
      <c r="CW18" s="191"/>
      <c r="DG18" s="191"/>
      <c r="DQ18" s="191"/>
      <c r="EA18" s="191"/>
      <c r="EK18" s="191"/>
      <c r="EU18" s="191"/>
      <c r="FE18" s="191"/>
      <c r="FO18" s="191"/>
      <c r="FY18" s="191"/>
      <c r="GI18" s="191"/>
      <c r="GS18" s="191"/>
      <c r="HC18" s="191"/>
      <c r="HM18" s="191"/>
      <c r="HW18" s="191"/>
      <c r="IG18" s="191"/>
      <c r="IQ18" s="191"/>
      <c r="JA18" s="191"/>
      <c r="JK18" s="191"/>
      <c r="JU18" s="191"/>
      <c r="KE18" s="191"/>
      <c r="KO18" s="191"/>
      <c r="KY18" s="191"/>
      <c r="LI18" s="191"/>
      <c r="LS18" s="191"/>
      <c r="MC18" s="191"/>
      <c r="MM18" s="191"/>
      <c r="MW18" s="191"/>
      <c r="NG18" s="191"/>
      <c r="NQ18" s="191"/>
      <c r="OA18" s="191"/>
      <c r="OK18" s="191"/>
      <c r="OU18" s="191"/>
      <c r="PE18" s="191"/>
      <c r="PO18" s="191"/>
      <c r="PY18" s="191"/>
      <c r="QI18" s="191"/>
      <c r="QS18" s="191"/>
      <c r="RC18" s="191"/>
      <c r="RM18" s="191"/>
      <c r="RW18" s="191"/>
      <c r="SG18" s="191"/>
      <c r="SQ18" s="191"/>
      <c r="TA18" s="191"/>
      <c r="TK18" s="191"/>
      <c r="TU18" s="191"/>
      <c r="UE18" s="191"/>
      <c r="UO18" s="191"/>
      <c r="UY18" s="191"/>
      <c r="VI18" s="191"/>
      <c r="VS18" s="191"/>
      <c r="WC18" s="191"/>
      <c r="WM18" s="191"/>
      <c r="WW18" s="191"/>
      <c r="XG18" s="191"/>
      <c r="XQ18" s="191"/>
      <c r="YA18" s="191"/>
      <c r="YK18" s="191"/>
      <c r="YU18" s="191"/>
      <c r="ZE18" s="191"/>
      <c r="ZO18" s="191"/>
      <c r="ZY18" s="191"/>
      <c r="AAI18" s="191"/>
      <c r="AAS18" s="191"/>
      <c r="ABC18" s="191"/>
      <c r="ABM18" s="191"/>
      <c r="ABW18" s="191"/>
      <c r="ACG18" s="191"/>
      <c r="ACQ18" s="191"/>
      <c r="ADA18" s="191"/>
      <c r="ADK18" s="191"/>
      <c r="ADU18" s="191"/>
      <c r="AEE18" s="191"/>
      <c r="AEO18" s="191"/>
      <c r="AEY18" s="191"/>
      <c r="AFI18" s="191"/>
      <c r="AFS18" s="191"/>
      <c r="AGC18" s="191"/>
      <c r="AGM18" s="191"/>
      <c r="AGW18" s="191"/>
      <c r="AHG18" s="191"/>
      <c r="AHQ18" s="191"/>
      <c r="AIA18" s="191"/>
      <c r="AIK18" s="191"/>
      <c r="AIU18" s="191"/>
      <c r="AJE18" s="191"/>
      <c r="AJO18" s="191"/>
      <c r="AJY18" s="191"/>
      <c r="AKI18" s="191"/>
      <c r="AKS18" s="191"/>
      <c r="ALC18" s="191"/>
      <c r="ALM18" s="191"/>
      <c r="ALW18" s="191"/>
      <c r="AMG18" s="191"/>
      <c r="AMQ18" s="191"/>
      <c r="ANA18" s="191"/>
      <c r="ANK18" s="191"/>
      <c r="ANU18" s="191"/>
      <c r="AOE18" s="191"/>
      <c r="AOO18" s="191"/>
      <c r="AOY18" s="191"/>
      <c r="API18" s="191"/>
      <c r="APS18" s="191"/>
      <c r="AQC18" s="191"/>
      <c r="AQM18" s="191"/>
      <c r="AQW18" s="191"/>
      <c r="ARG18" s="191"/>
      <c r="ARQ18" s="191"/>
      <c r="ASA18" s="191"/>
      <c r="ASK18" s="191"/>
      <c r="ASU18" s="191"/>
      <c r="ATE18" s="191"/>
      <c r="ATO18" s="191"/>
      <c r="ATY18" s="191"/>
      <c r="AUI18" s="191"/>
      <c r="AUS18" s="191"/>
      <c r="AVC18" s="191"/>
      <c r="AVM18" s="191"/>
      <c r="AVW18" s="191"/>
      <c r="AWG18" s="191"/>
      <c r="AWQ18" s="191"/>
      <c r="AXA18" s="191"/>
      <c r="AXK18" s="191"/>
      <c r="AXU18" s="191"/>
      <c r="AYE18" s="191"/>
      <c r="AYO18" s="191"/>
      <c r="AYY18" s="191"/>
      <c r="AZI18" s="191"/>
      <c r="AZS18" s="191"/>
      <c r="BAC18" s="191"/>
      <c r="BAM18" s="191"/>
      <c r="BAW18" s="191"/>
      <c r="BBG18" s="191"/>
      <c r="BBQ18" s="191"/>
      <c r="BCA18" s="191"/>
      <c r="BCK18" s="191"/>
      <c r="BCU18" s="191"/>
      <c r="BDE18" s="191"/>
      <c r="BDO18" s="191"/>
      <c r="BDY18" s="191"/>
      <c r="BEI18" s="191"/>
      <c r="BES18" s="191"/>
      <c r="BFC18" s="191"/>
      <c r="BFM18" s="191"/>
      <c r="BFW18" s="191"/>
      <c r="BGG18" s="191"/>
      <c r="BGQ18" s="191"/>
      <c r="BHA18" s="191"/>
      <c r="BHK18" s="191"/>
      <c r="BHU18" s="191"/>
      <c r="BIE18" s="191"/>
      <c r="BIO18" s="191"/>
      <c r="BIY18" s="191"/>
      <c r="BJI18" s="191"/>
      <c r="BJS18" s="191"/>
      <c r="BKC18" s="191"/>
      <c r="BKM18" s="191"/>
      <c r="BKW18" s="191"/>
      <c r="BLG18" s="191"/>
      <c r="BLQ18" s="191"/>
      <c r="BMA18" s="191"/>
      <c r="BMK18" s="191"/>
      <c r="BMU18" s="191"/>
      <c r="BNE18" s="191"/>
      <c r="BNO18" s="191"/>
      <c r="BNY18" s="191"/>
      <c r="BOI18" s="191"/>
      <c r="BOS18" s="191"/>
      <c r="BPC18" s="191"/>
      <c r="BPM18" s="191"/>
      <c r="BPW18" s="191"/>
      <c r="BQG18" s="191"/>
      <c r="BQQ18" s="191"/>
      <c r="BRA18" s="191"/>
      <c r="BRK18" s="191"/>
      <c r="BRU18" s="191"/>
      <c r="BSE18" s="191"/>
      <c r="BSO18" s="191"/>
      <c r="BSY18" s="191"/>
      <c r="BTI18" s="191"/>
      <c r="BTS18" s="191"/>
      <c r="BUC18" s="191"/>
      <c r="BUM18" s="191"/>
      <c r="BUW18" s="191"/>
      <c r="BVG18" s="191"/>
      <c r="BVQ18" s="191"/>
      <c r="BWA18" s="191"/>
      <c r="BWK18" s="191"/>
      <c r="BWU18" s="191"/>
      <c r="BXE18" s="191"/>
      <c r="BXO18" s="191"/>
      <c r="BXY18" s="191"/>
      <c r="BYI18" s="191"/>
      <c r="BYS18" s="191"/>
      <c r="BZC18" s="191"/>
      <c r="BZM18" s="191"/>
      <c r="BZW18" s="191"/>
      <c r="CAG18" s="191"/>
      <c r="CAQ18" s="191"/>
      <c r="CBA18" s="191"/>
      <c r="CBK18" s="191"/>
      <c r="CBU18" s="191"/>
      <c r="CCE18" s="191"/>
      <c r="CCO18" s="191"/>
      <c r="CCY18" s="191"/>
      <c r="CDI18" s="191"/>
      <c r="CDS18" s="191"/>
      <c r="CEC18" s="191"/>
      <c r="CEM18" s="191"/>
      <c r="CEW18" s="191"/>
      <c r="CFG18" s="191"/>
      <c r="CFQ18" s="191"/>
      <c r="CGA18" s="191"/>
      <c r="CGK18" s="191"/>
      <c r="CGU18" s="191"/>
      <c r="CHE18" s="191"/>
      <c r="CHO18" s="191"/>
      <c r="CHY18" s="191"/>
      <c r="CII18" s="191"/>
      <c r="CIS18" s="191"/>
      <c r="CJC18" s="191"/>
      <c r="CJM18" s="191"/>
      <c r="CJW18" s="191"/>
      <c r="CKG18" s="191"/>
      <c r="CKQ18" s="191"/>
      <c r="CLA18" s="191"/>
      <c r="CLK18" s="191"/>
      <c r="CLU18" s="191"/>
      <c r="CME18" s="191"/>
      <c r="CMO18" s="191"/>
      <c r="CMY18" s="191"/>
      <c r="CNI18" s="191"/>
      <c r="CNS18" s="191"/>
      <c r="COC18" s="191"/>
      <c r="COM18" s="191"/>
      <c r="COW18" s="191"/>
      <c r="CPG18" s="191"/>
      <c r="CPQ18" s="191"/>
      <c r="CQA18" s="191"/>
      <c r="CQK18" s="191"/>
      <c r="CQU18" s="191"/>
      <c r="CRE18" s="191"/>
      <c r="CRO18" s="191"/>
      <c r="CRY18" s="191"/>
      <c r="CSI18" s="191"/>
      <c r="CSS18" s="191"/>
      <c r="CTC18" s="191"/>
      <c r="CTM18" s="191"/>
      <c r="CTW18" s="191"/>
      <c r="CUG18" s="191"/>
      <c r="CUQ18" s="191"/>
      <c r="CVA18" s="191"/>
      <c r="CVK18" s="191"/>
      <c r="CVU18" s="191"/>
      <c r="CWE18" s="191"/>
      <c r="CWO18" s="191"/>
      <c r="CWY18" s="191"/>
      <c r="CXI18" s="191"/>
      <c r="CXS18" s="191"/>
      <c r="CYC18" s="191"/>
      <c r="CYM18" s="191"/>
      <c r="CYW18" s="191"/>
      <c r="CZG18" s="191"/>
      <c r="CZQ18" s="191"/>
      <c r="DAA18" s="191"/>
      <c r="DAK18" s="191"/>
      <c r="DAU18" s="191"/>
      <c r="DBE18" s="191"/>
      <c r="DBO18" s="191"/>
      <c r="DBY18" s="191"/>
      <c r="DCI18" s="191"/>
      <c r="DCS18" s="191"/>
      <c r="DDC18" s="191"/>
      <c r="DDM18" s="191"/>
      <c r="DDW18" s="191"/>
      <c r="DEG18" s="191"/>
      <c r="DEQ18" s="191"/>
      <c r="DFA18" s="191"/>
      <c r="DFK18" s="191"/>
      <c r="DFU18" s="191"/>
      <c r="DGE18" s="191"/>
      <c r="DGO18" s="191"/>
      <c r="DGY18" s="191"/>
      <c r="DHI18" s="191"/>
      <c r="DHS18" s="191"/>
      <c r="DIC18" s="191"/>
      <c r="DIM18" s="191"/>
      <c r="DIW18" s="191"/>
      <c r="DJG18" s="191"/>
      <c r="DJQ18" s="191"/>
      <c r="DKA18" s="191"/>
      <c r="DKK18" s="191"/>
      <c r="DKU18" s="191"/>
      <c r="DLE18" s="191"/>
      <c r="DLO18" s="191"/>
      <c r="DLY18" s="191"/>
      <c r="DMI18" s="191"/>
      <c r="DMS18" s="191"/>
      <c r="DNC18" s="191"/>
      <c r="DNM18" s="191"/>
      <c r="DNW18" s="191"/>
      <c r="DOG18" s="191"/>
      <c r="DOQ18" s="191"/>
      <c r="DPA18" s="191"/>
      <c r="DPK18" s="191"/>
      <c r="DPU18" s="191"/>
      <c r="DQE18" s="191"/>
      <c r="DQO18" s="191"/>
      <c r="DQY18" s="191"/>
      <c r="DRI18" s="191"/>
      <c r="DRS18" s="191"/>
      <c r="DSC18" s="191"/>
      <c r="DSM18" s="191"/>
      <c r="DSW18" s="191"/>
      <c r="DTG18" s="191"/>
      <c r="DTQ18" s="191"/>
      <c r="DUA18" s="191"/>
      <c r="DUK18" s="191"/>
      <c r="DUU18" s="191"/>
      <c r="DVE18" s="191"/>
      <c r="DVO18" s="191"/>
      <c r="DVY18" s="191"/>
      <c r="DWI18" s="191"/>
      <c r="DWS18" s="191"/>
      <c r="DXC18" s="191"/>
      <c r="DXM18" s="191"/>
      <c r="DXW18" s="191"/>
      <c r="DYG18" s="191"/>
      <c r="DYQ18" s="191"/>
      <c r="DZA18" s="191"/>
      <c r="DZK18" s="191"/>
      <c r="DZU18" s="191"/>
      <c r="EAE18" s="191"/>
      <c r="EAO18" s="191"/>
      <c r="EAY18" s="191"/>
      <c r="EBI18" s="191"/>
      <c r="EBS18" s="191"/>
      <c r="ECC18" s="191"/>
      <c r="ECM18" s="191"/>
      <c r="ECW18" s="191"/>
      <c r="EDG18" s="191"/>
      <c r="EDQ18" s="191"/>
      <c r="EEA18" s="191"/>
      <c r="EEK18" s="191"/>
      <c r="EEU18" s="191"/>
      <c r="EFE18" s="191"/>
      <c r="EFO18" s="191"/>
      <c r="EFY18" s="191"/>
      <c r="EGI18" s="191"/>
      <c r="EGS18" s="191"/>
      <c r="EHC18" s="191"/>
      <c r="EHM18" s="191"/>
      <c r="EHW18" s="191"/>
      <c r="EIG18" s="191"/>
      <c r="EIQ18" s="191"/>
      <c r="EJA18" s="191"/>
      <c r="EJK18" s="191"/>
      <c r="EJU18" s="191"/>
      <c r="EKE18" s="191"/>
      <c r="EKO18" s="191"/>
      <c r="EKY18" s="191"/>
      <c r="ELI18" s="191"/>
      <c r="ELS18" s="191"/>
      <c r="EMC18" s="191"/>
      <c r="EMM18" s="191"/>
      <c r="EMW18" s="191"/>
      <c r="ENG18" s="191"/>
      <c r="ENQ18" s="191"/>
      <c r="EOA18" s="191"/>
      <c r="EOK18" s="191"/>
      <c r="EOU18" s="191"/>
      <c r="EPE18" s="191"/>
      <c r="EPO18" s="191"/>
      <c r="EPY18" s="191"/>
      <c r="EQI18" s="191"/>
      <c r="EQS18" s="191"/>
      <c r="ERC18" s="191"/>
      <c r="ERM18" s="191"/>
      <c r="ERW18" s="191"/>
      <c r="ESG18" s="191"/>
      <c r="ESQ18" s="191"/>
      <c r="ETA18" s="191"/>
      <c r="ETK18" s="191"/>
      <c r="ETU18" s="191"/>
      <c r="EUE18" s="191"/>
      <c r="EUO18" s="191"/>
      <c r="EUY18" s="191"/>
      <c r="EVI18" s="191"/>
      <c r="EVS18" s="191"/>
      <c r="EWC18" s="191"/>
      <c r="EWM18" s="191"/>
      <c r="EWW18" s="191"/>
      <c r="EXG18" s="191"/>
      <c r="EXQ18" s="191"/>
      <c r="EYA18" s="191"/>
      <c r="EYK18" s="191"/>
      <c r="EYU18" s="191"/>
      <c r="EZE18" s="191"/>
      <c r="EZO18" s="191"/>
      <c r="EZY18" s="191"/>
      <c r="FAI18" s="191"/>
      <c r="FAS18" s="191"/>
      <c r="FBC18" s="191"/>
      <c r="FBM18" s="191"/>
      <c r="FBW18" s="191"/>
      <c r="FCG18" s="191"/>
      <c r="FCQ18" s="191"/>
      <c r="FDA18" s="191"/>
      <c r="FDK18" s="191"/>
      <c r="FDU18" s="191"/>
      <c r="FEE18" s="191"/>
      <c r="FEO18" s="191"/>
      <c r="FEY18" s="191"/>
      <c r="FFI18" s="191"/>
      <c r="FFS18" s="191"/>
      <c r="FGC18" s="191"/>
      <c r="FGM18" s="191"/>
      <c r="FGW18" s="191"/>
      <c r="FHG18" s="191"/>
      <c r="FHQ18" s="191"/>
      <c r="FIA18" s="191"/>
      <c r="FIK18" s="191"/>
      <c r="FIU18" s="191"/>
      <c r="FJE18" s="191"/>
      <c r="FJO18" s="191"/>
      <c r="FJY18" s="191"/>
      <c r="FKI18" s="191"/>
      <c r="FKS18" s="191"/>
      <c r="FLC18" s="191"/>
      <c r="FLM18" s="191"/>
      <c r="FLW18" s="191"/>
      <c r="FMG18" s="191"/>
      <c r="FMQ18" s="191"/>
      <c r="FNA18" s="191"/>
      <c r="FNK18" s="191"/>
      <c r="FNU18" s="191"/>
      <c r="FOE18" s="191"/>
      <c r="FOO18" s="191"/>
      <c r="FOY18" s="191"/>
      <c r="FPI18" s="191"/>
      <c r="FPS18" s="191"/>
      <c r="FQC18" s="191"/>
      <c r="FQM18" s="191"/>
      <c r="FQW18" s="191"/>
      <c r="FRG18" s="191"/>
      <c r="FRQ18" s="191"/>
      <c r="FSA18" s="191"/>
      <c r="FSK18" s="191"/>
      <c r="FSU18" s="191"/>
      <c r="FTE18" s="191"/>
      <c r="FTO18" s="191"/>
      <c r="FTY18" s="191"/>
      <c r="FUI18" s="191"/>
      <c r="FUS18" s="191"/>
      <c r="FVC18" s="191"/>
      <c r="FVM18" s="191"/>
      <c r="FVW18" s="191"/>
      <c r="FWG18" s="191"/>
      <c r="FWQ18" s="191"/>
      <c r="FXA18" s="191"/>
      <c r="FXK18" s="191"/>
      <c r="FXU18" s="191"/>
      <c r="FYE18" s="191"/>
      <c r="FYO18" s="191"/>
      <c r="FYY18" s="191"/>
      <c r="FZI18" s="191"/>
      <c r="FZS18" s="191"/>
      <c r="GAC18" s="191"/>
      <c r="GAM18" s="191"/>
      <c r="GAW18" s="191"/>
      <c r="GBG18" s="191"/>
      <c r="GBQ18" s="191"/>
      <c r="GCA18" s="191"/>
      <c r="GCK18" s="191"/>
      <c r="GCU18" s="191"/>
      <c r="GDE18" s="191"/>
      <c r="GDO18" s="191"/>
      <c r="GDY18" s="191"/>
      <c r="GEI18" s="191"/>
      <c r="GES18" s="191"/>
      <c r="GFC18" s="191"/>
      <c r="GFM18" s="191"/>
      <c r="GFW18" s="191"/>
      <c r="GGG18" s="191"/>
      <c r="GGQ18" s="191"/>
      <c r="GHA18" s="191"/>
      <c r="GHK18" s="191"/>
      <c r="GHU18" s="191"/>
      <c r="GIE18" s="191"/>
      <c r="GIO18" s="191"/>
      <c r="GIY18" s="191"/>
      <c r="GJI18" s="191"/>
      <c r="GJS18" s="191"/>
      <c r="GKC18" s="191"/>
      <c r="GKM18" s="191"/>
      <c r="GKW18" s="191"/>
      <c r="GLG18" s="191"/>
      <c r="GLQ18" s="191"/>
      <c r="GMA18" s="191"/>
      <c r="GMK18" s="191"/>
      <c r="GMU18" s="191"/>
      <c r="GNE18" s="191"/>
      <c r="GNO18" s="191"/>
      <c r="GNY18" s="191"/>
      <c r="GOI18" s="191"/>
      <c r="GOS18" s="191"/>
      <c r="GPC18" s="191"/>
      <c r="GPM18" s="191"/>
      <c r="GPW18" s="191"/>
      <c r="GQG18" s="191"/>
      <c r="GQQ18" s="191"/>
      <c r="GRA18" s="191"/>
      <c r="GRK18" s="191"/>
      <c r="GRU18" s="191"/>
      <c r="GSE18" s="191"/>
      <c r="GSO18" s="191"/>
      <c r="GSY18" s="191"/>
      <c r="GTI18" s="191"/>
      <c r="GTS18" s="191"/>
      <c r="GUC18" s="191"/>
      <c r="GUM18" s="191"/>
      <c r="GUW18" s="191"/>
      <c r="GVG18" s="191"/>
      <c r="GVQ18" s="191"/>
      <c r="GWA18" s="191"/>
      <c r="GWK18" s="191"/>
      <c r="GWU18" s="191"/>
      <c r="GXE18" s="191"/>
      <c r="GXO18" s="191"/>
      <c r="GXY18" s="191"/>
      <c r="GYI18" s="191"/>
      <c r="GYS18" s="191"/>
      <c r="GZC18" s="191"/>
      <c r="GZM18" s="191"/>
      <c r="GZW18" s="191"/>
      <c r="HAG18" s="191"/>
      <c r="HAQ18" s="191"/>
      <c r="HBA18" s="191"/>
      <c r="HBK18" s="191"/>
      <c r="HBU18" s="191"/>
      <c r="HCE18" s="191"/>
      <c r="HCO18" s="191"/>
      <c r="HCY18" s="191"/>
      <c r="HDI18" s="191"/>
      <c r="HDS18" s="191"/>
      <c r="HEC18" s="191"/>
      <c r="HEM18" s="191"/>
      <c r="HEW18" s="191"/>
      <c r="HFG18" s="191"/>
      <c r="HFQ18" s="191"/>
      <c r="HGA18" s="191"/>
      <c r="HGK18" s="191"/>
      <c r="HGU18" s="191"/>
      <c r="HHE18" s="191"/>
      <c r="HHO18" s="191"/>
      <c r="HHY18" s="191"/>
      <c r="HII18" s="191"/>
      <c r="HIS18" s="191"/>
      <c r="HJC18" s="191"/>
      <c r="HJM18" s="191"/>
      <c r="HJW18" s="191"/>
      <c r="HKG18" s="191"/>
      <c r="HKQ18" s="191"/>
      <c r="HLA18" s="191"/>
      <c r="HLK18" s="191"/>
      <c r="HLU18" s="191"/>
      <c r="HME18" s="191"/>
      <c r="HMO18" s="191"/>
      <c r="HMY18" s="191"/>
      <c r="HNI18" s="191"/>
      <c r="HNS18" s="191"/>
      <c r="HOC18" s="191"/>
      <c r="HOM18" s="191"/>
      <c r="HOW18" s="191"/>
      <c r="HPG18" s="191"/>
      <c r="HPQ18" s="191"/>
      <c r="HQA18" s="191"/>
      <c r="HQK18" s="191"/>
      <c r="HQU18" s="191"/>
      <c r="HRE18" s="191"/>
      <c r="HRO18" s="191"/>
      <c r="HRY18" s="191"/>
      <c r="HSI18" s="191"/>
      <c r="HSS18" s="191"/>
      <c r="HTC18" s="191"/>
      <c r="HTM18" s="191"/>
      <c r="HTW18" s="191"/>
      <c r="HUG18" s="191"/>
      <c r="HUQ18" s="191"/>
      <c r="HVA18" s="191"/>
      <c r="HVK18" s="191"/>
      <c r="HVU18" s="191"/>
      <c r="HWE18" s="191"/>
      <c r="HWO18" s="191"/>
      <c r="HWY18" s="191"/>
      <c r="HXI18" s="191"/>
      <c r="HXS18" s="191"/>
      <c r="HYC18" s="191"/>
      <c r="HYM18" s="191"/>
      <c r="HYW18" s="191"/>
      <c r="HZG18" s="191"/>
      <c r="HZQ18" s="191"/>
      <c r="IAA18" s="191"/>
      <c r="IAK18" s="191"/>
      <c r="IAU18" s="191"/>
      <c r="IBE18" s="191"/>
      <c r="IBO18" s="191"/>
      <c r="IBY18" s="191"/>
      <c r="ICI18" s="191"/>
      <c r="ICS18" s="191"/>
      <c r="IDC18" s="191"/>
      <c r="IDM18" s="191"/>
      <c r="IDW18" s="191"/>
      <c r="IEG18" s="191"/>
      <c r="IEQ18" s="191"/>
      <c r="IFA18" s="191"/>
      <c r="IFK18" s="191"/>
      <c r="IFU18" s="191"/>
      <c r="IGE18" s="191"/>
      <c r="IGO18" s="191"/>
      <c r="IGY18" s="191"/>
      <c r="IHI18" s="191"/>
      <c r="IHS18" s="191"/>
      <c r="IIC18" s="191"/>
      <c r="IIM18" s="191"/>
      <c r="IIW18" s="191"/>
      <c r="IJG18" s="191"/>
      <c r="IJQ18" s="191"/>
      <c r="IKA18" s="191"/>
      <c r="IKK18" s="191"/>
      <c r="IKU18" s="191"/>
      <c r="ILE18" s="191"/>
      <c r="ILO18" s="191"/>
      <c r="ILY18" s="191"/>
      <c r="IMI18" s="191"/>
      <c r="IMS18" s="191"/>
      <c r="INC18" s="191"/>
      <c r="INM18" s="191"/>
      <c r="INW18" s="191"/>
      <c r="IOG18" s="191"/>
      <c r="IOQ18" s="191"/>
      <c r="IPA18" s="191"/>
      <c r="IPK18" s="191"/>
      <c r="IPU18" s="191"/>
      <c r="IQE18" s="191"/>
      <c r="IQO18" s="191"/>
      <c r="IQY18" s="191"/>
      <c r="IRI18" s="191"/>
      <c r="IRS18" s="191"/>
      <c r="ISC18" s="191"/>
      <c r="ISM18" s="191"/>
      <c r="ISW18" s="191"/>
      <c r="ITG18" s="191"/>
      <c r="ITQ18" s="191"/>
      <c r="IUA18" s="191"/>
      <c r="IUK18" s="191"/>
      <c r="IUU18" s="191"/>
      <c r="IVE18" s="191"/>
      <c r="IVO18" s="191"/>
      <c r="IVY18" s="191"/>
      <c r="IWI18" s="191"/>
      <c r="IWS18" s="191"/>
      <c r="IXC18" s="191"/>
      <c r="IXM18" s="191"/>
      <c r="IXW18" s="191"/>
      <c r="IYG18" s="191"/>
      <c r="IYQ18" s="191"/>
      <c r="IZA18" s="191"/>
      <c r="IZK18" s="191"/>
      <c r="IZU18" s="191"/>
      <c r="JAE18" s="191"/>
      <c r="JAO18" s="191"/>
      <c r="JAY18" s="191"/>
      <c r="JBI18" s="191"/>
      <c r="JBS18" s="191"/>
      <c r="JCC18" s="191"/>
      <c r="JCM18" s="191"/>
      <c r="JCW18" s="191"/>
      <c r="JDG18" s="191"/>
      <c r="JDQ18" s="191"/>
      <c r="JEA18" s="191"/>
      <c r="JEK18" s="191"/>
      <c r="JEU18" s="191"/>
      <c r="JFE18" s="191"/>
      <c r="JFO18" s="191"/>
      <c r="JFY18" s="191"/>
      <c r="JGI18" s="191"/>
      <c r="JGS18" s="191"/>
      <c r="JHC18" s="191"/>
      <c r="JHM18" s="191"/>
      <c r="JHW18" s="191"/>
      <c r="JIG18" s="191"/>
      <c r="JIQ18" s="191"/>
      <c r="JJA18" s="191"/>
      <c r="JJK18" s="191"/>
      <c r="JJU18" s="191"/>
      <c r="JKE18" s="191"/>
      <c r="JKO18" s="191"/>
      <c r="JKY18" s="191"/>
      <c r="JLI18" s="191"/>
      <c r="JLS18" s="191"/>
      <c r="JMC18" s="191"/>
      <c r="JMM18" s="191"/>
      <c r="JMW18" s="191"/>
      <c r="JNG18" s="191"/>
      <c r="JNQ18" s="191"/>
      <c r="JOA18" s="191"/>
      <c r="JOK18" s="191"/>
      <c r="JOU18" s="191"/>
      <c r="JPE18" s="191"/>
      <c r="JPO18" s="191"/>
      <c r="JPY18" s="191"/>
      <c r="JQI18" s="191"/>
      <c r="JQS18" s="191"/>
      <c r="JRC18" s="191"/>
      <c r="JRM18" s="191"/>
      <c r="JRW18" s="191"/>
      <c r="JSG18" s="191"/>
      <c r="JSQ18" s="191"/>
      <c r="JTA18" s="191"/>
      <c r="JTK18" s="191"/>
      <c r="JTU18" s="191"/>
      <c r="JUE18" s="191"/>
      <c r="JUO18" s="191"/>
      <c r="JUY18" s="191"/>
      <c r="JVI18" s="191"/>
      <c r="JVS18" s="191"/>
      <c r="JWC18" s="191"/>
      <c r="JWM18" s="191"/>
      <c r="JWW18" s="191"/>
      <c r="JXG18" s="191"/>
      <c r="JXQ18" s="191"/>
      <c r="JYA18" s="191"/>
      <c r="JYK18" s="191"/>
      <c r="JYU18" s="191"/>
      <c r="JZE18" s="191"/>
      <c r="JZO18" s="191"/>
      <c r="JZY18" s="191"/>
      <c r="KAI18" s="191"/>
      <c r="KAS18" s="191"/>
      <c r="KBC18" s="191"/>
      <c r="KBM18" s="191"/>
      <c r="KBW18" s="191"/>
      <c r="KCG18" s="191"/>
      <c r="KCQ18" s="191"/>
      <c r="KDA18" s="191"/>
      <c r="KDK18" s="191"/>
      <c r="KDU18" s="191"/>
      <c r="KEE18" s="191"/>
      <c r="KEO18" s="191"/>
      <c r="KEY18" s="191"/>
      <c r="KFI18" s="191"/>
      <c r="KFS18" s="191"/>
      <c r="KGC18" s="191"/>
      <c r="KGM18" s="191"/>
      <c r="KGW18" s="191"/>
      <c r="KHG18" s="191"/>
      <c r="KHQ18" s="191"/>
      <c r="KIA18" s="191"/>
      <c r="KIK18" s="191"/>
      <c r="KIU18" s="191"/>
      <c r="KJE18" s="191"/>
      <c r="KJO18" s="191"/>
      <c r="KJY18" s="191"/>
      <c r="KKI18" s="191"/>
      <c r="KKS18" s="191"/>
      <c r="KLC18" s="191"/>
      <c r="KLM18" s="191"/>
      <c r="KLW18" s="191"/>
      <c r="KMG18" s="191"/>
      <c r="KMQ18" s="191"/>
      <c r="KNA18" s="191"/>
      <c r="KNK18" s="191"/>
      <c r="KNU18" s="191"/>
      <c r="KOE18" s="191"/>
      <c r="KOO18" s="191"/>
      <c r="KOY18" s="191"/>
      <c r="KPI18" s="191"/>
      <c r="KPS18" s="191"/>
      <c r="KQC18" s="191"/>
      <c r="KQM18" s="191"/>
      <c r="KQW18" s="191"/>
      <c r="KRG18" s="191"/>
      <c r="KRQ18" s="191"/>
      <c r="KSA18" s="191"/>
      <c r="KSK18" s="191"/>
      <c r="KSU18" s="191"/>
      <c r="KTE18" s="191"/>
      <c r="KTO18" s="191"/>
      <c r="KTY18" s="191"/>
      <c r="KUI18" s="191"/>
      <c r="KUS18" s="191"/>
      <c r="KVC18" s="191"/>
      <c r="KVM18" s="191"/>
      <c r="KVW18" s="191"/>
      <c r="KWG18" s="191"/>
      <c r="KWQ18" s="191"/>
      <c r="KXA18" s="191"/>
      <c r="KXK18" s="191"/>
      <c r="KXU18" s="191"/>
      <c r="KYE18" s="191"/>
      <c r="KYO18" s="191"/>
      <c r="KYY18" s="191"/>
      <c r="KZI18" s="191"/>
      <c r="KZS18" s="191"/>
      <c r="LAC18" s="191"/>
      <c r="LAM18" s="191"/>
      <c r="LAW18" s="191"/>
      <c r="LBG18" s="191"/>
      <c r="LBQ18" s="191"/>
      <c r="LCA18" s="191"/>
      <c r="LCK18" s="191"/>
      <c r="LCU18" s="191"/>
      <c r="LDE18" s="191"/>
      <c r="LDO18" s="191"/>
      <c r="LDY18" s="191"/>
      <c r="LEI18" s="191"/>
      <c r="LES18" s="191"/>
      <c r="LFC18" s="191"/>
      <c r="LFM18" s="191"/>
      <c r="LFW18" s="191"/>
      <c r="LGG18" s="191"/>
      <c r="LGQ18" s="191"/>
      <c r="LHA18" s="191"/>
      <c r="LHK18" s="191"/>
      <c r="LHU18" s="191"/>
      <c r="LIE18" s="191"/>
      <c r="LIO18" s="191"/>
      <c r="LIY18" s="191"/>
      <c r="LJI18" s="191"/>
      <c r="LJS18" s="191"/>
      <c r="LKC18" s="191"/>
      <c r="LKM18" s="191"/>
      <c r="LKW18" s="191"/>
      <c r="LLG18" s="191"/>
      <c r="LLQ18" s="191"/>
      <c r="LMA18" s="191"/>
      <c r="LMK18" s="191"/>
      <c r="LMU18" s="191"/>
      <c r="LNE18" s="191"/>
      <c r="LNO18" s="191"/>
      <c r="LNY18" s="191"/>
      <c r="LOI18" s="191"/>
      <c r="LOS18" s="191"/>
      <c r="LPC18" s="191"/>
      <c r="LPM18" s="191"/>
      <c r="LPW18" s="191"/>
      <c r="LQG18" s="191"/>
      <c r="LQQ18" s="191"/>
      <c r="LRA18" s="191"/>
      <c r="LRK18" s="191"/>
      <c r="LRU18" s="191"/>
      <c r="LSE18" s="191"/>
      <c r="LSO18" s="191"/>
      <c r="LSY18" s="191"/>
      <c r="LTI18" s="191"/>
      <c r="LTS18" s="191"/>
      <c r="LUC18" s="191"/>
      <c r="LUM18" s="191"/>
      <c r="LUW18" s="191"/>
      <c r="LVG18" s="191"/>
      <c r="LVQ18" s="191"/>
      <c r="LWA18" s="191"/>
      <c r="LWK18" s="191"/>
      <c r="LWU18" s="191"/>
      <c r="LXE18" s="191"/>
      <c r="LXO18" s="191"/>
      <c r="LXY18" s="191"/>
      <c r="LYI18" s="191"/>
      <c r="LYS18" s="191"/>
      <c r="LZC18" s="191"/>
      <c r="LZM18" s="191"/>
      <c r="LZW18" s="191"/>
      <c r="MAG18" s="191"/>
      <c r="MAQ18" s="191"/>
      <c r="MBA18" s="191"/>
      <c r="MBK18" s="191"/>
      <c r="MBU18" s="191"/>
      <c r="MCE18" s="191"/>
      <c r="MCO18" s="191"/>
      <c r="MCY18" s="191"/>
      <c r="MDI18" s="191"/>
      <c r="MDS18" s="191"/>
      <c r="MEC18" s="191"/>
      <c r="MEM18" s="191"/>
      <c r="MEW18" s="191"/>
      <c r="MFG18" s="191"/>
      <c r="MFQ18" s="191"/>
      <c r="MGA18" s="191"/>
      <c r="MGK18" s="191"/>
      <c r="MGU18" s="191"/>
      <c r="MHE18" s="191"/>
      <c r="MHO18" s="191"/>
      <c r="MHY18" s="191"/>
      <c r="MII18" s="191"/>
      <c r="MIS18" s="191"/>
      <c r="MJC18" s="191"/>
      <c r="MJM18" s="191"/>
      <c r="MJW18" s="191"/>
      <c r="MKG18" s="191"/>
      <c r="MKQ18" s="191"/>
      <c r="MLA18" s="191"/>
      <c r="MLK18" s="191"/>
      <c r="MLU18" s="191"/>
      <c r="MME18" s="191"/>
      <c r="MMO18" s="191"/>
      <c r="MMY18" s="191"/>
      <c r="MNI18" s="191"/>
      <c r="MNS18" s="191"/>
      <c r="MOC18" s="191"/>
      <c r="MOM18" s="191"/>
      <c r="MOW18" s="191"/>
      <c r="MPG18" s="191"/>
      <c r="MPQ18" s="191"/>
      <c r="MQA18" s="191"/>
      <c r="MQK18" s="191"/>
      <c r="MQU18" s="191"/>
      <c r="MRE18" s="191"/>
      <c r="MRO18" s="191"/>
      <c r="MRY18" s="191"/>
      <c r="MSI18" s="191"/>
      <c r="MSS18" s="191"/>
      <c r="MTC18" s="191"/>
      <c r="MTM18" s="191"/>
      <c r="MTW18" s="191"/>
      <c r="MUG18" s="191"/>
      <c r="MUQ18" s="191"/>
      <c r="MVA18" s="191"/>
      <c r="MVK18" s="191"/>
      <c r="MVU18" s="191"/>
      <c r="MWE18" s="191"/>
      <c r="MWO18" s="191"/>
      <c r="MWY18" s="191"/>
      <c r="MXI18" s="191"/>
      <c r="MXS18" s="191"/>
      <c r="MYC18" s="191"/>
      <c r="MYM18" s="191"/>
      <c r="MYW18" s="191"/>
      <c r="MZG18" s="191"/>
      <c r="MZQ18" s="191"/>
      <c r="NAA18" s="191"/>
      <c r="NAK18" s="191"/>
      <c r="NAU18" s="191"/>
      <c r="NBE18" s="191"/>
      <c r="NBO18" s="191"/>
      <c r="NBY18" s="191"/>
      <c r="NCI18" s="191"/>
      <c r="NCS18" s="191"/>
      <c r="NDC18" s="191"/>
      <c r="NDM18" s="191"/>
      <c r="NDW18" s="191"/>
      <c r="NEG18" s="191"/>
      <c r="NEQ18" s="191"/>
      <c r="NFA18" s="191"/>
      <c r="NFK18" s="191"/>
      <c r="NFU18" s="191"/>
      <c r="NGE18" s="191"/>
      <c r="NGO18" s="191"/>
      <c r="NGY18" s="191"/>
      <c r="NHI18" s="191"/>
      <c r="NHS18" s="191"/>
      <c r="NIC18" s="191"/>
      <c r="NIM18" s="191"/>
      <c r="NIW18" s="191"/>
      <c r="NJG18" s="191"/>
      <c r="NJQ18" s="191"/>
      <c r="NKA18" s="191"/>
      <c r="NKK18" s="191"/>
      <c r="NKU18" s="191"/>
      <c r="NLE18" s="191"/>
      <c r="NLO18" s="191"/>
      <c r="NLY18" s="191"/>
      <c r="NMI18" s="191"/>
      <c r="NMS18" s="191"/>
      <c r="NNC18" s="191"/>
      <c r="NNM18" s="191"/>
      <c r="NNW18" s="191"/>
      <c r="NOG18" s="191"/>
      <c r="NOQ18" s="191"/>
      <c r="NPA18" s="191"/>
      <c r="NPK18" s="191"/>
      <c r="NPU18" s="191"/>
      <c r="NQE18" s="191"/>
      <c r="NQO18" s="191"/>
      <c r="NQY18" s="191"/>
      <c r="NRI18" s="191"/>
      <c r="NRS18" s="191"/>
      <c r="NSC18" s="191"/>
      <c r="NSM18" s="191"/>
      <c r="NSW18" s="191"/>
      <c r="NTG18" s="191"/>
      <c r="NTQ18" s="191"/>
      <c r="NUA18" s="191"/>
      <c r="NUK18" s="191"/>
      <c r="NUU18" s="191"/>
      <c r="NVE18" s="191"/>
      <c r="NVO18" s="191"/>
      <c r="NVY18" s="191"/>
      <c r="NWI18" s="191"/>
      <c r="NWS18" s="191"/>
      <c r="NXC18" s="191"/>
      <c r="NXM18" s="191"/>
      <c r="NXW18" s="191"/>
      <c r="NYG18" s="191"/>
      <c r="NYQ18" s="191"/>
      <c r="NZA18" s="191"/>
      <c r="NZK18" s="191"/>
      <c r="NZU18" s="191"/>
      <c r="OAE18" s="191"/>
      <c r="OAO18" s="191"/>
      <c r="OAY18" s="191"/>
      <c r="OBI18" s="191"/>
      <c r="OBS18" s="191"/>
      <c r="OCC18" s="191"/>
      <c r="OCM18" s="191"/>
      <c r="OCW18" s="191"/>
      <c r="ODG18" s="191"/>
      <c r="ODQ18" s="191"/>
      <c r="OEA18" s="191"/>
      <c r="OEK18" s="191"/>
      <c r="OEU18" s="191"/>
      <c r="OFE18" s="191"/>
      <c r="OFO18" s="191"/>
      <c r="OFY18" s="191"/>
      <c r="OGI18" s="191"/>
      <c r="OGS18" s="191"/>
      <c r="OHC18" s="191"/>
      <c r="OHM18" s="191"/>
      <c r="OHW18" s="191"/>
      <c r="OIG18" s="191"/>
      <c r="OIQ18" s="191"/>
      <c r="OJA18" s="191"/>
      <c r="OJK18" s="191"/>
      <c r="OJU18" s="191"/>
      <c r="OKE18" s="191"/>
      <c r="OKO18" s="191"/>
      <c r="OKY18" s="191"/>
      <c r="OLI18" s="191"/>
      <c r="OLS18" s="191"/>
      <c r="OMC18" s="191"/>
      <c r="OMM18" s="191"/>
      <c r="OMW18" s="191"/>
      <c r="ONG18" s="191"/>
      <c r="ONQ18" s="191"/>
      <c r="OOA18" s="191"/>
      <c r="OOK18" s="191"/>
      <c r="OOU18" s="191"/>
      <c r="OPE18" s="191"/>
      <c r="OPO18" s="191"/>
      <c r="OPY18" s="191"/>
      <c r="OQI18" s="191"/>
      <c r="OQS18" s="191"/>
      <c r="ORC18" s="191"/>
      <c r="ORM18" s="191"/>
      <c r="ORW18" s="191"/>
      <c r="OSG18" s="191"/>
      <c r="OSQ18" s="191"/>
      <c r="OTA18" s="191"/>
      <c r="OTK18" s="191"/>
      <c r="OTU18" s="191"/>
      <c r="OUE18" s="191"/>
      <c r="OUO18" s="191"/>
      <c r="OUY18" s="191"/>
      <c r="OVI18" s="191"/>
      <c r="OVS18" s="191"/>
      <c r="OWC18" s="191"/>
      <c r="OWM18" s="191"/>
      <c r="OWW18" s="191"/>
      <c r="OXG18" s="191"/>
      <c r="OXQ18" s="191"/>
      <c r="OYA18" s="191"/>
      <c r="OYK18" s="191"/>
      <c r="OYU18" s="191"/>
      <c r="OZE18" s="191"/>
      <c r="OZO18" s="191"/>
      <c r="OZY18" s="191"/>
      <c r="PAI18" s="191"/>
      <c r="PAS18" s="191"/>
      <c r="PBC18" s="191"/>
      <c r="PBM18" s="191"/>
      <c r="PBW18" s="191"/>
      <c r="PCG18" s="191"/>
      <c r="PCQ18" s="191"/>
      <c r="PDA18" s="191"/>
      <c r="PDK18" s="191"/>
      <c r="PDU18" s="191"/>
      <c r="PEE18" s="191"/>
      <c r="PEO18" s="191"/>
      <c r="PEY18" s="191"/>
      <c r="PFI18" s="191"/>
      <c r="PFS18" s="191"/>
      <c r="PGC18" s="191"/>
      <c r="PGM18" s="191"/>
      <c r="PGW18" s="191"/>
      <c r="PHG18" s="191"/>
      <c r="PHQ18" s="191"/>
      <c r="PIA18" s="191"/>
      <c r="PIK18" s="191"/>
      <c r="PIU18" s="191"/>
      <c r="PJE18" s="191"/>
      <c r="PJO18" s="191"/>
      <c r="PJY18" s="191"/>
      <c r="PKI18" s="191"/>
      <c r="PKS18" s="191"/>
      <c r="PLC18" s="191"/>
      <c r="PLM18" s="191"/>
      <c r="PLW18" s="191"/>
      <c r="PMG18" s="191"/>
      <c r="PMQ18" s="191"/>
      <c r="PNA18" s="191"/>
      <c r="PNK18" s="191"/>
      <c r="PNU18" s="191"/>
      <c r="POE18" s="191"/>
      <c r="POO18" s="191"/>
      <c r="POY18" s="191"/>
      <c r="PPI18" s="191"/>
      <c r="PPS18" s="191"/>
      <c r="PQC18" s="191"/>
      <c r="PQM18" s="191"/>
      <c r="PQW18" s="191"/>
      <c r="PRG18" s="191"/>
      <c r="PRQ18" s="191"/>
      <c r="PSA18" s="191"/>
      <c r="PSK18" s="191"/>
      <c r="PSU18" s="191"/>
      <c r="PTE18" s="191"/>
      <c r="PTO18" s="191"/>
      <c r="PTY18" s="191"/>
      <c r="PUI18" s="191"/>
      <c r="PUS18" s="191"/>
      <c r="PVC18" s="191"/>
      <c r="PVM18" s="191"/>
      <c r="PVW18" s="191"/>
      <c r="PWG18" s="191"/>
      <c r="PWQ18" s="191"/>
      <c r="PXA18" s="191"/>
      <c r="PXK18" s="191"/>
      <c r="PXU18" s="191"/>
      <c r="PYE18" s="191"/>
      <c r="PYO18" s="191"/>
      <c r="PYY18" s="191"/>
      <c r="PZI18" s="191"/>
      <c r="PZS18" s="191"/>
      <c r="QAC18" s="191"/>
      <c r="QAM18" s="191"/>
      <c r="QAW18" s="191"/>
      <c r="QBG18" s="191"/>
      <c r="QBQ18" s="191"/>
      <c r="QCA18" s="191"/>
      <c r="QCK18" s="191"/>
      <c r="QCU18" s="191"/>
      <c r="QDE18" s="191"/>
      <c r="QDO18" s="191"/>
      <c r="QDY18" s="191"/>
      <c r="QEI18" s="191"/>
      <c r="QES18" s="191"/>
      <c r="QFC18" s="191"/>
      <c r="QFM18" s="191"/>
      <c r="QFW18" s="191"/>
      <c r="QGG18" s="191"/>
      <c r="QGQ18" s="191"/>
      <c r="QHA18" s="191"/>
      <c r="QHK18" s="191"/>
      <c r="QHU18" s="191"/>
      <c r="QIE18" s="191"/>
      <c r="QIO18" s="191"/>
      <c r="QIY18" s="191"/>
      <c r="QJI18" s="191"/>
      <c r="QJS18" s="191"/>
      <c r="QKC18" s="191"/>
      <c r="QKM18" s="191"/>
      <c r="QKW18" s="191"/>
      <c r="QLG18" s="191"/>
      <c r="QLQ18" s="191"/>
      <c r="QMA18" s="191"/>
      <c r="QMK18" s="191"/>
      <c r="QMU18" s="191"/>
      <c r="QNE18" s="191"/>
      <c r="QNO18" s="191"/>
      <c r="QNY18" s="191"/>
      <c r="QOI18" s="191"/>
      <c r="QOS18" s="191"/>
      <c r="QPC18" s="191"/>
      <c r="QPM18" s="191"/>
      <c r="QPW18" s="191"/>
      <c r="QQG18" s="191"/>
      <c r="QQQ18" s="191"/>
      <c r="QRA18" s="191"/>
      <c r="QRK18" s="191"/>
      <c r="QRU18" s="191"/>
      <c r="QSE18" s="191"/>
      <c r="QSO18" s="191"/>
      <c r="QSY18" s="191"/>
      <c r="QTI18" s="191"/>
      <c r="QTS18" s="191"/>
      <c r="QUC18" s="191"/>
      <c r="QUM18" s="191"/>
      <c r="QUW18" s="191"/>
      <c r="QVG18" s="191"/>
      <c r="QVQ18" s="191"/>
      <c r="QWA18" s="191"/>
      <c r="QWK18" s="191"/>
      <c r="QWU18" s="191"/>
      <c r="QXE18" s="191"/>
      <c r="QXO18" s="191"/>
      <c r="QXY18" s="191"/>
      <c r="QYI18" s="191"/>
      <c r="QYS18" s="191"/>
      <c r="QZC18" s="191"/>
      <c r="QZM18" s="191"/>
      <c r="QZW18" s="191"/>
      <c r="RAG18" s="191"/>
      <c r="RAQ18" s="191"/>
      <c r="RBA18" s="191"/>
      <c r="RBK18" s="191"/>
      <c r="RBU18" s="191"/>
      <c r="RCE18" s="191"/>
      <c r="RCO18" s="191"/>
      <c r="RCY18" s="191"/>
      <c r="RDI18" s="191"/>
      <c r="RDS18" s="191"/>
      <c r="REC18" s="191"/>
      <c r="REM18" s="191"/>
      <c r="REW18" s="191"/>
      <c r="RFG18" s="191"/>
      <c r="RFQ18" s="191"/>
      <c r="RGA18" s="191"/>
      <c r="RGK18" s="191"/>
      <c r="RGU18" s="191"/>
      <c r="RHE18" s="191"/>
      <c r="RHO18" s="191"/>
      <c r="RHY18" s="191"/>
      <c r="RII18" s="191"/>
      <c r="RIS18" s="191"/>
      <c r="RJC18" s="191"/>
      <c r="RJM18" s="191"/>
      <c r="RJW18" s="191"/>
      <c r="RKG18" s="191"/>
      <c r="RKQ18" s="191"/>
      <c r="RLA18" s="191"/>
      <c r="RLK18" s="191"/>
      <c r="RLU18" s="191"/>
      <c r="RME18" s="191"/>
      <c r="RMO18" s="191"/>
      <c r="RMY18" s="191"/>
      <c r="RNI18" s="191"/>
      <c r="RNS18" s="191"/>
      <c r="ROC18" s="191"/>
      <c r="ROM18" s="191"/>
      <c r="ROW18" s="191"/>
      <c r="RPG18" s="191"/>
      <c r="RPQ18" s="191"/>
      <c r="RQA18" s="191"/>
      <c r="RQK18" s="191"/>
      <c r="RQU18" s="191"/>
      <c r="RRE18" s="191"/>
      <c r="RRO18" s="191"/>
      <c r="RRY18" s="191"/>
      <c r="RSI18" s="191"/>
      <c r="RSS18" s="191"/>
      <c r="RTC18" s="191"/>
      <c r="RTM18" s="191"/>
      <c r="RTW18" s="191"/>
      <c r="RUG18" s="191"/>
      <c r="RUQ18" s="191"/>
      <c r="RVA18" s="191"/>
      <c r="RVK18" s="191"/>
      <c r="RVU18" s="191"/>
      <c r="RWE18" s="191"/>
      <c r="RWO18" s="191"/>
      <c r="RWY18" s="191"/>
      <c r="RXI18" s="191"/>
      <c r="RXS18" s="191"/>
      <c r="RYC18" s="191"/>
      <c r="RYM18" s="191"/>
      <c r="RYW18" s="191"/>
      <c r="RZG18" s="191"/>
      <c r="RZQ18" s="191"/>
      <c r="SAA18" s="191"/>
      <c r="SAK18" s="191"/>
      <c r="SAU18" s="191"/>
      <c r="SBE18" s="191"/>
      <c r="SBO18" s="191"/>
      <c r="SBY18" s="191"/>
      <c r="SCI18" s="191"/>
      <c r="SCS18" s="191"/>
      <c r="SDC18" s="191"/>
      <c r="SDM18" s="191"/>
      <c r="SDW18" s="191"/>
      <c r="SEG18" s="191"/>
      <c r="SEQ18" s="191"/>
      <c r="SFA18" s="191"/>
      <c r="SFK18" s="191"/>
      <c r="SFU18" s="191"/>
      <c r="SGE18" s="191"/>
      <c r="SGO18" s="191"/>
      <c r="SGY18" s="191"/>
      <c r="SHI18" s="191"/>
      <c r="SHS18" s="191"/>
      <c r="SIC18" s="191"/>
      <c r="SIM18" s="191"/>
      <c r="SIW18" s="191"/>
      <c r="SJG18" s="191"/>
      <c r="SJQ18" s="191"/>
      <c r="SKA18" s="191"/>
      <c r="SKK18" s="191"/>
      <c r="SKU18" s="191"/>
      <c r="SLE18" s="191"/>
      <c r="SLO18" s="191"/>
      <c r="SLY18" s="191"/>
      <c r="SMI18" s="191"/>
      <c r="SMS18" s="191"/>
      <c r="SNC18" s="191"/>
      <c r="SNM18" s="191"/>
      <c r="SNW18" s="191"/>
      <c r="SOG18" s="191"/>
      <c r="SOQ18" s="191"/>
      <c r="SPA18" s="191"/>
      <c r="SPK18" s="191"/>
      <c r="SPU18" s="191"/>
      <c r="SQE18" s="191"/>
      <c r="SQO18" s="191"/>
      <c r="SQY18" s="191"/>
      <c r="SRI18" s="191"/>
      <c r="SRS18" s="191"/>
      <c r="SSC18" s="191"/>
      <c r="SSM18" s="191"/>
      <c r="SSW18" s="191"/>
      <c r="STG18" s="191"/>
      <c r="STQ18" s="191"/>
      <c r="SUA18" s="191"/>
      <c r="SUK18" s="191"/>
      <c r="SUU18" s="191"/>
      <c r="SVE18" s="191"/>
      <c r="SVO18" s="191"/>
      <c r="SVY18" s="191"/>
      <c r="SWI18" s="191"/>
      <c r="SWS18" s="191"/>
      <c r="SXC18" s="191"/>
      <c r="SXM18" s="191"/>
      <c r="SXW18" s="191"/>
      <c r="SYG18" s="191"/>
      <c r="SYQ18" s="191"/>
      <c r="SZA18" s="191"/>
      <c r="SZK18" s="191"/>
      <c r="SZU18" s="191"/>
      <c r="TAE18" s="191"/>
      <c r="TAO18" s="191"/>
      <c r="TAY18" s="191"/>
      <c r="TBI18" s="191"/>
      <c r="TBS18" s="191"/>
      <c r="TCC18" s="191"/>
      <c r="TCM18" s="191"/>
      <c r="TCW18" s="191"/>
      <c r="TDG18" s="191"/>
      <c r="TDQ18" s="191"/>
      <c r="TEA18" s="191"/>
      <c r="TEK18" s="191"/>
      <c r="TEU18" s="191"/>
      <c r="TFE18" s="191"/>
      <c r="TFO18" s="191"/>
      <c r="TFY18" s="191"/>
      <c r="TGI18" s="191"/>
      <c r="TGS18" s="191"/>
      <c r="THC18" s="191"/>
      <c r="THM18" s="191"/>
      <c r="THW18" s="191"/>
      <c r="TIG18" s="191"/>
      <c r="TIQ18" s="191"/>
      <c r="TJA18" s="191"/>
      <c r="TJK18" s="191"/>
      <c r="TJU18" s="191"/>
      <c r="TKE18" s="191"/>
      <c r="TKO18" s="191"/>
      <c r="TKY18" s="191"/>
      <c r="TLI18" s="191"/>
      <c r="TLS18" s="191"/>
      <c r="TMC18" s="191"/>
      <c r="TMM18" s="191"/>
      <c r="TMW18" s="191"/>
      <c r="TNG18" s="191"/>
      <c r="TNQ18" s="191"/>
      <c r="TOA18" s="191"/>
      <c r="TOK18" s="191"/>
      <c r="TOU18" s="191"/>
      <c r="TPE18" s="191"/>
      <c r="TPO18" s="191"/>
      <c r="TPY18" s="191"/>
      <c r="TQI18" s="191"/>
      <c r="TQS18" s="191"/>
      <c r="TRC18" s="191"/>
      <c r="TRM18" s="191"/>
      <c r="TRW18" s="191"/>
      <c r="TSG18" s="191"/>
      <c r="TSQ18" s="191"/>
      <c r="TTA18" s="191"/>
      <c r="TTK18" s="191"/>
      <c r="TTU18" s="191"/>
      <c r="TUE18" s="191"/>
      <c r="TUO18" s="191"/>
      <c r="TUY18" s="191"/>
      <c r="TVI18" s="191"/>
      <c r="TVS18" s="191"/>
      <c r="TWC18" s="191"/>
      <c r="TWM18" s="191"/>
      <c r="TWW18" s="191"/>
      <c r="TXG18" s="191"/>
      <c r="TXQ18" s="191"/>
      <c r="TYA18" s="191"/>
      <c r="TYK18" s="191"/>
      <c r="TYU18" s="191"/>
      <c r="TZE18" s="191"/>
      <c r="TZO18" s="191"/>
      <c r="TZY18" s="191"/>
      <c r="UAI18" s="191"/>
      <c r="UAS18" s="191"/>
      <c r="UBC18" s="191"/>
      <c r="UBM18" s="191"/>
      <c r="UBW18" s="191"/>
      <c r="UCG18" s="191"/>
      <c r="UCQ18" s="191"/>
      <c r="UDA18" s="191"/>
      <c r="UDK18" s="191"/>
      <c r="UDU18" s="191"/>
      <c r="UEE18" s="191"/>
      <c r="UEO18" s="191"/>
      <c r="UEY18" s="191"/>
      <c r="UFI18" s="191"/>
      <c r="UFS18" s="191"/>
      <c r="UGC18" s="191"/>
      <c r="UGM18" s="191"/>
      <c r="UGW18" s="191"/>
      <c r="UHG18" s="191"/>
      <c r="UHQ18" s="191"/>
      <c r="UIA18" s="191"/>
      <c r="UIK18" s="191"/>
      <c r="UIU18" s="191"/>
      <c r="UJE18" s="191"/>
      <c r="UJO18" s="191"/>
      <c r="UJY18" s="191"/>
      <c r="UKI18" s="191"/>
      <c r="UKS18" s="191"/>
      <c r="ULC18" s="191"/>
      <c r="ULM18" s="191"/>
      <c r="ULW18" s="191"/>
      <c r="UMG18" s="191"/>
      <c r="UMQ18" s="191"/>
      <c r="UNA18" s="191"/>
      <c r="UNK18" s="191"/>
      <c r="UNU18" s="191"/>
      <c r="UOE18" s="191"/>
      <c r="UOO18" s="191"/>
      <c r="UOY18" s="191"/>
      <c r="UPI18" s="191"/>
      <c r="UPS18" s="191"/>
      <c r="UQC18" s="191"/>
      <c r="UQM18" s="191"/>
      <c r="UQW18" s="191"/>
      <c r="URG18" s="191"/>
      <c r="URQ18" s="191"/>
      <c r="USA18" s="191"/>
      <c r="USK18" s="191"/>
      <c r="USU18" s="191"/>
      <c r="UTE18" s="191"/>
      <c r="UTO18" s="191"/>
      <c r="UTY18" s="191"/>
      <c r="UUI18" s="191"/>
      <c r="UUS18" s="191"/>
      <c r="UVC18" s="191"/>
      <c r="UVM18" s="191"/>
      <c r="UVW18" s="191"/>
      <c r="UWG18" s="191"/>
      <c r="UWQ18" s="191"/>
      <c r="UXA18" s="191"/>
      <c r="UXK18" s="191"/>
      <c r="UXU18" s="191"/>
      <c r="UYE18" s="191"/>
      <c r="UYO18" s="191"/>
      <c r="UYY18" s="191"/>
      <c r="UZI18" s="191"/>
      <c r="UZS18" s="191"/>
      <c r="VAC18" s="191"/>
      <c r="VAM18" s="191"/>
      <c r="VAW18" s="191"/>
      <c r="VBG18" s="191"/>
      <c r="VBQ18" s="191"/>
      <c r="VCA18" s="191"/>
      <c r="VCK18" s="191"/>
      <c r="VCU18" s="191"/>
      <c r="VDE18" s="191"/>
      <c r="VDO18" s="191"/>
      <c r="VDY18" s="191"/>
      <c r="VEI18" s="191"/>
      <c r="VES18" s="191"/>
      <c r="VFC18" s="191"/>
      <c r="VFM18" s="191"/>
      <c r="VFW18" s="191"/>
      <c r="VGG18" s="191"/>
      <c r="VGQ18" s="191"/>
      <c r="VHA18" s="191"/>
      <c r="VHK18" s="191"/>
      <c r="VHU18" s="191"/>
      <c r="VIE18" s="191"/>
      <c r="VIO18" s="191"/>
      <c r="VIY18" s="191"/>
      <c r="VJI18" s="191"/>
      <c r="VJS18" s="191"/>
      <c r="VKC18" s="191"/>
      <c r="VKM18" s="191"/>
      <c r="VKW18" s="191"/>
      <c r="VLG18" s="191"/>
      <c r="VLQ18" s="191"/>
      <c r="VMA18" s="191"/>
      <c r="VMK18" s="191"/>
      <c r="VMU18" s="191"/>
      <c r="VNE18" s="191"/>
      <c r="VNO18" s="191"/>
      <c r="VNY18" s="191"/>
      <c r="VOI18" s="191"/>
      <c r="VOS18" s="191"/>
      <c r="VPC18" s="191"/>
      <c r="VPM18" s="191"/>
      <c r="VPW18" s="191"/>
      <c r="VQG18" s="191"/>
      <c r="VQQ18" s="191"/>
      <c r="VRA18" s="191"/>
      <c r="VRK18" s="191"/>
      <c r="VRU18" s="191"/>
      <c r="VSE18" s="191"/>
      <c r="VSO18" s="191"/>
      <c r="VSY18" s="191"/>
      <c r="VTI18" s="191"/>
      <c r="VTS18" s="191"/>
      <c r="VUC18" s="191"/>
      <c r="VUM18" s="191"/>
      <c r="VUW18" s="191"/>
      <c r="VVG18" s="191"/>
      <c r="VVQ18" s="191"/>
      <c r="VWA18" s="191"/>
      <c r="VWK18" s="191"/>
      <c r="VWU18" s="191"/>
      <c r="VXE18" s="191"/>
      <c r="VXO18" s="191"/>
      <c r="VXY18" s="191"/>
      <c r="VYI18" s="191"/>
      <c r="VYS18" s="191"/>
      <c r="VZC18" s="191"/>
      <c r="VZM18" s="191"/>
      <c r="VZW18" s="191"/>
      <c r="WAG18" s="191"/>
      <c r="WAQ18" s="191"/>
      <c r="WBA18" s="191"/>
      <c r="WBK18" s="191"/>
      <c r="WBU18" s="191"/>
      <c r="WCE18" s="191"/>
      <c r="WCO18" s="191"/>
      <c r="WCY18" s="191"/>
      <c r="WDI18" s="191"/>
      <c r="WDS18" s="191"/>
      <c r="WEC18" s="191"/>
      <c r="WEM18" s="191"/>
      <c r="WEW18" s="191"/>
      <c r="WFG18" s="191"/>
      <c r="WFQ18" s="191"/>
      <c r="WGA18" s="191"/>
      <c r="WGK18" s="191"/>
      <c r="WGU18" s="191"/>
      <c r="WHE18" s="191"/>
      <c r="WHO18" s="191"/>
      <c r="WHY18" s="191"/>
      <c r="WII18" s="191"/>
      <c r="WIS18" s="191"/>
      <c r="WJC18" s="191"/>
      <c r="WJM18" s="191"/>
      <c r="WJW18" s="191"/>
      <c r="WKG18" s="191"/>
      <c r="WKQ18" s="191"/>
      <c r="WLA18" s="191"/>
      <c r="WLK18" s="191"/>
      <c r="WLU18" s="191"/>
      <c r="WME18" s="191"/>
      <c r="WMO18" s="191"/>
      <c r="WMY18" s="191"/>
      <c r="WNI18" s="191"/>
      <c r="WNS18" s="191"/>
      <c r="WOC18" s="191"/>
      <c r="WOM18" s="191"/>
      <c r="WOW18" s="191"/>
      <c r="WPG18" s="191"/>
      <c r="WPQ18" s="191"/>
      <c r="WQA18" s="191"/>
      <c r="WQK18" s="191"/>
      <c r="WQU18" s="191"/>
      <c r="WRE18" s="191"/>
      <c r="WRO18" s="191"/>
      <c r="WRY18" s="191"/>
      <c r="WSI18" s="191"/>
      <c r="WSS18" s="191"/>
      <c r="WTC18" s="191"/>
      <c r="WTM18" s="191"/>
      <c r="WTW18" s="191"/>
      <c r="WUG18" s="191"/>
      <c r="WUQ18" s="191"/>
      <c r="WVA18" s="191"/>
      <c r="WVK18" s="191"/>
      <c r="WVU18" s="191"/>
      <c r="WWE18" s="191"/>
      <c r="WWO18" s="191"/>
      <c r="WWY18" s="191"/>
      <c r="WXI18" s="191"/>
      <c r="WXS18" s="191"/>
      <c r="WYC18" s="191"/>
      <c r="WYM18" s="191"/>
      <c r="WYW18" s="191"/>
      <c r="WZG18" s="191"/>
      <c r="WZQ18" s="191"/>
      <c r="XAA18" s="191"/>
      <c r="XAK18" s="191"/>
      <c r="XAU18" s="191"/>
      <c r="XBE18" s="191"/>
      <c r="XBO18" s="191"/>
      <c r="XBY18" s="191"/>
      <c r="XCI18" s="191"/>
      <c r="XCS18" s="191"/>
      <c r="XDC18" s="191"/>
      <c r="XDM18" s="191"/>
      <c r="XDW18" s="191"/>
      <c r="XEG18" s="191"/>
      <c r="XEQ18" s="191"/>
      <c r="XFA18" s="191"/>
    </row>
    <row r="19" s="445" customFormat="1" ht="13.2" spans="1:16381">
      <c r="A19" s="191" t="s">
        <v>60</v>
      </c>
      <c r="B19" s="445">
        <v>2025</v>
      </c>
      <c r="C19" s="668" t="s">
        <v>831</v>
      </c>
      <c r="D19" s="445">
        <v>79.58</v>
      </c>
      <c r="E19" s="445">
        <v>7581.04</v>
      </c>
      <c r="F19" s="445">
        <v>24.99</v>
      </c>
      <c r="G19" s="445">
        <v>-291.86</v>
      </c>
      <c r="H19" s="445">
        <v>178.78</v>
      </c>
      <c r="I19" s="445">
        <v>0</v>
      </c>
      <c r="J19" s="445">
        <v>-88.09</v>
      </c>
      <c r="K19" s="191"/>
      <c r="U19" s="191"/>
      <c r="AE19" s="191"/>
      <c r="AO19" s="191"/>
      <c r="AY19" s="191"/>
      <c r="BI19" s="191"/>
      <c r="BS19" s="191"/>
      <c r="CC19" s="191"/>
      <c r="CM19" s="191"/>
      <c r="CW19" s="191"/>
      <c r="DG19" s="191"/>
      <c r="DQ19" s="191"/>
      <c r="EA19" s="191"/>
      <c r="EK19" s="191"/>
      <c r="EU19" s="191"/>
      <c r="FE19" s="191"/>
      <c r="FO19" s="191"/>
      <c r="FY19" s="191"/>
      <c r="GI19" s="191"/>
      <c r="GS19" s="191"/>
      <c r="HC19" s="191"/>
      <c r="HM19" s="191"/>
      <c r="HW19" s="191"/>
      <c r="IG19" s="191"/>
      <c r="IQ19" s="191"/>
      <c r="JA19" s="191"/>
      <c r="JK19" s="191"/>
      <c r="JU19" s="191"/>
      <c r="KE19" s="191"/>
      <c r="KO19" s="191"/>
      <c r="KY19" s="191"/>
      <c r="LI19" s="191"/>
      <c r="LS19" s="191"/>
      <c r="MC19" s="191"/>
      <c r="MM19" s="191"/>
      <c r="MW19" s="191"/>
      <c r="NG19" s="191"/>
      <c r="NQ19" s="191"/>
      <c r="OA19" s="191"/>
      <c r="OK19" s="191"/>
      <c r="OU19" s="191"/>
      <c r="PE19" s="191"/>
      <c r="PO19" s="191"/>
      <c r="PY19" s="191"/>
      <c r="QI19" s="191"/>
      <c r="QS19" s="191"/>
      <c r="RC19" s="191"/>
      <c r="RM19" s="191"/>
      <c r="RW19" s="191"/>
      <c r="SG19" s="191"/>
      <c r="SQ19" s="191"/>
      <c r="TA19" s="191"/>
      <c r="TK19" s="191"/>
      <c r="TU19" s="191"/>
      <c r="UE19" s="191"/>
      <c r="UO19" s="191"/>
      <c r="UY19" s="191"/>
      <c r="VI19" s="191"/>
      <c r="VS19" s="191"/>
      <c r="WC19" s="191"/>
      <c r="WM19" s="191"/>
      <c r="WW19" s="191"/>
      <c r="XG19" s="191"/>
      <c r="XQ19" s="191"/>
      <c r="YA19" s="191"/>
      <c r="YK19" s="191"/>
      <c r="YU19" s="191"/>
      <c r="ZE19" s="191"/>
      <c r="ZO19" s="191"/>
      <c r="ZY19" s="191"/>
      <c r="AAI19" s="191"/>
      <c r="AAS19" s="191"/>
      <c r="ABC19" s="191"/>
      <c r="ABM19" s="191"/>
      <c r="ABW19" s="191"/>
      <c r="ACG19" s="191"/>
      <c r="ACQ19" s="191"/>
      <c r="ADA19" s="191"/>
      <c r="ADK19" s="191"/>
      <c r="ADU19" s="191"/>
      <c r="AEE19" s="191"/>
      <c r="AEO19" s="191"/>
      <c r="AEY19" s="191"/>
      <c r="AFI19" s="191"/>
      <c r="AFS19" s="191"/>
      <c r="AGC19" s="191"/>
      <c r="AGM19" s="191"/>
      <c r="AGW19" s="191"/>
      <c r="AHG19" s="191"/>
      <c r="AHQ19" s="191"/>
      <c r="AIA19" s="191"/>
      <c r="AIK19" s="191"/>
      <c r="AIU19" s="191"/>
      <c r="AJE19" s="191"/>
      <c r="AJO19" s="191"/>
      <c r="AJY19" s="191"/>
      <c r="AKI19" s="191"/>
      <c r="AKS19" s="191"/>
      <c r="ALC19" s="191"/>
      <c r="ALM19" s="191"/>
      <c r="ALW19" s="191"/>
      <c r="AMG19" s="191"/>
      <c r="AMQ19" s="191"/>
      <c r="ANA19" s="191"/>
      <c r="ANK19" s="191"/>
      <c r="ANU19" s="191"/>
      <c r="AOE19" s="191"/>
      <c r="AOO19" s="191"/>
      <c r="AOY19" s="191"/>
      <c r="API19" s="191"/>
      <c r="APS19" s="191"/>
      <c r="AQC19" s="191"/>
      <c r="AQM19" s="191"/>
      <c r="AQW19" s="191"/>
      <c r="ARG19" s="191"/>
      <c r="ARQ19" s="191"/>
      <c r="ASA19" s="191"/>
      <c r="ASK19" s="191"/>
      <c r="ASU19" s="191"/>
      <c r="ATE19" s="191"/>
      <c r="ATO19" s="191"/>
      <c r="ATY19" s="191"/>
      <c r="AUI19" s="191"/>
      <c r="AUS19" s="191"/>
      <c r="AVC19" s="191"/>
      <c r="AVM19" s="191"/>
      <c r="AVW19" s="191"/>
      <c r="AWG19" s="191"/>
      <c r="AWQ19" s="191"/>
      <c r="AXA19" s="191"/>
      <c r="AXK19" s="191"/>
      <c r="AXU19" s="191"/>
      <c r="AYE19" s="191"/>
      <c r="AYO19" s="191"/>
      <c r="AYY19" s="191"/>
      <c r="AZI19" s="191"/>
      <c r="AZS19" s="191"/>
      <c r="BAC19" s="191"/>
      <c r="BAM19" s="191"/>
      <c r="BAW19" s="191"/>
      <c r="BBG19" s="191"/>
      <c r="BBQ19" s="191"/>
      <c r="BCA19" s="191"/>
      <c r="BCK19" s="191"/>
      <c r="BCU19" s="191"/>
      <c r="BDE19" s="191"/>
      <c r="BDO19" s="191"/>
      <c r="BDY19" s="191"/>
      <c r="BEI19" s="191"/>
      <c r="BES19" s="191"/>
      <c r="BFC19" s="191"/>
      <c r="BFM19" s="191"/>
      <c r="BFW19" s="191"/>
      <c r="BGG19" s="191"/>
      <c r="BGQ19" s="191"/>
      <c r="BHA19" s="191"/>
      <c r="BHK19" s="191"/>
      <c r="BHU19" s="191"/>
      <c r="BIE19" s="191"/>
      <c r="BIO19" s="191"/>
      <c r="BIY19" s="191"/>
      <c r="BJI19" s="191"/>
      <c r="BJS19" s="191"/>
      <c r="BKC19" s="191"/>
      <c r="BKM19" s="191"/>
      <c r="BKW19" s="191"/>
      <c r="BLG19" s="191"/>
      <c r="BLQ19" s="191"/>
      <c r="BMA19" s="191"/>
      <c r="BMK19" s="191"/>
      <c r="BMU19" s="191"/>
      <c r="BNE19" s="191"/>
      <c r="BNO19" s="191"/>
      <c r="BNY19" s="191"/>
      <c r="BOI19" s="191"/>
      <c r="BOS19" s="191"/>
      <c r="BPC19" s="191"/>
      <c r="BPM19" s="191"/>
      <c r="BPW19" s="191"/>
      <c r="BQG19" s="191"/>
      <c r="BQQ19" s="191"/>
      <c r="BRA19" s="191"/>
      <c r="BRK19" s="191"/>
      <c r="BRU19" s="191"/>
      <c r="BSE19" s="191"/>
      <c r="BSO19" s="191"/>
      <c r="BSY19" s="191"/>
      <c r="BTI19" s="191"/>
      <c r="BTS19" s="191"/>
      <c r="BUC19" s="191"/>
      <c r="BUM19" s="191"/>
      <c r="BUW19" s="191"/>
      <c r="BVG19" s="191"/>
      <c r="BVQ19" s="191"/>
      <c r="BWA19" s="191"/>
      <c r="BWK19" s="191"/>
      <c r="BWU19" s="191"/>
      <c r="BXE19" s="191"/>
      <c r="BXO19" s="191"/>
      <c r="BXY19" s="191"/>
      <c r="BYI19" s="191"/>
      <c r="BYS19" s="191"/>
      <c r="BZC19" s="191"/>
      <c r="BZM19" s="191"/>
      <c r="BZW19" s="191"/>
      <c r="CAG19" s="191"/>
      <c r="CAQ19" s="191"/>
      <c r="CBA19" s="191"/>
      <c r="CBK19" s="191"/>
      <c r="CBU19" s="191"/>
      <c r="CCE19" s="191"/>
      <c r="CCO19" s="191"/>
      <c r="CCY19" s="191"/>
      <c r="CDI19" s="191"/>
      <c r="CDS19" s="191"/>
      <c r="CEC19" s="191"/>
      <c r="CEM19" s="191"/>
      <c r="CEW19" s="191"/>
      <c r="CFG19" s="191"/>
      <c r="CFQ19" s="191"/>
      <c r="CGA19" s="191"/>
      <c r="CGK19" s="191"/>
      <c r="CGU19" s="191"/>
      <c r="CHE19" s="191"/>
      <c r="CHO19" s="191"/>
      <c r="CHY19" s="191"/>
      <c r="CII19" s="191"/>
      <c r="CIS19" s="191"/>
      <c r="CJC19" s="191"/>
      <c r="CJM19" s="191"/>
      <c r="CJW19" s="191"/>
      <c r="CKG19" s="191"/>
      <c r="CKQ19" s="191"/>
      <c r="CLA19" s="191"/>
      <c r="CLK19" s="191"/>
      <c r="CLU19" s="191"/>
      <c r="CME19" s="191"/>
      <c r="CMO19" s="191"/>
      <c r="CMY19" s="191"/>
      <c r="CNI19" s="191"/>
      <c r="CNS19" s="191"/>
      <c r="COC19" s="191"/>
      <c r="COM19" s="191"/>
      <c r="COW19" s="191"/>
      <c r="CPG19" s="191"/>
      <c r="CPQ19" s="191"/>
      <c r="CQA19" s="191"/>
      <c r="CQK19" s="191"/>
      <c r="CQU19" s="191"/>
      <c r="CRE19" s="191"/>
      <c r="CRO19" s="191"/>
      <c r="CRY19" s="191"/>
      <c r="CSI19" s="191"/>
      <c r="CSS19" s="191"/>
      <c r="CTC19" s="191"/>
      <c r="CTM19" s="191"/>
      <c r="CTW19" s="191"/>
      <c r="CUG19" s="191"/>
      <c r="CUQ19" s="191"/>
      <c r="CVA19" s="191"/>
      <c r="CVK19" s="191"/>
      <c r="CVU19" s="191"/>
      <c r="CWE19" s="191"/>
      <c r="CWO19" s="191"/>
      <c r="CWY19" s="191"/>
      <c r="CXI19" s="191"/>
      <c r="CXS19" s="191"/>
      <c r="CYC19" s="191"/>
      <c r="CYM19" s="191"/>
      <c r="CYW19" s="191"/>
      <c r="CZG19" s="191"/>
      <c r="CZQ19" s="191"/>
      <c r="DAA19" s="191"/>
      <c r="DAK19" s="191"/>
      <c r="DAU19" s="191"/>
      <c r="DBE19" s="191"/>
      <c r="DBO19" s="191"/>
      <c r="DBY19" s="191"/>
      <c r="DCI19" s="191"/>
      <c r="DCS19" s="191"/>
      <c r="DDC19" s="191"/>
      <c r="DDM19" s="191"/>
      <c r="DDW19" s="191"/>
      <c r="DEG19" s="191"/>
      <c r="DEQ19" s="191"/>
      <c r="DFA19" s="191"/>
      <c r="DFK19" s="191"/>
      <c r="DFU19" s="191"/>
      <c r="DGE19" s="191"/>
      <c r="DGO19" s="191"/>
      <c r="DGY19" s="191"/>
      <c r="DHI19" s="191"/>
      <c r="DHS19" s="191"/>
      <c r="DIC19" s="191"/>
      <c r="DIM19" s="191"/>
      <c r="DIW19" s="191"/>
      <c r="DJG19" s="191"/>
      <c r="DJQ19" s="191"/>
      <c r="DKA19" s="191"/>
      <c r="DKK19" s="191"/>
      <c r="DKU19" s="191"/>
      <c r="DLE19" s="191"/>
      <c r="DLO19" s="191"/>
      <c r="DLY19" s="191"/>
      <c r="DMI19" s="191"/>
      <c r="DMS19" s="191"/>
      <c r="DNC19" s="191"/>
      <c r="DNM19" s="191"/>
      <c r="DNW19" s="191"/>
      <c r="DOG19" s="191"/>
      <c r="DOQ19" s="191"/>
      <c r="DPA19" s="191"/>
      <c r="DPK19" s="191"/>
      <c r="DPU19" s="191"/>
      <c r="DQE19" s="191"/>
      <c r="DQO19" s="191"/>
      <c r="DQY19" s="191"/>
      <c r="DRI19" s="191"/>
      <c r="DRS19" s="191"/>
      <c r="DSC19" s="191"/>
      <c r="DSM19" s="191"/>
      <c r="DSW19" s="191"/>
      <c r="DTG19" s="191"/>
      <c r="DTQ19" s="191"/>
      <c r="DUA19" s="191"/>
      <c r="DUK19" s="191"/>
      <c r="DUU19" s="191"/>
      <c r="DVE19" s="191"/>
      <c r="DVO19" s="191"/>
      <c r="DVY19" s="191"/>
      <c r="DWI19" s="191"/>
      <c r="DWS19" s="191"/>
      <c r="DXC19" s="191"/>
      <c r="DXM19" s="191"/>
      <c r="DXW19" s="191"/>
      <c r="DYG19" s="191"/>
      <c r="DYQ19" s="191"/>
      <c r="DZA19" s="191"/>
      <c r="DZK19" s="191"/>
      <c r="DZU19" s="191"/>
      <c r="EAE19" s="191"/>
      <c r="EAO19" s="191"/>
      <c r="EAY19" s="191"/>
      <c r="EBI19" s="191"/>
      <c r="EBS19" s="191"/>
      <c r="ECC19" s="191"/>
      <c r="ECM19" s="191"/>
      <c r="ECW19" s="191"/>
      <c r="EDG19" s="191"/>
      <c r="EDQ19" s="191"/>
      <c r="EEA19" s="191"/>
      <c r="EEK19" s="191"/>
      <c r="EEU19" s="191"/>
      <c r="EFE19" s="191"/>
      <c r="EFO19" s="191"/>
      <c r="EFY19" s="191"/>
      <c r="EGI19" s="191"/>
      <c r="EGS19" s="191"/>
      <c r="EHC19" s="191"/>
      <c r="EHM19" s="191"/>
      <c r="EHW19" s="191"/>
      <c r="EIG19" s="191"/>
      <c r="EIQ19" s="191"/>
      <c r="EJA19" s="191"/>
      <c r="EJK19" s="191"/>
      <c r="EJU19" s="191"/>
      <c r="EKE19" s="191"/>
      <c r="EKO19" s="191"/>
      <c r="EKY19" s="191"/>
      <c r="ELI19" s="191"/>
      <c r="ELS19" s="191"/>
      <c r="EMC19" s="191"/>
      <c r="EMM19" s="191"/>
      <c r="EMW19" s="191"/>
      <c r="ENG19" s="191"/>
      <c r="ENQ19" s="191"/>
      <c r="EOA19" s="191"/>
      <c r="EOK19" s="191"/>
      <c r="EOU19" s="191"/>
      <c r="EPE19" s="191"/>
      <c r="EPO19" s="191"/>
      <c r="EPY19" s="191"/>
      <c r="EQI19" s="191"/>
      <c r="EQS19" s="191"/>
      <c r="ERC19" s="191"/>
      <c r="ERM19" s="191"/>
      <c r="ERW19" s="191"/>
      <c r="ESG19" s="191"/>
      <c r="ESQ19" s="191"/>
      <c r="ETA19" s="191"/>
      <c r="ETK19" s="191"/>
      <c r="ETU19" s="191"/>
      <c r="EUE19" s="191"/>
      <c r="EUO19" s="191"/>
      <c r="EUY19" s="191"/>
      <c r="EVI19" s="191"/>
      <c r="EVS19" s="191"/>
      <c r="EWC19" s="191"/>
      <c r="EWM19" s="191"/>
      <c r="EWW19" s="191"/>
      <c r="EXG19" s="191"/>
      <c r="EXQ19" s="191"/>
      <c r="EYA19" s="191"/>
      <c r="EYK19" s="191"/>
      <c r="EYU19" s="191"/>
      <c r="EZE19" s="191"/>
      <c r="EZO19" s="191"/>
      <c r="EZY19" s="191"/>
      <c r="FAI19" s="191"/>
      <c r="FAS19" s="191"/>
      <c r="FBC19" s="191"/>
      <c r="FBM19" s="191"/>
      <c r="FBW19" s="191"/>
      <c r="FCG19" s="191"/>
      <c r="FCQ19" s="191"/>
      <c r="FDA19" s="191"/>
      <c r="FDK19" s="191"/>
      <c r="FDU19" s="191"/>
      <c r="FEE19" s="191"/>
      <c r="FEO19" s="191"/>
      <c r="FEY19" s="191"/>
      <c r="FFI19" s="191"/>
      <c r="FFS19" s="191"/>
      <c r="FGC19" s="191"/>
      <c r="FGM19" s="191"/>
      <c r="FGW19" s="191"/>
      <c r="FHG19" s="191"/>
      <c r="FHQ19" s="191"/>
      <c r="FIA19" s="191"/>
      <c r="FIK19" s="191"/>
      <c r="FIU19" s="191"/>
      <c r="FJE19" s="191"/>
      <c r="FJO19" s="191"/>
      <c r="FJY19" s="191"/>
      <c r="FKI19" s="191"/>
      <c r="FKS19" s="191"/>
      <c r="FLC19" s="191"/>
      <c r="FLM19" s="191"/>
      <c r="FLW19" s="191"/>
      <c r="FMG19" s="191"/>
      <c r="FMQ19" s="191"/>
      <c r="FNA19" s="191"/>
      <c r="FNK19" s="191"/>
      <c r="FNU19" s="191"/>
      <c r="FOE19" s="191"/>
      <c r="FOO19" s="191"/>
      <c r="FOY19" s="191"/>
      <c r="FPI19" s="191"/>
      <c r="FPS19" s="191"/>
      <c r="FQC19" s="191"/>
      <c r="FQM19" s="191"/>
      <c r="FQW19" s="191"/>
      <c r="FRG19" s="191"/>
      <c r="FRQ19" s="191"/>
      <c r="FSA19" s="191"/>
      <c r="FSK19" s="191"/>
      <c r="FSU19" s="191"/>
      <c r="FTE19" s="191"/>
      <c r="FTO19" s="191"/>
      <c r="FTY19" s="191"/>
      <c r="FUI19" s="191"/>
      <c r="FUS19" s="191"/>
      <c r="FVC19" s="191"/>
      <c r="FVM19" s="191"/>
      <c r="FVW19" s="191"/>
      <c r="FWG19" s="191"/>
      <c r="FWQ19" s="191"/>
      <c r="FXA19" s="191"/>
      <c r="FXK19" s="191"/>
      <c r="FXU19" s="191"/>
      <c r="FYE19" s="191"/>
      <c r="FYO19" s="191"/>
      <c r="FYY19" s="191"/>
      <c r="FZI19" s="191"/>
      <c r="FZS19" s="191"/>
      <c r="GAC19" s="191"/>
      <c r="GAM19" s="191"/>
      <c r="GAW19" s="191"/>
      <c r="GBG19" s="191"/>
      <c r="GBQ19" s="191"/>
      <c r="GCA19" s="191"/>
      <c r="GCK19" s="191"/>
      <c r="GCU19" s="191"/>
      <c r="GDE19" s="191"/>
      <c r="GDO19" s="191"/>
      <c r="GDY19" s="191"/>
      <c r="GEI19" s="191"/>
      <c r="GES19" s="191"/>
      <c r="GFC19" s="191"/>
      <c r="GFM19" s="191"/>
      <c r="GFW19" s="191"/>
      <c r="GGG19" s="191"/>
      <c r="GGQ19" s="191"/>
      <c r="GHA19" s="191"/>
      <c r="GHK19" s="191"/>
      <c r="GHU19" s="191"/>
      <c r="GIE19" s="191"/>
      <c r="GIO19" s="191"/>
      <c r="GIY19" s="191"/>
      <c r="GJI19" s="191"/>
      <c r="GJS19" s="191"/>
      <c r="GKC19" s="191"/>
      <c r="GKM19" s="191"/>
      <c r="GKW19" s="191"/>
      <c r="GLG19" s="191"/>
      <c r="GLQ19" s="191"/>
      <c r="GMA19" s="191"/>
      <c r="GMK19" s="191"/>
      <c r="GMU19" s="191"/>
      <c r="GNE19" s="191"/>
      <c r="GNO19" s="191"/>
      <c r="GNY19" s="191"/>
      <c r="GOI19" s="191"/>
      <c r="GOS19" s="191"/>
      <c r="GPC19" s="191"/>
      <c r="GPM19" s="191"/>
      <c r="GPW19" s="191"/>
      <c r="GQG19" s="191"/>
      <c r="GQQ19" s="191"/>
      <c r="GRA19" s="191"/>
      <c r="GRK19" s="191"/>
      <c r="GRU19" s="191"/>
      <c r="GSE19" s="191"/>
      <c r="GSO19" s="191"/>
      <c r="GSY19" s="191"/>
      <c r="GTI19" s="191"/>
      <c r="GTS19" s="191"/>
      <c r="GUC19" s="191"/>
      <c r="GUM19" s="191"/>
      <c r="GUW19" s="191"/>
      <c r="GVG19" s="191"/>
      <c r="GVQ19" s="191"/>
      <c r="GWA19" s="191"/>
      <c r="GWK19" s="191"/>
      <c r="GWU19" s="191"/>
      <c r="GXE19" s="191"/>
      <c r="GXO19" s="191"/>
      <c r="GXY19" s="191"/>
      <c r="GYI19" s="191"/>
      <c r="GYS19" s="191"/>
      <c r="GZC19" s="191"/>
      <c r="GZM19" s="191"/>
      <c r="GZW19" s="191"/>
      <c r="HAG19" s="191"/>
      <c r="HAQ19" s="191"/>
      <c r="HBA19" s="191"/>
      <c r="HBK19" s="191"/>
      <c r="HBU19" s="191"/>
      <c r="HCE19" s="191"/>
      <c r="HCO19" s="191"/>
      <c r="HCY19" s="191"/>
      <c r="HDI19" s="191"/>
      <c r="HDS19" s="191"/>
      <c r="HEC19" s="191"/>
      <c r="HEM19" s="191"/>
      <c r="HEW19" s="191"/>
      <c r="HFG19" s="191"/>
      <c r="HFQ19" s="191"/>
      <c r="HGA19" s="191"/>
      <c r="HGK19" s="191"/>
      <c r="HGU19" s="191"/>
      <c r="HHE19" s="191"/>
      <c r="HHO19" s="191"/>
      <c r="HHY19" s="191"/>
      <c r="HII19" s="191"/>
      <c r="HIS19" s="191"/>
      <c r="HJC19" s="191"/>
      <c r="HJM19" s="191"/>
      <c r="HJW19" s="191"/>
      <c r="HKG19" s="191"/>
      <c r="HKQ19" s="191"/>
      <c r="HLA19" s="191"/>
      <c r="HLK19" s="191"/>
      <c r="HLU19" s="191"/>
      <c r="HME19" s="191"/>
      <c r="HMO19" s="191"/>
      <c r="HMY19" s="191"/>
      <c r="HNI19" s="191"/>
      <c r="HNS19" s="191"/>
      <c r="HOC19" s="191"/>
      <c r="HOM19" s="191"/>
      <c r="HOW19" s="191"/>
      <c r="HPG19" s="191"/>
      <c r="HPQ19" s="191"/>
      <c r="HQA19" s="191"/>
      <c r="HQK19" s="191"/>
      <c r="HQU19" s="191"/>
      <c r="HRE19" s="191"/>
      <c r="HRO19" s="191"/>
      <c r="HRY19" s="191"/>
      <c r="HSI19" s="191"/>
      <c r="HSS19" s="191"/>
      <c r="HTC19" s="191"/>
      <c r="HTM19" s="191"/>
      <c r="HTW19" s="191"/>
      <c r="HUG19" s="191"/>
      <c r="HUQ19" s="191"/>
      <c r="HVA19" s="191"/>
      <c r="HVK19" s="191"/>
      <c r="HVU19" s="191"/>
      <c r="HWE19" s="191"/>
      <c r="HWO19" s="191"/>
      <c r="HWY19" s="191"/>
      <c r="HXI19" s="191"/>
      <c r="HXS19" s="191"/>
      <c r="HYC19" s="191"/>
      <c r="HYM19" s="191"/>
      <c r="HYW19" s="191"/>
      <c r="HZG19" s="191"/>
      <c r="HZQ19" s="191"/>
      <c r="IAA19" s="191"/>
      <c r="IAK19" s="191"/>
      <c r="IAU19" s="191"/>
      <c r="IBE19" s="191"/>
      <c r="IBO19" s="191"/>
      <c r="IBY19" s="191"/>
      <c r="ICI19" s="191"/>
      <c r="ICS19" s="191"/>
      <c r="IDC19" s="191"/>
      <c r="IDM19" s="191"/>
      <c r="IDW19" s="191"/>
      <c r="IEG19" s="191"/>
      <c r="IEQ19" s="191"/>
      <c r="IFA19" s="191"/>
      <c r="IFK19" s="191"/>
      <c r="IFU19" s="191"/>
      <c r="IGE19" s="191"/>
      <c r="IGO19" s="191"/>
      <c r="IGY19" s="191"/>
      <c r="IHI19" s="191"/>
      <c r="IHS19" s="191"/>
      <c r="IIC19" s="191"/>
      <c r="IIM19" s="191"/>
      <c r="IIW19" s="191"/>
      <c r="IJG19" s="191"/>
      <c r="IJQ19" s="191"/>
      <c r="IKA19" s="191"/>
      <c r="IKK19" s="191"/>
      <c r="IKU19" s="191"/>
      <c r="ILE19" s="191"/>
      <c r="ILO19" s="191"/>
      <c r="ILY19" s="191"/>
      <c r="IMI19" s="191"/>
      <c r="IMS19" s="191"/>
      <c r="INC19" s="191"/>
      <c r="INM19" s="191"/>
      <c r="INW19" s="191"/>
      <c r="IOG19" s="191"/>
      <c r="IOQ19" s="191"/>
      <c r="IPA19" s="191"/>
      <c r="IPK19" s="191"/>
      <c r="IPU19" s="191"/>
      <c r="IQE19" s="191"/>
      <c r="IQO19" s="191"/>
      <c r="IQY19" s="191"/>
      <c r="IRI19" s="191"/>
      <c r="IRS19" s="191"/>
      <c r="ISC19" s="191"/>
      <c r="ISM19" s="191"/>
      <c r="ISW19" s="191"/>
      <c r="ITG19" s="191"/>
      <c r="ITQ19" s="191"/>
      <c r="IUA19" s="191"/>
      <c r="IUK19" s="191"/>
      <c r="IUU19" s="191"/>
      <c r="IVE19" s="191"/>
      <c r="IVO19" s="191"/>
      <c r="IVY19" s="191"/>
      <c r="IWI19" s="191"/>
      <c r="IWS19" s="191"/>
      <c r="IXC19" s="191"/>
      <c r="IXM19" s="191"/>
      <c r="IXW19" s="191"/>
      <c r="IYG19" s="191"/>
      <c r="IYQ19" s="191"/>
      <c r="IZA19" s="191"/>
      <c r="IZK19" s="191"/>
      <c r="IZU19" s="191"/>
      <c r="JAE19" s="191"/>
      <c r="JAO19" s="191"/>
      <c r="JAY19" s="191"/>
      <c r="JBI19" s="191"/>
      <c r="JBS19" s="191"/>
      <c r="JCC19" s="191"/>
      <c r="JCM19" s="191"/>
      <c r="JCW19" s="191"/>
      <c r="JDG19" s="191"/>
      <c r="JDQ19" s="191"/>
      <c r="JEA19" s="191"/>
      <c r="JEK19" s="191"/>
      <c r="JEU19" s="191"/>
      <c r="JFE19" s="191"/>
      <c r="JFO19" s="191"/>
      <c r="JFY19" s="191"/>
      <c r="JGI19" s="191"/>
      <c r="JGS19" s="191"/>
      <c r="JHC19" s="191"/>
      <c r="JHM19" s="191"/>
      <c r="JHW19" s="191"/>
      <c r="JIG19" s="191"/>
      <c r="JIQ19" s="191"/>
      <c r="JJA19" s="191"/>
      <c r="JJK19" s="191"/>
      <c r="JJU19" s="191"/>
      <c r="JKE19" s="191"/>
      <c r="JKO19" s="191"/>
      <c r="JKY19" s="191"/>
      <c r="JLI19" s="191"/>
      <c r="JLS19" s="191"/>
      <c r="JMC19" s="191"/>
      <c r="JMM19" s="191"/>
      <c r="JMW19" s="191"/>
      <c r="JNG19" s="191"/>
      <c r="JNQ19" s="191"/>
      <c r="JOA19" s="191"/>
      <c r="JOK19" s="191"/>
      <c r="JOU19" s="191"/>
      <c r="JPE19" s="191"/>
      <c r="JPO19" s="191"/>
      <c r="JPY19" s="191"/>
      <c r="JQI19" s="191"/>
      <c r="JQS19" s="191"/>
      <c r="JRC19" s="191"/>
      <c r="JRM19" s="191"/>
      <c r="JRW19" s="191"/>
      <c r="JSG19" s="191"/>
      <c r="JSQ19" s="191"/>
      <c r="JTA19" s="191"/>
      <c r="JTK19" s="191"/>
      <c r="JTU19" s="191"/>
      <c r="JUE19" s="191"/>
      <c r="JUO19" s="191"/>
      <c r="JUY19" s="191"/>
      <c r="JVI19" s="191"/>
      <c r="JVS19" s="191"/>
      <c r="JWC19" s="191"/>
      <c r="JWM19" s="191"/>
      <c r="JWW19" s="191"/>
      <c r="JXG19" s="191"/>
      <c r="JXQ19" s="191"/>
      <c r="JYA19" s="191"/>
      <c r="JYK19" s="191"/>
      <c r="JYU19" s="191"/>
      <c r="JZE19" s="191"/>
      <c r="JZO19" s="191"/>
      <c r="JZY19" s="191"/>
      <c r="KAI19" s="191"/>
      <c r="KAS19" s="191"/>
      <c r="KBC19" s="191"/>
      <c r="KBM19" s="191"/>
      <c r="KBW19" s="191"/>
      <c r="KCG19" s="191"/>
      <c r="KCQ19" s="191"/>
      <c r="KDA19" s="191"/>
      <c r="KDK19" s="191"/>
      <c r="KDU19" s="191"/>
      <c r="KEE19" s="191"/>
      <c r="KEO19" s="191"/>
      <c r="KEY19" s="191"/>
      <c r="KFI19" s="191"/>
      <c r="KFS19" s="191"/>
      <c r="KGC19" s="191"/>
      <c r="KGM19" s="191"/>
      <c r="KGW19" s="191"/>
      <c r="KHG19" s="191"/>
      <c r="KHQ19" s="191"/>
      <c r="KIA19" s="191"/>
      <c r="KIK19" s="191"/>
      <c r="KIU19" s="191"/>
      <c r="KJE19" s="191"/>
      <c r="KJO19" s="191"/>
      <c r="KJY19" s="191"/>
      <c r="KKI19" s="191"/>
      <c r="KKS19" s="191"/>
      <c r="KLC19" s="191"/>
      <c r="KLM19" s="191"/>
      <c r="KLW19" s="191"/>
      <c r="KMG19" s="191"/>
      <c r="KMQ19" s="191"/>
      <c r="KNA19" s="191"/>
      <c r="KNK19" s="191"/>
      <c r="KNU19" s="191"/>
      <c r="KOE19" s="191"/>
      <c r="KOO19" s="191"/>
      <c r="KOY19" s="191"/>
      <c r="KPI19" s="191"/>
      <c r="KPS19" s="191"/>
      <c r="KQC19" s="191"/>
      <c r="KQM19" s="191"/>
      <c r="KQW19" s="191"/>
      <c r="KRG19" s="191"/>
      <c r="KRQ19" s="191"/>
      <c r="KSA19" s="191"/>
      <c r="KSK19" s="191"/>
      <c r="KSU19" s="191"/>
      <c r="KTE19" s="191"/>
      <c r="KTO19" s="191"/>
      <c r="KTY19" s="191"/>
      <c r="KUI19" s="191"/>
      <c r="KUS19" s="191"/>
      <c r="KVC19" s="191"/>
      <c r="KVM19" s="191"/>
      <c r="KVW19" s="191"/>
      <c r="KWG19" s="191"/>
      <c r="KWQ19" s="191"/>
      <c r="KXA19" s="191"/>
      <c r="KXK19" s="191"/>
      <c r="KXU19" s="191"/>
      <c r="KYE19" s="191"/>
      <c r="KYO19" s="191"/>
      <c r="KYY19" s="191"/>
      <c r="KZI19" s="191"/>
      <c r="KZS19" s="191"/>
      <c r="LAC19" s="191"/>
      <c r="LAM19" s="191"/>
      <c r="LAW19" s="191"/>
      <c r="LBG19" s="191"/>
      <c r="LBQ19" s="191"/>
      <c r="LCA19" s="191"/>
      <c r="LCK19" s="191"/>
      <c r="LCU19" s="191"/>
      <c r="LDE19" s="191"/>
      <c r="LDO19" s="191"/>
      <c r="LDY19" s="191"/>
      <c r="LEI19" s="191"/>
      <c r="LES19" s="191"/>
      <c r="LFC19" s="191"/>
      <c r="LFM19" s="191"/>
      <c r="LFW19" s="191"/>
      <c r="LGG19" s="191"/>
      <c r="LGQ19" s="191"/>
      <c r="LHA19" s="191"/>
      <c r="LHK19" s="191"/>
      <c r="LHU19" s="191"/>
      <c r="LIE19" s="191"/>
      <c r="LIO19" s="191"/>
      <c r="LIY19" s="191"/>
      <c r="LJI19" s="191"/>
      <c r="LJS19" s="191"/>
      <c r="LKC19" s="191"/>
      <c r="LKM19" s="191"/>
      <c r="LKW19" s="191"/>
      <c r="LLG19" s="191"/>
      <c r="LLQ19" s="191"/>
      <c r="LMA19" s="191"/>
      <c r="LMK19" s="191"/>
      <c r="LMU19" s="191"/>
      <c r="LNE19" s="191"/>
      <c r="LNO19" s="191"/>
      <c r="LNY19" s="191"/>
      <c r="LOI19" s="191"/>
      <c r="LOS19" s="191"/>
      <c r="LPC19" s="191"/>
      <c r="LPM19" s="191"/>
      <c r="LPW19" s="191"/>
      <c r="LQG19" s="191"/>
      <c r="LQQ19" s="191"/>
      <c r="LRA19" s="191"/>
      <c r="LRK19" s="191"/>
      <c r="LRU19" s="191"/>
      <c r="LSE19" s="191"/>
      <c r="LSO19" s="191"/>
      <c r="LSY19" s="191"/>
      <c r="LTI19" s="191"/>
      <c r="LTS19" s="191"/>
      <c r="LUC19" s="191"/>
      <c r="LUM19" s="191"/>
      <c r="LUW19" s="191"/>
      <c r="LVG19" s="191"/>
      <c r="LVQ19" s="191"/>
      <c r="LWA19" s="191"/>
      <c r="LWK19" s="191"/>
      <c r="LWU19" s="191"/>
      <c r="LXE19" s="191"/>
      <c r="LXO19" s="191"/>
      <c r="LXY19" s="191"/>
      <c r="LYI19" s="191"/>
      <c r="LYS19" s="191"/>
      <c r="LZC19" s="191"/>
      <c r="LZM19" s="191"/>
      <c r="LZW19" s="191"/>
      <c r="MAG19" s="191"/>
      <c r="MAQ19" s="191"/>
      <c r="MBA19" s="191"/>
      <c r="MBK19" s="191"/>
      <c r="MBU19" s="191"/>
      <c r="MCE19" s="191"/>
      <c r="MCO19" s="191"/>
      <c r="MCY19" s="191"/>
      <c r="MDI19" s="191"/>
      <c r="MDS19" s="191"/>
      <c r="MEC19" s="191"/>
      <c r="MEM19" s="191"/>
      <c r="MEW19" s="191"/>
      <c r="MFG19" s="191"/>
      <c r="MFQ19" s="191"/>
      <c r="MGA19" s="191"/>
      <c r="MGK19" s="191"/>
      <c r="MGU19" s="191"/>
      <c r="MHE19" s="191"/>
      <c r="MHO19" s="191"/>
      <c r="MHY19" s="191"/>
      <c r="MII19" s="191"/>
      <c r="MIS19" s="191"/>
      <c r="MJC19" s="191"/>
      <c r="MJM19" s="191"/>
      <c r="MJW19" s="191"/>
      <c r="MKG19" s="191"/>
      <c r="MKQ19" s="191"/>
      <c r="MLA19" s="191"/>
      <c r="MLK19" s="191"/>
      <c r="MLU19" s="191"/>
      <c r="MME19" s="191"/>
      <c r="MMO19" s="191"/>
      <c r="MMY19" s="191"/>
      <c r="MNI19" s="191"/>
      <c r="MNS19" s="191"/>
      <c r="MOC19" s="191"/>
      <c r="MOM19" s="191"/>
      <c r="MOW19" s="191"/>
      <c r="MPG19" s="191"/>
      <c r="MPQ19" s="191"/>
      <c r="MQA19" s="191"/>
      <c r="MQK19" s="191"/>
      <c r="MQU19" s="191"/>
      <c r="MRE19" s="191"/>
      <c r="MRO19" s="191"/>
      <c r="MRY19" s="191"/>
      <c r="MSI19" s="191"/>
      <c r="MSS19" s="191"/>
      <c r="MTC19" s="191"/>
      <c r="MTM19" s="191"/>
      <c r="MTW19" s="191"/>
      <c r="MUG19" s="191"/>
      <c r="MUQ19" s="191"/>
      <c r="MVA19" s="191"/>
      <c r="MVK19" s="191"/>
      <c r="MVU19" s="191"/>
      <c r="MWE19" s="191"/>
      <c r="MWO19" s="191"/>
      <c r="MWY19" s="191"/>
      <c r="MXI19" s="191"/>
      <c r="MXS19" s="191"/>
      <c r="MYC19" s="191"/>
      <c r="MYM19" s="191"/>
      <c r="MYW19" s="191"/>
      <c r="MZG19" s="191"/>
      <c r="MZQ19" s="191"/>
      <c r="NAA19" s="191"/>
      <c r="NAK19" s="191"/>
      <c r="NAU19" s="191"/>
      <c r="NBE19" s="191"/>
      <c r="NBO19" s="191"/>
      <c r="NBY19" s="191"/>
      <c r="NCI19" s="191"/>
      <c r="NCS19" s="191"/>
      <c r="NDC19" s="191"/>
      <c r="NDM19" s="191"/>
      <c r="NDW19" s="191"/>
      <c r="NEG19" s="191"/>
      <c r="NEQ19" s="191"/>
      <c r="NFA19" s="191"/>
      <c r="NFK19" s="191"/>
      <c r="NFU19" s="191"/>
      <c r="NGE19" s="191"/>
      <c r="NGO19" s="191"/>
      <c r="NGY19" s="191"/>
      <c r="NHI19" s="191"/>
      <c r="NHS19" s="191"/>
      <c r="NIC19" s="191"/>
      <c r="NIM19" s="191"/>
      <c r="NIW19" s="191"/>
      <c r="NJG19" s="191"/>
      <c r="NJQ19" s="191"/>
      <c r="NKA19" s="191"/>
      <c r="NKK19" s="191"/>
      <c r="NKU19" s="191"/>
      <c r="NLE19" s="191"/>
      <c r="NLO19" s="191"/>
      <c r="NLY19" s="191"/>
      <c r="NMI19" s="191"/>
      <c r="NMS19" s="191"/>
      <c r="NNC19" s="191"/>
      <c r="NNM19" s="191"/>
      <c r="NNW19" s="191"/>
      <c r="NOG19" s="191"/>
      <c r="NOQ19" s="191"/>
      <c r="NPA19" s="191"/>
      <c r="NPK19" s="191"/>
      <c r="NPU19" s="191"/>
      <c r="NQE19" s="191"/>
      <c r="NQO19" s="191"/>
      <c r="NQY19" s="191"/>
      <c r="NRI19" s="191"/>
      <c r="NRS19" s="191"/>
      <c r="NSC19" s="191"/>
      <c r="NSM19" s="191"/>
      <c r="NSW19" s="191"/>
      <c r="NTG19" s="191"/>
      <c r="NTQ19" s="191"/>
      <c r="NUA19" s="191"/>
      <c r="NUK19" s="191"/>
      <c r="NUU19" s="191"/>
      <c r="NVE19" s="191"/>
      <c r="NVO19" s="191"/>
      <c r="NVY19" s="191"/>
      <c r="NWI19" s="191"/>
      <c r="NWS19" s="191"/>
      <c r="NXC19" s="191"/>
      <c r="NXM19" s="191"/>
      <c r="NXW19" s="191"/>
      <c r="NYG19" s="191"/>
      <c r="NYQ19" s="191"/>
      <c r="NZA19" s="191"/>
      <c r="NZK19" s="191"/>
      <c r="NZU19" s="191"/>
      <c r="OAE19" s="191"/>
      <c r="OAO19" s="191"/>
      <c r="OAY19" s="191"/>
      <c r="OBI19" s="191"/>
      <c r="OBS19" s="191"/>
      <c r="OCC19" s="191"/>
      <c r="OCM19" s="191"/>
      <c r="OCW19" s="191"/>
      <c r="ODG19" s="191"/>
      <c r="ODQ19" s="191"/>
      <c r="OEA19" s="191"/>
      <c r="OEK19" s="191"/>
      <c r="OEU19" s="191"/>
      <c r="OFE19" s="191"/>
      <c r="OFO19" s="191"/>
      <c r="OFY19" s="191"/>
      <c r="OGI19" s="191"/>
      <c r="OGS19" s="191"/>
      <c r="OHC19" s="191"/>
      <c r="OHM19" s="191"/>
      <c r="OHW19" s="191"/>
      <c r="OIG19" s="191"/>
      <c r="OIQ19" s="191"/>
      <c r="OJA19" s="191"/>
      <c r="OJK19" s="191"/>
      <c r="OJU19" s="191"/>
      <c r="OKE19" s="191"/>
      <c r="OKO19" s="191"/>
      <c r="OKY19" s="191"/>
      <c r="OLI19" s="191"/>
      <c r="OLS19" s="191"/>
      <c r="OMC19" s="191"/>
      <c r="OMM19" s="191"/>
      <c r="OMW19" s="191"/>
      <c r="ONG19" s="191"/>
      <c r="ONQ19" s="191"/>
      <c r="OOA19" s="191"/>
      <c r="OOK19" s="191"/>
      <c r="OOU19" s="191"/>
      <c r="OPE19" s="191"/>
      <c r="OPO19" s="191"/>
      <c r="OPY19" s="191"/>
      <c r="OQI19" s="191"/>
      <c r="OQS19" s="191"/>
      <c r="ORC19" s="191"/>
      <c r="ORM19" s="191"/>
      <c r="ORW19" s="191"/>
      <c r="OSG19" s="191"/>
      <c r="OSQ19" s="191"/>
      <c r="OTA19" s="191"/>
      <c r="OTK19" s="191"/>
      <c r="OTU19" s="191"/>
      <c r="OUE19" s="191"/>
      <c r="OUO19" s="191"/>
      <c r="OUY19" s="191"/>
      <c r="OVI19" s="191"/>
      <c r="OVS19" s="191"/>
      <c r="OWC19" s="191"/>
      <c r="OWM19" s="191"/>
      <c r="OWW19" s="191"/>
      <c r="OXG19" s="191"/>
      <c r="OXQ19" s="191"/>
      <c r="OYA19" s="191"/>
      <c r="OYK19" s="191"/>
      <c r="OYU19" s="191"/>
      <c r="OZE19" s="191"/>
      <c r="OZO19" s="191"/>
      <c r="OZY19" s="191"/>
      <c r="PAI19" s="191"/>
      <c r="PAS19" s="191"/>
      <c r="PBC19" s="191"/>
      <c r="PBM19" s="191"/>
      <c r="PBW19" s="191"/>
      <c r="PCG19" s="191"/>
      <c r="PCQ19" s="191"/>
      <c r="PDA19" s="191"/>
      <c r="PDK19" s="191"/>
      <c r="PDU19" s="191"/>
      <c r="PEE19" s="191"/>
      <c r="PEO19" s="191"/>
      <c r="PEY19" s="191"/>
      <c r="PFI19" s="191"/>
      <c r="PFS19" s="191"/>
      <c r="PGC19" s="191"/>
      <c r="PGM19" s="191"/>
      <c r="PGW19" s="191"/>
      <c r="PHG19" s="191"/>
      <c r="PHQ19" s="191"/>
      <c r="PIA19" s="191"/>
      <c r="PIK19" s="191"/>
      <c r="PIU19" s="191"/>
      <c r="PJE19" s="191"/>
      <c r="PJO19" s="191"/>
      <c r="PJY19" s="191"/>
      <c r="PKI19" s="191"/>
      <c r="PKS19" s="191"/>
      <c r="PLC19" s="191"/>
      <c r="PLM19" s="191"/>
      <c r="PLW19" s="191"/>
      <c r="PMG19" s="191"/>
      <c r="PMQ19" s="191"/>
      <c r="PNA19" s="191"/>
      <c r="PNK19" s="191"/>
      <c r="PNU19" s="191"/>
      <c r="POE19" s="191"/>
      <c r="POO19" s="191"/>
      <c r="POY19" s="191"/>
      <c r="PPI19" s="191"/>
      <c r="PPS19" s="191"/>
      <c r="PQC19" s="191"/>
      <c r="PQM19" s="191"/>
      <c r="PQW19" s="191"/>
      <c r="PRG19" s="191"/>
      <c r="PRQ19" s="191"/>
      <c r="PSA19" s="191"/>
      <c r="PSK19" s="191"/>
      <c r="PSU19" s="191"/>
      <c r="PTE19" s="191"/>
      <c r="PTO19" s="191"/>
      <c r="PTY19" s="191"/>
      <c r="PUI19" s="191"/>
      <c r="PUS19" s="191"/>
      <c r="PVC19" s="191"/>
      <c r="PVM19" s="191"/>
      <c r="PVW19" s="191"/>
      <c r="PWG19" s="191"/>
      <c r="PWQ19" s="191"/>
      <c r="PXA19" s="191"/>
      <c r="PXK19" s="191"/>
      <c r="PXU19" s="191"/>
      <c r="PYE19" s="191"/>
      <c r="PYO19" s="191"/>
      <c r="PYY19" s="191"/>
      <c r="PZI19" s="191"/>
      <c r="PZS19" s="191"/>
      <c r="QAC19" s="191"/>
      <c r="QAM19" s="191"/>
      <c r="QAW19" s="191"/>
      <c r="QBG19" s="191"/>
      <c r="QBQ19" s="191"/>
      <c r="QCA19" s="191"/>
      <c r="QCK19" s="191"/>
      <c r="QCU19" s="191"/>
      <c r="QDE19" s="191"/>
      <c r="QDO19" s="191"/>
      <c r="QDY19" s="191"/>
      <c r="QEI19" s="191"/>
      <c r="QES19" s="191"/>
      <c r="QFC19" s="191"/>
      <c r="QFM19" s="191"/>
      <c r="QFW19" s="191"/>
      <c r="QGG19" s="191"/>
      <c r="QGQ19" s="191"/>
      <c r="QHA19" s="191"/>
      <c r="QHK19" s="191"/>
      <c r="QHU19" s="191"/>
      <c r="QIE19" s="191"/>
      <c r="QIO19" s="191"/>
      <c r="QIY19" s="191"/>
      <c r="QJI19" s="191"/>
      <c r="QJS19" s="191"/>
      <c r="QKC19" s="191"/>
      <c r="QKM19" s="191"/>
      <c r="QKW19" s="191"/>
      <c r="QLG19" s="191"/>
      <c r="QLQ19" s="191"/>
      <c r="QMA19" s="191"/>
      <c r="QMK19" s="191"/>
      <c r="QMU19" s="191"/>
      <c r="QNE19" s="191"/>
      <c r="QNO19" s="191"/>
      <c r="QNY19" s="191"/>
      <c r="QOI19" s="191"/>
      <c r="QOS19" s="191"/>
      <c r="QPC19" s="191"/>
      <c r="QPM19" s="191"/>
      <c r="QPW19" s="191"/>
      <c r="QQG19" s="191"/>
      <c r="QQQ19" s="191"/>
      <c r="QRA19" s="191"/>
      <c r="QRK19" s="191"/>
      <c r="QRU19" s="191"/>
      <c r="QSE19" s="191"/>
      <c r="QSO19" s="191"/>
      <c r="QSY19" s="191"/>
      <c r="QTI19" s="191"/>
      <c r="QTS19" s="191"/>
      <c r="QUC19" s="191"/>
      <c r="QUM19" s="191"/>
      <c r="QUW19" s="191"/>
      <c r="QVG19" s="191"/>
      <c r="QVQ19" s="191"/>
      <c r="QWA19" s="191"/>
      <c r="QWK19" s="191"/>
      <c r="QWU19" s="191"/>
      <c r="QXE19" s="191"/>
      <c r="QXO19" s="191"/>
      <c r="QXY19" s="191"/>
      <c r="QYI19" s="191"/>
      <c r="QYS19" s="191"/>
      <c r="QZC19" s="191"/>
      <c r="QZM19" s="191"/>
      <c r="QZW19" s="191"/>
      <c r="RAG19" s="191"/>
      <c r="RAQ19" s="191"/>
      <c r="RBA19" s="191"/>
      <c r="RBK19" s="191"/>
      <c r="RBU19" s="191"/>
      <c r="RCE19" s="191"/>
      <c r="RCO19" s="191"/>
      <c r="RCY19" s="191"/>
      <c r="RDI19" s="191"/>
      <c r="RDS19" s="191"/>
      <c r="REC19" s="191"/>
      <c r="REM19" s="191"/>
      <c r="REW19" s="191"/>
      <c r="RFG19" s="191"/>
      <c r="RFQ19" s="191"/>
      <c r="RGA19" s="191"/>
      <c r="RGK19" s="191"/>
      <c r="RGU19" s="191"/>
      <c r="RHE19" s="191"/>
      <c r="RHO19" s="191"/>
      <c r="RHY19" s="191"/>
      <c r="RII19" s="191"/>
      <c r="RIS19" s="191"/>
      <c r="RJC19" s="191"/>
      <c r="RJM19" s="191"/>
      <c r="RJW19" s="191"/>
      <c r="RKG19" s="191"/>
      <c r="RKQ19" s="191"/>
      <c r="RLA19" s="191"/>
      <c r="RLK19" s="191"/>
      <c r="RLU19" s="191"/>
      <c r="RME19" s="191"/>
      <c r="RMO19" s="191"/>
      <c r="RMY19" s="191"/>
      <c r="RNI19" s="191"/>
      <c r="RNS19" s="191"/>
      <c r="ROC19" s="191"/>
      <c r="ROM19" s="191"/>
      <c r="ROW19" s="191"/>
      <c r="RPG19" s="191"/>
      <c r="RPQ19" s="191"/>
      <c r="RQA19" s="191"/>
      <c r="RQK19" s="191"/>
      <c r="RQU19" s="191"/>
      <c r="RRE19" s="191"/>
      <c r="RRO19" s="191"/>
      <c r="RRY19" s="191"/>
      <c r="RSI19" s="191"/>
      <c r="RSS19" s="191"/>
      <c r="RTC19" s="191"/>
      <c r="RTM19" s="191"/>
      <c r="RTW19" s="191"/>
      <c r="RUG19" s="191"/>
      <c r="RUQ19" s="191"/>
      <c r="RVA19" s="191"/>
      <c r="RVK19" s="191"/>
      <c r="RVU19" s="191"/>
      <c r="RWE19" s="191"/>
      <c r="RWO19" s="191"/>
      <c r="RWY19" s="191"/>
      <c r="RXI19" s="191"/>
      <c r="RXS19" s="191"/>
      <c r="RYC19" s="191"/>
      <c r="RYM19" s="191"/>
      <c r="RYW19" s="191"/>
      <c r="RZG19" s="191"/>
      <c r="RZQ19" s="191"/>
      <c r="SAA19" s="191"/>
      <c r="SAK19" s="191"/>
      <c r="SAU19" s="191"/>
      <c r="SBE19" s="191"/>
      <c r="SBO19" s="191"/>
      <c r="SBY19" s="191"/>
      <c r="SCI19" s="191"/>
      <c r="SCS19" s="191"/>
      <c r="SDC19" s="191"/>
      <c r="SDM19" s="191"/>
      <c r="SDW19" s="191"/>
      <c r="SEG19" s="191"/>
      <c r="SEQ19" s="191"/>
      <c r="SFA19" s="191"/>
      <c r="SFK19" s="191"/>
      <c r="SFU19" s="191"/>
      <c r="SGE19" s="191"/>
      <c r="SGO19" s="191"/>
      <c r="SGY19" s="191"/>
      <c r="SHI19" s="191"/>
      <c r="SHS19" s="191"/>
      <c r="SIC19" s="191"/>
      <c r="SIM19" s="191"/>
      <c r="SIW19" s="191"/>
      <c r="SJG19" s="191"/>
      <c r="SJQ19" s="191"/>
      <c r="SKA19" s="191"/>
      <c r="SKK19" s="191"/>
      <c r="SKU19" s="191"/>
      <c r="SLE19" s="191"/>
      <c r="SLO19" s="191"/>
      <c r="SLY19" s="191"/>
      <c r="SMI19" s="191"/>
      <c r="SMS19" s="191"/>
      <c r="SNC19" s="191"/>
      <c r="SNM19" s="191"/>
      <c r="SNW19" s="191"/>
      <c r="SOG19" s="191"/>
      <c r="SOQ19" s="191"/>
      <c r="SPA19" s="191"/>
      <c r="SPK19" s="191"/>
      <c r="SPU19" s="191"/>
      <c r="SQE19" s="191"/>
      <c r="SQO19" s="191"/>
      <c r="SQY19" s="191"/>
      <c r="SRI19" s="191"/>
      <c r="SRS19" s="191"/>
      <c r="SSC19" s="191"/>
      <c r="SSM19" s="191"/>
      <c r="SSW19" s="191"/>
      <c r="STG19" s="191"/>
      <c r="STQ19" s="191"/>
      <c r="SUA19" s="191"/>
      <c r="SUK19" s="191"/>
      <c r="SUU19" s="191"/>
      <c r="SVE19" s="191"/>
      <c r="SVO19" s="191"/>
      <c r="SVY19" s="191"/>
      <c r="SWI19" s="191"/>
      <c r="SWS19" s="191"/>
      <c r="SXC19" s="191"/>
      <c r="SXM19" s="191"/>
      <c r="SXW19" s="191"/>
      <c r="SYG19" s="191"/>
      <c r="SYQ19" s="191"/>
      <c r="SZA19" s="191"/>
      <c r="SZK19" s="191"/>
      <c r="SZU19" s="191"/>
      <c r="TAE19" s="191"/>
      <c r="TAO19" s="191"/>
      <c r="TAY19" s="191"/>
      <c r="TBI19" s="191"/>
      <c r="TBS19" s="191"/>
      <c r="TCC19" s="191"/>
      <c r="TCM19" s="191"/>
      <c r="TCW19" s="191"/>
      <c r="TDG19" s="191"/>
      <c r="TDQ19" s="191"/>
      <c r="TEA19" s="191"/>
      <c r="TEK19" s="191"/>
      <c r="TEU19" s="191"/>
      <c r="TFE19" s="191"/>
      <c r="TFO19" s="191"/>
      <c r="TFY19" s="191"/>
      <c r="TGI19" s="191"/>
      <c r="TGS19" s="191"/>
      <c r="THC19" s="191"/>
      <c r="THM19" s="191"/>
      <c r="THW19" s="191"/>
      <c r="TIG19" s="191"/>
      <c r="TIQ19" s="191"/>
      <c r="TJA19" s="191"/>
      <c r="TJK19" s="191"/>
      <c r="TJU19" s="191"/>
      <c r="TKE19" s="191"/>
      <c r="TKO19" s="191"/>
      <c r="TKY19" s="191"/>
      <c r="TLI19" s="191"/>
      <c r="TLS19" s="191"/>
      <c r="TMC19" s="191"/>
      <c r="TMM19" s="191"/>
      <c r="TMW19" s="191"/>
      <c r="TNG19" s="191"/>
      <c r="TNQ19" s="191"/>
      <c r="TOA19" s="191"/>
      <c r="TOK19" s="191"/>
      <c r="TOU19" s="191"/>
      <c r="TPE19" s="191"/>
      <c r="TPO19" s="191"/>
      <c r="TPY19" s="191"/>
      <c r="TQI19" s="191"/>
      <c r="TQS19" s="191"/>
      <c r="TRC19" s="191"/>
      <c r="TRM19" s="191"/>
      <c r="TRW19" s="191"/>
      <c r="TSG19" s="191"/>
      <c r="TSQ19" s="191"/>
      <c r="TTA19" s="191"/>
      <c r="TTK19" s="191"/>
      <c r="TTU19" s="191"/>
      <c r="TUE19" s="191"/>
      <c r="TUO19" s="191"/>
      <c r="TUY19" s="191"/>
      <c r="TVI19" s="191"/>
      <c r="TVS19" s="191"/>
      <c r="TWC19" s="191"/>
      <c r="TWM19" s="191"/>
      <c r="TWW19" s="191"/>
      <c r="TXG19" s="191"/>
      <c r="TXQ19" s="191"/>
      <c r="TYA19" s="191"/>
      <c r="TYK19" s="191"/>
      <c r="TYU19" s="191"/>
      <c r="TZE19" s="191"/>
      <c r="TZO19" s="191"/>
      <c r="TZY19" s="191"/>
      <c r="UAI19" s="191"/>
      <c r="UAS19" s="191"/>
      <c r="UBC19" s="191"/>
      <c r="UBM19" s="191"/>
      <c r="UBW19" s="191"/>
      <c r="UCG19" s="191"/>
      <c r="UCQ19" s="191"/>
      <c r="UDA19" s="191"/>
      <c r="UDK19" s="191"/>
      <c r="UDU19" s="191"/>
      <c r="UEE19" s="191"/>
      <c r="UEO19" s="191"/>
      <c r="UEY19" s="191"/>
      <c r="UFI19" s="191"/>
      <c r="UFS19" s="191"/>
      <c r="UGC19" s="191"/>
      <c r="UGM19" s="191"/>
      <c r="UGW19" s="191"/>
      <c r="UHG19" s="191"/>
      <c r="UHQ19" s="191"/>
      <c r="UIA19" s="191"/>
      <c r="UIK19" s="191"/>
      <c r="UIU19" s="191"/>
      <c r="UJE19" s="191"/>
      <c r="UJO19" s="191"/>
      <c r="UJY19" s="191"/>
      <c r="UKI19" s="191"/>
      <c r="UKS19" s="191"/>
      <c r="ULC19" s="191"/>
      <c r="ULM19" s="191"/>
      <c r="ULW19" s="191"/>
      <c r="UMG19" s="191"/>
      <c r="UMQ19" s="191"/>
      <c r="UNA19" s="191"/>
      <c r="UNK19" s="191"/>
      <c r="UNU19" s="191"/>
      <c r="UOE19" s="191"/>
      <c r="UOO19" s="191"/>
      <c r="UOY19" s="191"/>
      <c r="UPI19" s="191"/>
      <c r="UPS19" s="191"/>
      <c r="UQC19" s="191"/>
      <c r="UQM19" s="191"/>
      <c r="UQW19" s="191"/>
      <c r="URG19" s="191"/>
      <c r="URQ19" s="191"/>
      <c r="USA19" s="191"/>
      <c r="USK19" s="191"/>
      <c r="USU19" s="191"/>
      <c r="UTE19" s="191"/>
      <c r="UTO19" s="191"/>
      <c r="UTY19" s="191"/>
      <c r="UUI19" s="191"/>
      <c r="UUS19" s="191"/>
      <c r="UVC19" s="191"/>
      <c r="UVM19" s="191"/>
      <c r="UVW19" s="191"/>
      <c r="UWG19" s="191"/>
      <c r="UWQ19" s="191"/>
      <c r="UXA19" s="191"/>
      <c r="UXK19" s="191"/>
      <c r="UXU19" s="191"/>
      <c r="UYE19" s="191"/>
      <c r="UYO19" s="191"/>
      <c r="UYY19" s="191"/>
      <c r="UZI19" s="191"/>
      <c r="UZS19" s="191"/>
      <c r="VAC19" s="191"/>
      <c r="VAM19" s="191"/>
      <c r="VAW19" s="191"/>
      <c r="VBG19" s="191"/>
      <c r="VBQ19" s="191"/>
      <c r="VCA19" s="191"/>
      <c r="VCK19" s="191"/>
      <c r="VCU19" s="191"/>
      <c r="VDE19" s="191"/>
      <c r="VDO19" s="191"/>
      <c r="VDY19" s="191"/>
      <c r="VEI19" s="191"/>
      <c r="VES19" s="191"/>
      <c r="VFC19" s="191"/>
      <c r="VFM19" s="191"/>
      <c r="VFW19" s="191"/>
      <c r="VGG19" s="191"/>
      <c r="VGQ19" s="191"/>
      <c r="VHA19" s="191"/>
      <c r="VHK19" s="191"/>
      <c r="VHU19" s="191"/>
      <c r="VIE19" s="191"/>
      <c r="VIO19" s="191"/>
      <c r="VIY19" s="191"/>
      <c r="VJI19" s="191"/>
      <c r="VJS19" s="191"/>
      <c r="VKC19" s="191"/>
      <c r="VKM19" s="191"/>
      <c r="VKW19" s="191"/>
      <c r="VLG19" s="191"/>
      <c r="VLQ19" s="191"/>
      <c r="VMA19" s="191"/>
      <c r="VMK19" s="191"/>
      <c r="VMU19" s="191"/>
      <c r="VNE19" s="191"/>
      <c r="VNO19" s="191"/>
      <c r="VNY19" s="191"/>
      <c r="VOI19" s="191"/>
      <c r="VOS19" s="191"/>
      <c r="VPC19" s="191"/>
      <c r="VPM19" s="191"/>
      <c r="VPW19" s="191"/>
      <c r="VQG19" s="191"/>
      <c r="VQQ19" s="191"/>
      <c r="VRA19" s="191"/>
      <c r="VRK19" s="191"/>
      <c r="VRU19" s="191"/>
      <c r="VSE19" s="191"/>
      <c r="VSO19" s="191"/>
      <c r="VSY19" s="191"/>
      <c r="VTI19" s="191"/>
      <c r="VTS19" s="191"/>
      <c r="VUC19" s="191"/>
      <c r="VUM19" s="191"/>
      <c r="VUW19" s="191"/>
      <c r="VVG19" s="191"/>
      <c r="VVQ19" s="191"/>
      <c r="VWA19" s="191"/>
      <c r="VWK19" s="191"/>
      <c r="VWU19" s="191"/>
      <c r="VXE19" s="191"/>
      <c r="VXO19" s="191"/>
      <c r="VXY19" s="191"/>
      <c r="VYI19" s="191"/>
      <c r="VYS19" s="191"/>
      <c r="VZC19" s="191"/>
      <c r="VZM19" s="191"/>
      <c r="VZW19" s="191"/>
      <c r="WAG19" s="191"/>
      <c r="WAQ19" s="191"/>
      <c r="WBA19" s="191"/>
      <c r="WBK19" s="191"/>
      <c r="WBU19" s="191"/>
      <c r="WCE19" s="191"/>
      <c r="WCO19" s="191"/>
      <c r="WCY19" s="191"/>
      <c r="WDI19" s="191"/>
      <c r="WDS19" s="191"/>
      <c r="WEC19" s="191"/>
      <c r="WEM19" s="191"/>
      <c r="WEW19" s="191"/>
      <c r="WFG19" s="191"/>
      <c r="WFQ19" s="191"/>
      <c r="WGA19" s="191"/>
      <c r="WGK19" s="191"/>
      <c r="WGU19" s="191"/>
      <c r="WHE19" s="191"/>
      <c r="WHO19" s="191"/>
      <c r="WHY19" s="191"/>
      <c r="WII19" s="191"/>
      <c r="WIS19" s="191"/>
      <c r="WJC19" s="191"/>
      <c r="WJM19" s="191"/>
      <c r="WJW19" s="191"/>
      <c r="WKG19" s="191"/>
      <c r="WKQ19" s="191"/>
      <c r="WLA19" s="191"/>
      <c r="WLK19" s="191"/>
      <c r="WLU19" s="191"/>
      <c r="WME19" s="191"/>
      <c r="WMO19" s="191"/>
      <c r="WMY19" s="191"/>
      <c r="WNI19" s="191"/>
      <c r="WNS19" s="191"/>
      <c r="WOC19" s="191"/>
      <c r="WOM19" s="191"/>
      <c r="WOW19" s="191"/>
      <c r="WPG19" s="191"/>
      <c r="WPQ19" s="191"/>
      <c r="WQA19" s="191"/>
      <c r="WQK19" s="191"/>
      <c r="WQU19" s="191"/>
      <c r="WRE19" s="191"/>
      <c r="WRO19" s="191"/>
      <c r="WRY19" s="191"/>
      <c r="WSI19" s="191"/>
      <c r="WSS19" s="191"/>
      <c r="WTC19" s="191"/>
      <c r="WTM19" s="191"/>
      <c r="WTW19" s="191"/>
      <c r="WUG19" s="191"/>
      <c r="WUQ19" s="191"/>
      <c r="WVA19" s="191"/>
      <c r="WVK19" s="191"/>
      <c r="WVU19" s="191"/>
      <c r="WWE19" s="191"/>
      <c r="WWO19" s="191"/>
      <c r="WWY19" s="191"/>
      <c r="WXI19" s="191"/>
      <c r="WXS19" s="191"/>
      <c r="WYC19" s="191"/>
      <c r="WYM19" s="191"/>
      <c r="WYW19" s="191"/>
      <c r="WZG19" s="191"/>
      <c r="WZQ19" s="191"/>
      <c r="XAA19" s="191"/>
      <c r="XAK19" s="191"/>
      <c r="XAU19" s="191"/>
      <c r="XBE19" s="191"/>
      <c r="XBO19" s="191"/>
      <c r="XBY19" s="191"/>
      <c r="XCI19" s="191"/>
      <c r="XCS19" s="191"/>
      <c r="XDC19" s="191"/>
      <c r="XDM19" s="191"/>
      <c r="XDW19" s="191"/>
      <c r="XEG19" s="191"/>
      <c r="XEQ19" s="191"/>
      <c r="XFA19" s="191"/>
    </row>
    <row r="20" s="445" customFormat="1" ht="13.2" spans="1:16381">
      <c r="A20" s="191" t="s">
        <v>60</v>
      </c>
      <c r="B20" s="445">
        <v>2025</v>
      </c>
      <c r="C20" s="668" t="s">
        <v>832</v>
      </c>
      <c r="D20" s="445">
        <v>60.76</v>
      </c>
      <c r="E20" s="445">
        <v>8019.21</v>
      </c>
      <c r="F20" s="445">
        <v>19.07</v>
      </c>
      <c r="G20" s="445">
        <v>-308.75</v>
      </c>
      <c r="H20" s="445">
        <v>161.48</v>
      </c>
      <c r="I20" s="445">
        <v>0</v>
      </c>
      <c r="J20" s="445">
        <v>-128.19</v>
      </c>
      <c r="K20" s="191"/>
      <c r="U20" s="191"/>
      <c r="AE20" s="191"/>
      <c r="AO20" s="191"/>
      <c r="AY20" s="191"/>
      <c r="BI20" s="191"/>
      <c r="BS20" s="191"/>
      <c r="CC20" s="191"/>
      <c r="CM20" s="191"/>
      <c r="CW20" s="191"/>
      <c r="DG20" s="191"/>
      <c r="DQ20" s="191"/>
      <c r="EA20" s="191"/>
      <c r="EK20" s="191"/>
      <c r="EU20" s="191"/>
      <c r="FE20" s="191"/>
      <c r="FO20" s="191"/>
      <c r="FY20" s="191"/>
      <c r="GI20" s="191"/>
      <c r="GS20" s="191"/>
      <c r="HC20" s="191"/>
      <c r="HM20" s="191"/>
      <c r="HW20" s="191"/>
      <c r="IG20" s="191"/>
      <c r="IQ20" s="191"/>
      <c r="JA20" s="191"/>
      <c r="JK20" s="191"/>
      <c r="JU20" s="191"/>
      <c r="KE20" s="191"/>
      <c r="KO20" s="191"/>
      <c r="KY20" s="191"/>
      <c r="LI20" s="191"/>
      <c r="LS20" s="191"/>
      <c r="MC20" s="191"/>
      <c r="MM20" s="191"/>
      <c r="MW20" s="191"/>
      <c r="NG20" s="191"/>
      <c r="NQ20" s="191"/>
      <c r="OA20" s="191"/>
      <c r="OK20" s="191"/>
      <c r="OU20" s="191"/>
      <c r="PE20" s="191"/>
      <c r="PO20" s="191"/>
      <c r="PY20" s="191"/>
      <c r="QI20" s="191"/>
      <c r="QS20" s="191"/>
      <c r="RC20" s="191"/>
      <c r="RM20" s="191"/>
      <c r="RW20" s="191"/>
      <c r="SG20" s="191"/>
      <c r="SQ20" s="191"/>
      <c r="TA20" s="191"/>
      <c r="TK20" s="191"/>
      <c r="TU20" s="191"/>
      <c r="UE20" s="191"/>
      <c r="UO20" s="191"/>
      <c r="UY20" s="191"/>
      <c r="VI20" s="191"/>
      <c r="VS20" s="191"/>
      <c r="WC20" s="191"/>
      <c r="WM20" s="191"/>
      <c r="WW20" s="191"/>
      <c r="XG20" s="191"/>
      <c r="XQ20" s="191"/>
      <c r="YA20" s="191"/>
      <c r="YK20" s="191"/>
      <c r="YU20" s="191"/>
      <c r="ZE20" s="191"/>
      <c r="ZO20" s="191"/>
      <c r="ZY20" s="191"/>
      <c r="AAI20" s="191"/>
      <c r="AAS20" s="191"/>
      <c r="ABC20" s="191"/>
      <c r="ABM20" s="191"/>
      <c r="ABW20" s="191"/>
      <c r="ACG20" s="191"/>
      <c r="ACQ20" s="191"/>
      <c r="ADA20" s="191"/>
      <c r="ADK20" s="191"/>
      <c r="ADU20" s="191"/>
      <c r="AEE20" s="191"/>
      <c r="AEO20" s="191"/>
      <c r="AEY20" s="191"/>
      <c r="AFI20" s="191"/>
      <c r="AFS20" s="191"/>
      <c r="AGC20" s="191"/>
      <c r="AGM20" s="191"/>
      <c r="AGW20" s="191"/>
      <c r="AHG20" s="191"/>
      <c r="AHQ20" s="191"/>
      <c r="AIA20" s="191"/>
      <c r="AIK20" s="191"/>
      <c r="AIU20" s="191"/>
      <c r="AJE20" s="191"/>
      <c r="AJO20" s="191"/>
      <c r="AJY20" s="191"/>
      <c r="AKI20" s="191"/>
      <c r="AKS20" s="191"/>
      <c r="ALC20" s="191"/>
      <c r="ALM20" s="191"/>
      <c r="ALW20" s="191"/>
      <c r="AMG20" s="191"/>
      <c r="AMQ20" s="191"/>
      <c r="ANA20" s="191"/>
      <c r="ANK20" s="191"/>
      <c r="ANU20" s="191"/>
      <c r="AOE20" s="191"/>
      <c r="AOO20" s="191"/>
      <c r="AOY20" s="191"/>
      <c r="API20" s="191"/>
      <c r="APS20" s="191"/>
      <c r="AQC20" s="191"/>
      <c r="AQM20" s="191"/>
      <c r="AQW20" s="191"/>
      <c r="ARG20" s="191"/>
      <c r="ARQ20" s="191"/>
      <c r="ASA20" s="191"/>
      <c r="ASK20" s="191"/>
      <c r="ASU20" s="191"/>
      <c r="ATE20" s="191"/>
      <c r="ATO20" s="191"/>
      <c r="ATY20" s="191"/>
      <c r="AUI20" s="191"/>
      <c r="AUS20" s="191"/>
      <c r="AVC20" s="191"/>
      <c r="AVM20" s="191"/>
      <c r="AVW20" s="191"/>
      <c r="AWG20" s="191"/>
      <c r="AWQ20" s="191"/>
      <c r="AXA20" s="191"/>
      <c r="AXK20" s="191"/>
      <c r="AXU20" s="191"/>
      <c r="AYE20" s="191"/>
      <c r="AYO20" s="191"/>
      <c r="AYY20" s="191"/>
      <c r="AZI20" s="191"/>
      <c r="AZS20" s="191"/>
      <c r="BAC20" s="191"/>
      <c r="BAM20" s="191"/>
      <c r="BAW20" s="191"/>
      <c r="BBG20" s="191"/>
      <c r="BBQ20" s="191"/>
      <c r="BCA20" s="191"/>
      <c r="BCK20" s="191"/>
      <c r="BCU20" s="191"/>
      <c r="BDE20" s="191"/>
      <c r="BDO20" s="191"/>
      <c r="BDY20" s="191"/>
      <c r="BEI20" s="191"/>
      <c r="BES20" s="191"/>
      <c r="BFC20" s="191"/>
      <c r="BFM20" s="191"/>
      <c r="BFW20" s="191"/>
      <c r="BGG20" s="191"/>
      <c r="BGQ20" s="191"/>
      <c r="BHA20" s="191"/>
      <c r="BHK20" s="191"/>
      <c r="BHU20" s="191"/>
      <c r="BIE20" s="191"/>
      <c r="BIO20" s="191"/>
      <c r="BIY20" s="191"/>
      <c r="BJI20" s="191"/>
      <c r="BJS20" s="191"/>
      <c r="BKC20" s="191"/>
      <c r="BKM20" s="191"/>
      <c r="BKW20" s="191"/>
      <c r="BLG20" s="191"/>
      <c r="BLQ20" s="191"/>
      <c r="BMA20" s="191"/>
      <c r="BMK20" s="191"/>
      <c r="BMU20" s="191"/>
      <c r="BNE20" s="191"/>
      <c r="BNO20" s="191"/>
      <c r="BNY20" s="191"/>
      <c r="BOI20" s="191"/>
      <c r="BOS20" s="191"/>
      <c r="BPC20" s="191"/>
      <c r="BPM20" s="191"/>
      <c r="BPW20" s="191"/>
      <c r="BQG20" s="191"/>
      <c r="BQQ20" s="191"/>
      <c r="BRA20" s="191"/>
      <c r="BRK20" s="191"/>
      <c r="BRU20" s="191"/>
      <c r="BSE20" s="191"/>
      <c r="BSO20" s="191"/>
      <c r="BSY20" s="191"/>
      <c r="BTI20" s="191"/>
      <c r="BTS20" s="191"/>
      <c r="BUC20" s="191"/>
      <c r="BUM20" s="191"/>
      <c r="BUW20" s="191"/>
      <c r="BVG20" s="191"/>
      <c r="BVQ20" s="191"/>
      <c r="BWA20" s="191"/>
      <c r="BWK20" s="191"/>
      <c r="BWU20" s="191"/>
      <c r="BXE20" s="191"/>
      <c r="BXO20" s="191"/>
      <c r="BXY20" s="191"/>
      <c r="BYI20" s="191"/>
      <c r="BYS20" s="191"/>
      <c r="BZC20" s="191"/>
      <c r="BZM20" s="191"/>
      <c r="BZW20" s="191"/>
      <c r="CAG20" s="191"/>
      <c r="CAQ20" s="191"/>
      <c r="CBA20" s="191"/>
      <c r="CBK20" s="191"/>
      <c r="CBU20" s="191"/>
      <c r="CCE20" s="191"/>
      <c r="CCO20" s="191"/>
      <c r="CCY20" s="191"/>
      <c r="CDI20" s="191"/>
      <c r="CDS20" s="191"/>
      <c r="CEC20" s="191"/>
      <c r="CEM20" s="191"/>
      <c r="CEW20" s="191"/>
      <c r="CFG20" s="191"/>
      <c r="CFQ20" s="191"/>
      <c r="CGA20" s="191"/>
      <c r="CGK20" s="191"/>
      <c r="CGU20" s="191"/>
      <c r="CHE20" s="191"/>
      <c r="CHO20" s="191"/>
      <c r="CHY20" s="191"/>
      <c r="CII20" s="191"/>
      <c r="CIS20" s="191"/>
      <c r="CJC20" s="191"/>
      <c r="CJM20" s="191"/>
      <c r="CJW20" s="191"/>
      <c r="CKG20" s="191"/>
      <c r="CKQ20" s="191"/>
      <c r="CLA20" s="191"/>
      <c r="CLK20" s="191"/>
      <c r="CLU20" s="191"/>
      <c r="CME20" s="191"/>
      <c r="CMO20" s="191"/>
      <c r="CMY20" s="191"/>
      <c r="CNI20" s="191"/>
      <c r="CNS20" s="191"/>
      <c r="COC20" s="191"/>
      <c r="COM20" s="191"/>
      <c r="COW20" s="191"/>
      <c r="CPG20" s="191"/>
      <c r="CPQ20" s="191"/>
      <c r="CQA20" s="191"/>
      <c r="CQK20" s="191"/>
      <c r="CQU20" s="191"/>
      <c r="CRE20" s="191"/>
      <c r="CRO20" s="191"/>
      <c r="CRY20" s="191"/>
      <c r="CSI20" s="191"/>
      <c r="CSS20" s="191"/>
      <c r="CTC20" s="191"/>
      <c r="CTM20" s="191"/>
      <c r="CTW20" s="191"/>
      <c r="CUG20" s="191"/>
      <c r="CUQ20" s="191"/>
      <c r="CVA20" s="191"/>
      <c r="CVK20" s="191"/>
      <c r="CVU20" s="191"/>
      <c r="CWE20" s="191"/>
      <c r="CWO20" s="191"/>
      <c r="CWY20" s="191"/>
      <c r="CXI20" s="191"/>
      <c r="CXS20" s="191"/>
      <c r="CYC20" s="191"/>
      <c r="CYM20" s="191"/>
      <c r="CYW20" s="191"/>
      <c r="CZG20" s="191"/>
      <c r="CZQ20" s="191"/>
      <c r="DAA20" s="191"/>
      <c r="DAK20" s="191"/>
      <c r="DAU20" s="191"/>
      <c r="DBE20" s="191"/>
      <c r="DBO20" s="191"/>
      <c r="DBY20" s="191"/>
      <c r="DCI20" s="191"/>
      <c r="DCS20" s="191"/>
      <c r="DDC20" s="191"/>
      <c r="DDM20" s="191"/>
      <c r="DDW20" s="191"/>
      <c r="DEG20" s="191"/>
      <c r="DEQ20" s="191"/>
      <c r="DFA20" s="191"/>
      <c r="DFK20" s="191"/>
      <c r="DFU20" s="191"/>
      <c r="DGE20" s="191"/>
      <c r="DGO20" s="191"/>
      <c r="DGY20" s="191"/>
      <c r="DHI20" s="191"/>
      <c r="DHS20" s="191"/>
      <c r="DIC20" s="191"/>
      <c r="DIM20" s="191"/>
      <c r="DIW20" s="191"/>
      <c r="DJG20" s="191"/>
      <c r="DJQ20" s="191"/>
      <c r="DKA20" s="191"/>
      <c r="DKK20" s="191"/>
      <c r="DKU20" s="191"/>
      <c r="DLE20" s="191"/>
      <c r="DLO20" s="191"/>
      <c r="DLY20" s="191"/>
      <c r="DMI20" s="191"/>
      <c r="DMS20" s="191"/>
      <c r="DNC20" s="191"/>
      <c r="DNM20" s="191"/>
      <c r="DNW20" s="191"/>
      <c r="DOG20" s="191"/>
      <c r="DOQ20" s="191"/>
      <c r="DPA20" s="191"/>
      <c r="DPK20" s="191"/>
      <c r="DPU20" s="191"/>
      <c r="DQE20" s="191"/>
      <c r="DQO20" s="191"/>
      <c r="DQY20" s="191"/>
      <c r="DRI20" s="191"/>
      <c r="DRS20" s="191"/>
      <c r="DSC20" s="191"/>
      <c r="DSM20" s="191"/>
      <c r="DSW20" s="191"/>
      <c r="DTG20" s="191"/>
      <c r="DTQ20" s="191"/>
      <c r="DUA20" s="191"/>
      <c r="DUK20" s="191"/>
      <c r="DUU20" s="191"/>
      <c r="DVE20" s="191"/>
      <c r="DVO20" s="191"/>
      <c r="DVY20" s="191"/>
      <c r="DWI20" s="191"/>
      <c r="DWS20" s="191"/>
      <c r="DXC20" s="191"/>
      <c r="DXM20" s="191"/>
      <c r="DXW20" s="191"/>
      <c r="DYG20" s="191"/>
      <c r="DYQ20" s="191"/>
      <c r="DZA20" s="191"/>
      <c r="DZK20" s="191"/>
      <c r="DZU20" s="191"/>
      <c r="EAE20" s="191"/>
      <c r="EAO20" s="191"/>
      <c r="EAY20" s="191"/>
      <c r="EBI20" s="191"/>
      <c r="EBS20" s="191"/>
      <c r="ECC20" s="191"/>
      <c r="ECM20" s="191"/>
      <c r="ECW20" s="191"/>
      <c r="EDG20" s="191"/>
      <c r="EDQ20" s="191"/>
      <c r="EEA20" s="191"/>
      <c r="EEK20" s="191"/>
      <c r="EEU20" s="191"/>
      <c r="EFE20" s="191"/>
      <c r="EFO20" s="191"/>
      <c r="EFY20" s="191"/>
      <c r="EGI20" s="191"/>
      <c r="EGS20" s="191"/>
      <c r="EHC20" s="191"/>
      <c r="EHM20" s="191"/>
      <c r="EHW20" s="191"/>
      <c r="EIG20" s="191"/>
      <c r="EIQ20" s="191"/>
      <c r="EJA20" s="191"/>
      <c r="EJK20" s="191"/>
      <c r="EJU20" s="191"/>
      <c r="EKE20" s="191"/>
      <c r="EKO20" s="191"/>
      <c r="EKY20" s="191"/>
      <c r="ELI20" s="191"/>
      <c r="ELS20" s="191"/>
      <c r="EMC20" s="191"/>
      <c r="EMM20" s="191"/>
      <c r="EMW20" s="191"/>
      <c r="ENG20" s="191"/>
      <c r="ENQ20" s="191"/>
      <c r="EOA20" s="191"/>
      <c r="EOK20" s="191"/>
      <c r="EOU20" s="191"/>
      <c r="EPE20" s="191"/>
      <c r="EPO20" s="191"/>
      <c r="EPY20" s="191"/>
      <c r="EQI20" s="191"/>
      <c r="EQS20" s="191"/>
      <c r="ERC20" s="191"/>
      <c r="ERM20" s="191"/>
      <c r="ERW20" s="191"/>
      <c r="ESG20" s="191"/>
      <c r="ESQ20" s="191"/>
      <c r="ETA20" s="191"/>
      <c r="ETK20" s="191"/>
      <c r="ETU20" s="191"/>
      <c r="EUE20" s="191"/>
      <c r="EUO20" s="191"/>
      <c r="EUY20" s="191"/>
      <c r="EVI20" s="191"/>
      <c r="EVS20" s="191"/>
      <c r="EWC20" s="191"/>
      <c r="EWM20" s="191"/>
      <c r="EWW20" s="191"/>
      <c r="EXG20" s="191"/>
      <c r="EXQ20" s="191"/>
      <c r="EYA20" s="191"/>
      <c r="EYK20" s="191"/>
      <c r="EYU20" s="191"/>
      <c r="EZE20" s="191"/>
      <c r="EZO20" s="191"/>
      <c r="EZY20" s="191"/>
      <c r="FAI20" s="191"/>
      <c r="FAS20" s="191"/>
      <c r="FBC20" s="191"/>
      <c r="FBM20" s="191"/>
      <c r="FBW20" s="191"/>
      <c r="FCG20" s="191"/>
      <c r="FCQ20" s="191"/>
      <c r="FDA20" s="191"/>
      <c r="FDK20" s="191"/>
      <c r="FDU20" s="191"/>
      <c r="FEE20" s="191"/>
      <c r="FEO20" s="191"/>
      <c r="FEY20" s="191"/>
      <c r="FFI20" s="191"/>
      <c r="FFS20" s="191"/>
      <c r="FGC20" s="191"/>
      <c r="FGM20" s="191"/>
      <c r="FGW20" s="191"/>
      <c r="FHG20" s="191"/>
      <c r="FHQ20" s="191"/>
      <c r="FIA20" s="191"/>
      <c r="FIK20" s="191"/>
      <c r="FIU20" s="191"/>
      <c r="FJE20" s="191"/>
      <c r="FJO20" s="191"/>
      <c r="FJY20" s="191"/>
      <c r="FKI20" s="191"/>
      <c r="FKS20" s="191"/>
      <c r="FLC20" s="191"/>
      <c r="FLM20" s="191"/>
      <c r="FLW20" s="191"/>
      <c r="FMG20" s="191"/>
      <c r="FMQ20" s="191"/>
      <c r="FNA20" s="191"/>
      <c r="FNK20" s="191"/>
      <c r="FNU20" s="191"/>
      <c r="FOE20" s="191"/>
      <c r="FOO20" s="191"/>
      <c r="FOY20" s="191"/>
      <c r="FPI20" s="191"/>
      <c r="FPS20" s="191"/>
      <c r="FQC20" s="191"/>
      <c r="FQM20" s="191"/>
      <c r="FQW20" s="191"/>
      <c r="FRG20" s="191"/>
      <c r="FRQ20" s="191"/>
      <c r="FSA20" s="191"/>
      <c r="FSK20" s="191"/>
      <c r="FSU20" s="191"/>
      <c r="FTE20" s="191"/>
      <c r="FTO20" s="191"/>
      <c r="FTY20" s="191"/>
      <c r="FUI20" s="191"/>
      <c r="FUS20" s="191"/>
      <c r="FVC20" s="191"/>
      <c r="FVM20" s="191"/>
      <c r="FVW20" s="191"/>
      <c r="FWG20" s="191"/>
      <c r="FWQ20" s="191"/>
      <c r="FXA20" s="191"/>
      <c r="FXK20" s="191"/>
      <c r="FXU20" s="191"/>
      <c r="FYE20" s="191"/>
      <c r="FYO20" s="191"/>
      <c r="FYY20" s="191"/>
      <c r="FZI20" s="191"/>
      <c r="FZS20" s="191"/>
      <c r="GAC20" s="191"/>
      <c r="GAM20" s="191"/>
      <c r="GAW20" s="191"/>
      <c r="GBG20" s="191"/>
      <c r="GBQ20" s="191"/>
      <c r="GCA20" s="191"/>
      <c r="GCK20" s="191"/>
      <c r="GCU20" s="191"/>
      <c r="GDE20" s="191"/>
      <c r="GDO20" s="191"/>
      <c r="GDY20" s="191"/>
      <c r="GEI20" s="191"/>
      <c r="GES20" s="191"/>
      <c r="GFC20" s="191"/>
      <c r="GFM20" s="191"/>
      <c r="GFW20" s="191"/>
      <c r="GGG20" s="191"/>
      <c r="GGQ20" s="191"/>
      <c r="GHA20" s="191"/>
      <c r="GHK20" s="191"/>
      <c r="GHU20" s="191"/>
      <c r="GIE20" s="191"/>
      <c r="GIO20" s="191"/>
      <c r="GIY20" s="191"/>
      <c r="GJI20" s="191"/>
      <c r="GJS20" s="191"/>
      <c r="GKC20" s="191"/>
      <c r="GKM20" s="191"/>
      <c r="GKW20" s="191"/>
      <c r="GLG20" s="191"/>
      <c r="GLQ20" s="191"/>
      <c r="GMA20" s="191"/>
      <c r="GMK20" s="191"/>
      <c r="GMU20" s="191"/>
      <c r="GNE20" s="191"/>
      <c r="GNO20" s="191"/>
      <c r="GNY20" s="191"/>
      <c r="GOI20" s="191"/>
      <c r="GOS20" s="191"/>
      <c r="GPC20" s="191"/>
      <c r="GPM20" s="191"/>
      <c r="GPW20" s="191"/>
      <c r="GQG20" s="191"/>
      <c r="GQQ20" s="191"/>
      <c r="GRA20" s="191"/>
      <c r="GRK20" s="191"/>
      <c r="GRU20" s="191"/>
      <c r="GSE20" s="191"/>
      <c r="GSO20" s="191"/>
      <c r="GSY20" s="191"/>
      <c r="GTI20" s="191"/>
      <c r="GTS20" s="191"/>
      <c r="GUC20" s="191"/>
      <c r="GUM20" s="191"/>
      <c r="GUW20" s="191"/>
      <c r="GVG20" s="191"/>
      <c r="GVQ20" s="191"/>
      <c r="GWA20" s="191"/>
      <c r="GWK20" s="191"/>
      <c r="GWU20" s="191"/>
      <c r="GXE20" s="191"/>
      <c r="GXO20" s="191"/>
      <c r="GXY20" s="191"/>
      <c r="GYI20" s="191"/>
      <c r="GYS20" s="191"/>
      <c r="GZC20" s="191"/>
      <c r="GZM20" s="191"/>
      <c r="GZW20" s="191"/>
      <c r="HAG20" s="191"/>
      <c r="HAQ20" s="191"/>
      <c r="HBA20" s="191"/>
      <c r="HBK20" s="191"/>
      <c r="HBU20" s="191"/>
      <c r="HCE20" s="191"/>
      <c r="HCO20" s="191"/>
      <c r="HCY20" s="191"/>
      <c r="HDI20" s="191"/>
      <c r="HDS20" s="191"/>
      <c r="HEC20" s="191"/>
      <c r="HEM20" s="191"/>
      <c r="HEW20" s="191"/>
      <c r="HFG20" s="191"/>
      <c r="HFQ20" s="191"/>
      <c r="HGA20" s="191"/>
      <c r="HGK20" s="191"/>
      <c r="HGU20" s="191"/>
      <c r="HHE20" s="191"/>
      <c r="HHO20" s="191"/>
      <c r="HHY20" s="191"/>
      <c r="HII20" s="191"/>
      <c r="HIS20" s="191"/>
      <c r="HJC20" s="191"/>
      <c r="HJM20" s="191"/>
      <c r="HJW20" s="191"/>
      <c r="HKG20" s="191"/>
      <c r="HKQ20" s="191"/>
      <c r="HLA20" s="191"/>
      <c r="HLK20" s="191"/>
      <c r="HLU20" s="191"/>
      <c r="HME20" s="191"/>
      <c r="HMO20" s="191"/>
      <c r="HMY20" s="191"/>
      <c r="HNI20" s="191"/>
      <c r="HNS20" s="191"/>
      <c r="HOC20" s="191"/>
      <c r="HOM20" s="191"/>
      <c r="HOW20" s="191"/>
      <c r="HPG20" s="191"/>
      <c r="HPQ20" s="191"/>
      <c r="HQA20" s="191"/>
      <c r="HQK20" s="191"/>
      <c r="HQU20" s="191"/>
      <c r="HRE20" s="191"/>
      <c r="HRO20" s="191"/>
      <c r="HRY20" s="191"/>
      <c r="HSI20" s="191"/>
      <c r="HSS20" s="191"/>
      <c r="HTC20" s="191"/>
      <c r="HTM20" s="191"/>
      <c r="HTW20" s="191"/>
      <c r="HUG20" s="191"/>
      <c r="HUQ20" s="191"/>
      <c r="HVA20" s="191"/>
      <c r="HVK20" s="191"/>
      <c r="HVU20" s="191"/>
      <c r="HWE20" s="191"/>
      <c r="HWO20" s="191"/>
      <c r="HWY20" s="191"/>
      <c r="HXI20" s="191"/>
      <c r="HXS20" s="191"/>
      <c r="HYC20" s="191"/>
      <c r="HYM20" s="191"/>
      <c r="HYW20" s="191"/>
      <c r="HZG20" s="191"/>
      <c r="HZQ20" s="191"/>
      <c r="IAA20" s="191"/>
      <c r="IAK20" s="191"/>
      <c r="IAU20" s="191"/>
      <c r="IBE20" s="191"/>
      <c r="IBO20" s="191"/>
      <c r="IBY20" s="191"/>
      <c r="ICI20" s="191"/>
      <c r="ICS20" s="191"/>
      <c r="IDC20" s="191"/>
      <c r="IDM20" s="191"/>
      <c r="IDW20" s="191"/>
      <c r="IEG20" s="191"/>
      <c r="IEQ20" s="191"/>
      <c r="IFA20" s="191"/>
      <c r="IFK20" s="191"/>
      <c r="IFU20" s="191"/>
      <c r="IGE20" s="191"/>
      <c r="IGO20" s="191"/>
      <c r="IGY20" s="191"/>
      <c r="IHI20" s="191"/>
      <c r="IHS20" s="191"/>
      <c r="IIC20" s="191"/>
      <c r="IIM20" s="191"/>
      <c r="IIW20" s="191"/>
      <c r="IJG20" s="191"/>
      <c r="IJQ20" s="191"/>
      <c r="IKA20" s="191"/>
      <c r="IKK20" s="191"/>
      <c r="IKU20" s="191"/>
      <c r="ILE20" s="191"/>
      <c r="ILO20" s="191"/>
      <c r="ILY20" s="191"/>
      <c r="IMI20" s="191"/>
      <c r="IMS20" s="191"/>
      <c r="INC20" s="191"/>
      <c r="INM20" s="191"/>
      <c r="INW20" s="191"/>
      <c r="IOG20" s="191"/>
      <c r="IOQ20" s="191"/>
      <c r="IPA20" s="191"/>
      <c r="IPK20" s="191"/>
      <c r="IPU20" s="191"/>
      <c r="IQE20" s="191"/>
      <c r="IQO20" s="191"/>
      <c r="IQY20" s="191"/>
      <c r="IRI20" s="191"/>
      <c r="IRS20" s="191"/>
      <c r="ISC20" s="191"/>
      <c r="ISM20" s="191"/>
      <c r="ISW20" s="191"/>
      <c r="ITG20" s="191"/>
      <c r="ITQ20" s="191"/>
      <c r="IUA20" s="191"/>
      <c r="IUK20" s="191"/>
      <c r="IUU20" s="191"/>
      <c r="IVE20" s="191"/>
      <c r="IVO20" s="191"/>
      <c r="IVY20" s="191"/>
      <c r="IWI20" s="191"/>
      <c r="IWS20" s="191"/>
      <c r="IXC20" s="191"/>
      <c r="IXM20" s="191"/>
      <c r="IXW20" s="191"/>
      <c r="IYG20" s="191"/>
      <c r="IYQ20" s="191"/>
      <c r="IZA20" s="191"/>
      <c r="IZK20" s="191"/>
      <c r="IZU20" s="191"/>
      <c r="JAE20" s="191"/>
      <c r="JAO20" s="191"/>
      <c r="JAY20" s="191"/>
      <c r="JBI20" s="191"/>
      <c r="JBS20" s="191"/>
      <c r="JCC20" s="191"/>
      <c r="JCM20" s="191"/>
      <c r="JCW20" s="191"/>
      <c r="JDG20" s="191"/>
      <c r="JDQ20" s="191"/>
      <c r="JEA20" s="191"/>
      <c r="JEK20" s="191"/>
      <c r="JEU20" s="191"/>
      <c r="JFE20" s="191"/>
      <c r="JFO20" s="191"/>
      <c r="JFY20" s="191"/>
      <c r="JGI20" s="191"/>
      <c r="JGS20" s="191"/>
      <c r="JHC20" s="191"/>
      <c r="JHM20" s="191"/>
      <c r="JHW20" s="191"/>
      <c r="JIG20" s="191"/>
      <c r="JIQ20" s="191"/>
      <c r="JJA20" s="191"/>
      <c r="JJK20" s="191"/>
      <c r="JJU20" s="191"/>
      <c r="JKE20" s="191"/>
      <c r="JKO20" s="191"/>
      <c r="JKY20" s="191"/>
      <c r="JLI20" s="191"/>
      <c r="JLS20" s="191"/>
      <c r="JMC20" s="191"/>
      <c r="JMM20" s="191"/>
      <c r="JMW20" s="191"/>
      <c r="JNG20" s="191"/>
      <c r="JNQ20" s="191"/>
      <c r="JOA20" s="191"/>
      <c r="JOK20" s="191"/>
      <c r="JOU20" s="191"/>
      <c r="JPE20" s="191"/>
      <c r="JPO20" s="191"/>
      <c r="JPY20" s="191"/>
      <c r="JQI20" s="191"/>
      <c r="JQS20" s="191"/>
      <c r="JRC20" s="191"/>
      <c r="JRM20" s="191"/>
      <c r="JRW20" s="191"/>
      <c r="JSG20" s="191"/>
      <c r="JSQ20" s="191"/>
      <c r="JTA20" s="191"/>
      <c r="JTK20" s="191"/>
      <c r="JTU20" s="191"/>
      <c r="JUE20" s="191"/>
      <c r="JUO20" s="191"/>
      <c r="JUY20" s="191"/>
      <c r="JVI20" s="191"/>
      <c r="JVS20" s="191"/>
      <c r="JWC20" s="191"/>
      <c r="JWM20" s="191"/>
      <c r="JWW20" s="191"/>
      <c r="JXG20" s="191"/>
      <c r="JXQ20" s="191"/>
      <c r="JYA20" s="191"/>
      <c r="JYK20" s="191"/>
      <c r="JYU20" s="191"/>
      <c r="JZE20" s="191"/>
      <c r="JZO20" s="191"/>
      <c r="JZY20" s="191"/>
      <c r="KAI20" s="191"/>
      <c r="KAS20" s="191"/>
      <c r="KBC20" s="191"/>
      <c r="KBM20" s="191"/>
      <c r="KBW20" s="191"/>
      <c r="KCG20" s="191"/>
      <c r="KCQ20" s="191"/>
      <c r="KDA20" s="191"/>
      <c r="KDK20" s="191"/>
      <c r="KDU20" s="191"/>
      <c r="KEE20" s="191"/>
      <c r="KEO20" s="191"/>
      <c r="KEY20" s="191"/>
      <c r="KFI20" s="191"/>
      <c r="KFS20" s="191"/>
      <c r="KGC20" s="191"/>
      <c r="KGM20" s="191"/>
      <c r="KGW20" s="191"/>
      <c r="KHG20" s="191"/>
      <c r="KHQ20" s="191"/>
      <c r="KIA20" s="191"/>
      <c r="KIK20" s="191"/>
      <c r="KIU20" s="191"/>
      <c r="KJE20" s="191"/>
      <c r="KJO20" s="191"/>
      <c r="KJY20" s="191"/>
      <c r="KKI20" s="191"/>
      <c r="KKS20" s="191"/>
      <c r="KLC20" s="191"/>
      <c r="KLM20" s="191"/>
      <c r="KLW20" s="191"/>
      <c r="KMG20" s="191"/>
      <c r="KMQ20" s="191"/>
      <c r="KNA20" s="191"/>
      <c r="KNK20" s="191"/>
      <c r="KNU20" s="191"/>
      <c r="KOE20" s="191"/>
      <c r="KOO20" s="191"/>
      <c r="KOY20" s="191"/>
      <c r="KPI20" s="191"/>
      <c r="KPS20" s="191"/>
      <c r="KQC20" s="191"/>
      <c r="KQM20" s="191"/>
      <c r="KQW20" s="191"/>
      <c r="KRG20" s="191"/>
      <c r="KRQ20" s="191"/>
      <c r="KSA20" s="191"/>
      <c r="KSK20" s="191"/>
      <c r="KSU20" s="191"/>
      <c r="KTE20" s="191"/>
      <c r="KTO20" s="191"/>
      <c r="KTY20" s="191"/>
      <c r="KUI20" s="191"/>
      <c r="KUS20" s="191"/>
      <c r="KVC20" s="191"/>
      <c r="KVM20" s="191"/>
      <c r="KVW20" s="191"/>
      <c r="KWG20" s="191"/>
      <c r="KWQ20" s="191"/>
      <c r="KXA20" s="191"/>
      <c r="KXK20" s="191"/>
      <c r="KXU20" s="191"/>
      <c r="KYE20" s="191"/>
      <c r="KYO20" s="191"/>
      <c r="KYY20" s="191"/>
      <c r="KZI20" s="191"/>
      <c r="KZS20" s="191"/>
      <c r="LAC20" s="191"/>
      <c r="LAM20" s="191"/>
      <c r="LAW20" s="191"/>
      <c r="LBG20" s="191"/>
      <c r="LBQ20" s="191"/>
      <c r="LCA20" s="191"/>
      <c r="LCK20" s="191"/>
      <c r="LCU20" s="191"/>
      <c r="LDE20" s="191"/>
      <c r="LDO20" s="191"/>
      <c r="LDY20" s="191"/>
      <c r="LEI20" s="191"/>
      <c r="LES20" s="191"/>
      <c r="LFC20" s="191"/>
      <c r="LFM20" s="191"/>
      <c r="LFW20" s="191"/>
      <c r="LGG20" s="191"/>
      <c r="LGQ20" s="191"/>
      <c r="LHA20" s="191"/>
      <c r="LHK20" s="191"/>
      <c r="LHU20" s="191"/>
      <c r="LIE20" s="191"/>
      <c r="LIO20" s="191"/>
      <c r="LIY20" s="191"/>
      <c r="LJI20" s="191"/>
      <c r="LJS20" s="191"/>
      <c r="LKC20" s="191"/>
      <c r="LKM20" s="191"/>
      <c r="LKW20" s="191"/>
      <c r="LLG20" s="191"/>
      <c r="LLQ20" s="191"/>
      <c r="LMA20" s="191"/>
      <c r="LMK20" s="191"/>
      <c r="LMU20" s="191"/>
      <c r="LNE20" s="191"/>
      <c r="LNO20" s="191"/>
      <c r="LNY20" s="191"/>
      <c r="LOI20" s="191"/>
      <c r="LOS20" s="191"/>
      <c r="LPC20" s="191"/>
      <c r="LPM20" s="191"/>
      <c r="LPW20" s="191"/>
      <c r="LQG20" s="191"/>
      <c r="LQQ20" s="191"/>
      <c r="LRA20" s="191"/>
      <c r="LRK20" s="191"/>
      <c r="LRU20" s="191"/>
      <c r="LSE20" s="191"/>
      <c r="LSO20" s="191"/>
      <c r="LSY20" s="191"/>
      <c r="LTI20" s="191"/>
      <c r="LTS20" s="191"/>
      <c r="LUC20" s="191"/>
      <c r="LUM20" s="191"/>
      <c r="LUW20" s="191"/>
      <c r="LVG20" s="191"/>
      <c r="LVQ20" s="191"/>
      <c r="LWA20" s="191"/>
      <c r="LWK20" s="191"/>
      <c r="LWU20" s="191"/>
      <c r="LXE20" s="191"/>
      <c r="LXO20" s="191"/>
      <c r="LXY20" s="191"/>
      <c r="LYI20" s="191"/>
      <c r="LYS20" s="191"/>
      <c r="LZC20" s="191"/>
      <c r="LZM20" s="191"/>
      <c r="LZW20" s="191"/>
      <c r="MAG20" s="191"/>
      <c r="MAQ20" s="191"/>
      <c r="MBA20" s="191"/>
      <c r="MBK20" s="191"/>
      <c r="MBU20" s="191"/>
      <c r="MCE20" s="191"/>
      <c r="MCO20" s="191"/>
      <c r="MCY20" s="191"/>
      <c r="MDI20" s="191"/>
      <c r="MDS20" s="191"/>
      <c r="MEC20" s="191"/>
      <c r="MEM20" s="191"/>
      <c r="MEW20" s="191"/>
      <c r="MFG20" s="191"/>
      <c r="MFQ20" s="191"/>
      <c r="MGA20" s="191"/>
      <c r="MGK20" s="191"/>
      <c r="MGU20" s="191"/>
      <c r="MHE20" s="191"/>
      <c r="MHO20" s="191"/>
      <c r="MHY20" s="191"/>
      <c r="MII20" s="191"/>
      <c r="MIS20" s="191"/>
      <c r="MJC20" s="191"/>
      <c r="MJM20" s="191"/>
      <c r="MJW20" s="191"/>
      <c r="MKG20" s="191"/>
      <c r="MKQ20" s="191"/>
      <c r="MLA20" s="191"/>
      <c r="MLK20" s="191"/>
      <c r="MLU20" s="191"/>
      <c r="MME20" s="191"/>
      <c r="MMO20" s="191"/>
      <c r="MMY20" s="191"/>
      <c r="MNI20" s="191"/>
      <c r="MNS20" s="191"/>
      <c r="MOC20" s="191"/>
      <c r="MOM20" s="191"/>
      <c r="MOW20" s="191"/>
      <c r="MPG20" s="191"/>
      <c r="MPQ20" s="191"/>
      <c r="MQA20" s="191"/>
      <c r="MQK20" s="191"/>
      <c r="MQU20" s="191"/>
      <c r="MRE20" s="191"/>
      <c r="MRO20" s="191"/>
      <c r="MRY20" s="191"/>
      <c r="MSI20" s="191"/>
      <c r="MSS20" s="191"/>
      <c r="MTC20" s="191"/>
      <c r="MTM20" s="191"/>
      <c r="MTW20" s="191"/>
      <c r="MUG20" s="191"/>
      <c r="MUQ20" s="191"/>
      <c r="MVA20" s="191"/>
      <c r="MVK20" s="191"/>
      <c r="MVU20" s="191"/>
      <c r="MWE20" s="191"/>
      <c r="MWO20" s="191"/>
      <c r="MWY20" s="191"/>
      <c r="MXI20" s="191"/>
      <c r="MXS20" s="191"/>
      <c r="MYC20" s="191"/>
      <c r="MYM20" s="191"/>
      <c r="MYW20" s="191"/>
      <c r="MZG20" s="191"/>
      <c r="MZQ20" s="191"/>
      <c r="NAA20" s="191"/>
      <c r="NAK20" s="191"/>
      <c r="NAU20" s="191"/>
      <c r="NBE20" s="191"/>
      <c r="NBO20" s="191"/>
      <c r="NBY20" s="191"/>
      <c r="NCI20" s="191"/>
      <c r="NCS20" s="191"/>
      <c r="NDC20" s="191"/>
      <c r="NDM20" s="191"/>
      <c r="NDW20" s="191"/>
      <c r="NEG20" s="191"/>
      <c r="NEQ20" s="191"/>
      <c r="NFA20" s="191"/>
      <c r="NFK20" s="191"/>
      <c r="NFU20" s="191"/>
      <c r="NGE20" s="191"/>
      <c r="NGO20" s="191"/>
      <c r="NGY20" s="191"/>
      <c r="NHI20" s="191"/>
      <c r="NHS20" s="191"/>
      <c r="NIC20" s="191"/>
      <c r="NIM20" s="191"/>
      <c r="NIW20" s="191"/>
      <c r="NJG20" s="191"/>
      <c r="NJQ20" s="191"/>
      <c r="NKA20" s="191"/>
      <c r="NKK20" s="191"/>
      <c r="NKU20" s="191"/>
      <c r="NLE20" s="191"/>
      <c r="NLO20" s="191"/>
      <c r="NLY20" s="191"/>
      <c r="NMI20" s="191"/>
      <c r="NMS20" s="191"/>
      <c r="NNC20" s="191"/>
      <c r="NNM20" s="191"/>
      <c r="NNW20" s="191"/>
      <c r="NOG20" s="191"/>
      <c r="NOQ20" s="191"/>
      <c r="NPA20" s="191"/>
      <c r="NPK20" s="191"/>
      <c r="NPU20" s="191"/>
      <c r="NQE20" s="191"/>
      <c r="NQO20" s="191"/>
      <c r="NQY20" s="191"/>
      <c r="NRI20" s="191"/>
      <c r="NRS20" s="191"/>
      <c r="NSC20" s="191"/>
      <c r="NSM20" s="191"/>
      <c r="NSW20" s="191"/>
      <c r="NTG20" s="191"/>
      <c r="NTQ20" s="191"/>
      <c r="NUA20" s="191"/>
      <c r="NUK20" s="191"/>
      <c r="NUU20" s="191"/>
      <c r="NVE20" s="191"/>
      <c r="NVO20" s="191"/>
      <c r="NVY20" s="191"/>
      <c r="NWI20" s="191"/>
      <c r="NWS20" s="191"/>
      <c r="NXC20" s="191"/>
      <c r="NXM20" s="191"/>
      <c r="NXW20" s="191"/>
      <c r="NYG20" s="191"/>
      <c r="NYQ20" s="191"/>
      <c r="NZA20" s="191"/>
      <c r="NZK20" s="191"/>
      <c r="NZU20" s="191"/>
      <c r="OAE20" s="191"/>
      <c r="OAO20" s="191"/>
      <c r="OAY20" s="191"/>
      <c r="OBI20" s="191"/>
      <c r="OBS20" s="191"/>
      <c r="OCC20" s="191"/>
      <c r="OCM20" s="191"/>
      <c r="OCW20" s="191"/>
      <c r="ODG20" s="191"/>
      <c r="ODQ20" s="191"/>
      <c r="OEA20" s="191"/>
      <c r="OEK20" s="191"/>
      <c r="OEU20" s="191"/>
      <c r="OFE20" s="191"/>
      <c r="OFO20" s="191"/>
      <c r="OFY20" s="191"/>
      <c r="OGI20" s="191"/>
      <c r="OGS20" s="191"/>
      <c r="OHC20" s="191"/>
      <c r="OHM20" s="191"/>
      <c r="OHW20" s="191"/>
      <c r="OIG20" s="191"/>
      <c r="OIQ20" s="191"/>
      <c r="OJA20" s="191"/>
      <c r="OJK20" s="191"/>
      <c r="OJU20" s="191"/>
      <c r="OKE20" s="191"/>
      <c r="OKO20" s="191"/>
      <c r="OKY20" s="191"/>
      <c r="OLI20" s="191"/>
      <c r="OLS20" s="191"/>
      <c r="OMC20" s="191"/>
      <c r="OMM20" s="191"/>
      <c r="OMW20" s="191"/>
      <c r="ONG20" s="191"/>
      <c r="ONQ20" s="191"/>
      <c r="OOA20" s="191"/>
      <c r="OOK20" s="191"/>
      <c r="OOU20" s="191"/>
      <c r="OPE20" s="191"/>
      <c r="OPO20" s="191"/>
      <c r="OPY20" s="191"/>
      <c r="OQI20" s="191"/>
      <c r="OQS20" s="191"/>
      <c r="ORC20" s="191"/>
      <c r="ORM20" s="191"/>
      <c r="ORW20" s="191"/>
      <c r="OSG20" s="191"/>
      <c r="OSQ20" s="191"/>
      <c r="OTA20" s="191"/>
      <c r="OTK20" s="191"/>
      <c r="OTU20" s="191"/>
      <c r="OUE20" s="191"/>
      <c r="OUO20" s="191"/>
      <c r="OUY20" s="191"/>
      <c r="OVI20" s="191"/>
      <c r="OVS20" s="191"/>
      <c r="OWC20" s="191"/>
      <c r="OWM20" s="191"/>
      <c r="OWW20" s="191"/>
      <c r="OXG20" s="191"/>
      <c r="OXQ20" s="191"/>
      <c r="OYA20" s="191"/>
      <c r="OYK20" s="191"/>
      <c r="OYU20" s="191"/>
      <c r="OZE20" s="191"/>
      <c r="OZO20" s="191"/>
      <c r="OZY20" s="191"/>
      <c r="PAI20" s="191"/>
      <c r="PAS20" s="191"/>
      <c r="PBC20" s="191"/>
      <c r="PBM20" s="191"/>
      <c r="PBW20" s="191"/>
      <c r="PCG20" s="191"/>
      <c r="PCQ20" s="191"/>
      <c r="PDA20" s="191"/>
      <c r="PDK20" s="191"/>
      <c r="PDU20" s="191"/>
      <c r="PEE20" s="191"/>
      <c r="PEO20" s="191"/>
      <c r="PEY20" s="191"/>
      <c r="PFI20" s="191"/>
      <c r="PFS20" s="191"/>
      <c r="PGC20" s="191"/>
      <c r="PGM20" s="191"/>
      <c r="PGW20" s="191"/>
      <c r="PHG20" s="191"/>
      <c r="PHQ20" s="191"/>
      <c r="PIA20" s="191"/>
      <c r="PIK20" s="191"/>
      <c r="PIU20" s="191"/>
      <c r="PJE20" s="191"/>
      <c r="PJO20" s="191"/>
      <c r="PJY20" s="191"/>
      <c r="PKI20" s="191"/>
      <c r="PKS20" s="191"/>
      <c r="PLC20" s="191"/>
      <c r="PLM20" s="191"/>
      <c r="PLW20" s="191"/>
      <c r="PMG20" s="191"/>
      <c r="PMQ20" s="191"/>
      <c r="PNA20" s="191"/>
      <c r="PNK20" s="191"/>
      <c r="PNU20" s="191"/>
      <c r="POE20" s="191"/>
      <c r="POO20" s="191"/>
      <c r="POY20" s="191"/>
      <c r="PPI20" s="191"/>
      <c r="PPS20" s="191"/>
      <c r="PQC20" s="191"/>
      <c r="PQM20" s="191"/>
      <c r="PQW20" s="191"/>
      <c r="PRG20" s="191"/>
      <c r="PRQ20" s="191"/>
      <c r="PSA20" s="191"/>
      <c r="PSK20" s="191"/>
      <c r="PSU20" s="191"/>
      <c r="PTE20" s="191"/>
      <c r="PTO20" s="191"/>
      <c r="PTY20" s="191"/>
      <c r="PUI20" s="191"/>
      <c r="PUS20" s="191"/>
      <c r="PVC20" s="191"/>
      <c r="PVM20" s="191"/>
      <c r="PVW20" s="191"/>
      <c r="PWG20" s="191"/>
      <c r="PWQ20" s="191"/>
      <c r="PXA20" s="191"/>
      <c r="PXK20" s="191"/>
      <c r="PXU20" s="191"/>
      <c r="PYE20" s="191"/>
      <c r="PYO20" s="191"/>
      <c r="PYY20" s="191"/>
      <c r="PZI20" s="191"/>
      <c r="PZS20" s="191"/>
      <c r="QAC20" s="191"/>
      <c r="QAM20" s="191"/>
      <c r="QAW20" s="191"/>
      <c r="QBG20" s="191"/>
      <c r="QBQ20" s="191"/>
      <c r="QCA20" s="191"/>
      <c r="QCK20" s="191"/>
      <c r="QCU20" s="191"/>
      <c r="QDE20" s="191"/>
      <c r="QDO20" s="191"/>
      <c r="QDY20" s="191"/>
      <c r="QEI20" s="191"/>
      <c r="QES20" s="191"/>
      <c r="QFC20" s="191"/>
      <c r="QFM20" s="191"/>
      <c r="QFW20" s="191"/>
      <c r="QGG20" s="191"/>
      <c r="QGQ20" s="191"/>
      <c r="QHA20" s="191"/>
      <c r="QHK20" s="191"/>
      <c r="QHU20" s="191"/>
      <c r="QIE20" s="191"/>
      <c r="QIO20" s="191"/>
      <c r="QIY20" s="191"/>
      <c r="QJI20" s="191"/>
      <c r="QJS20" s="191"/>
      <c r="QKC20" s="191"/>
      <c r="QKM20" s="191"/>
      <c r="QKW20" s="191"/>
      <c r="QLG20" s="191"/>
      <c r="QLQ20" s="191"/>
      <c r="QMA20" s="191"/>
      <c r="QMK20" s="191"/>
      <c r="QMU20" s="191"/>
      <c r="QNE20" s="191"/>
      <c r="QNO20" s="191"/>
      <c r="QNY20" s="191"/>
      <c r="QOI20" s="191"/>
      <c r="QOS20" s="191"/>
      <c r="QPC20" s="191"/>
      <c r="QPM20" s="191"/>
      <c r="QPW20" s="191"/>
      <c r="QQG20" s="191"/>
      <c r="QQQ20" s="191"/>
      <c r="QRA20" s="191"/>
      <c r="QRK20" s="191"/>
      <c r="QRU20" s="191"/>
      <c r="QSE20" s="191"/>
      <c r="QSO20" s="191"/>
      <c r="QSY20" s="191"/>
      <c r="QTI20" s="191"/>
      <c r="QTS20" s="191"/>
      <c r="QUC20" s="191"/>
      <c r="QUM20" s="191"/>
      <c r="QUW20" s="191"/>
      <c r="QVG20" s="191"/>
      <c r="QVQ20" s="191"/>
      <c r="QWA20" s="191"/>
      <c r="QWK20" s="191"/>
      <c r="QWU20" s="191"/>
      <c r="QXE20" s="191"/>
      <c r="QXO20" s="191"/>
      <c r="QXY20" s="191"/>
      <c r="QYI20" s="191"/>
      <c r="QYS20" s="191"/>
      <c r="QZC20" s="191"/>
      <c r="QZM20" s="191"/>
      <c r="QZW20" s="191"/>
      <c r="RAG20" s="191"/>
      <c r="RAQ20" s="191"/>
      <c r="RBA20" s="191"/>
      <c r="RBK20" s="191"/>
      <c r="RBU20" s="191"/>
      <c r="RCE20" s="191"/>
      <c r="RCO20" s="191"/>
      <c r="RCY20" s="191"/>
      <c r="RDI20" s="191"/>
      <c r="RDS20" s="191"/>
      <c r="REC20" s="191"/>
      <c r="REM20" s="191"/>
      <c r="REW20" s="191"/>
      <c r="RFG20" s="191"/>
      <c r="RFQ20" s="191"/>
      <c r="RGA20" s="191"/>
      <c r="RGK20" s="191"/>
      <c r="RGU20" s="191"/>
      <c r="RHE20" s="191"/>
      <c r="RHO20" s="191"/>
      <c r="RHY20" s="191"/>
      <c r="RII20" s="191"/>
      <c r="RIS20" s="191"/>
      <c r="RJC20" s="191"/>
      <c r="RJM20" s="191"/>
      <c r="RJW20" s="191"/>
      <c r="RKG20" s="191"/>
      <c r="RKQ20" s="191"/>
      <c r="RLA20" s="191"/>
      <c r="RLK20" s="191"/>
      <c r="RLU20" s="191"/>
      <c r="RME20" s="191"/>
      <c r="RMO20" s="191"/>
      <c r="RMY20" s="191"/>
      <c r="RNI20" s="191"/>
      <c r="RNS20" s="191"/>
      <c r="ROC20" s="191"/>
      <c r="ROM20" s="191"/>
      <c r="ROW20" s="191"/>
      <c r="RPG20" s="191"/>
      <c r="RPQ20" s="191"/>
      <c r="RQA20" s="191"/>
      <c r="RQK20" s="191"/>
      <c r="RQU20" s="191"/>
      <c r="RRE20" s="191"/>
      <c r="RRO20" s="191"/>
      <c r="RRY20" s="191"/>
      <c r="RSI20" s="191"/>
      <c r="RSS20" s="191"/>
      <c r="RTC20" s="191"/>
      <c r="RTM20" s="191"/>
      <c r="RTW20" s="191"/>
      <c r="RUG20" s="191"/>
      <c r="RUQ20" s="191"/>
      <c r="RVA20" s="191"/>
      <c r="RVK20" s="191"/>
      <c r="RVU20" s="191"/>
      <c r="RWE20" s="191"/>
      <c r="RWO20" s="191"/>
      <c r="RWY20" s="191"/>
      <c r="RXI20" s="191"/>
      <c r="RXS20" s="191"/>
      <c r="RYC20" s="191"/>
      <c r="RYM20" s="191"/>
      <c r="RYW20" s="191"/>
      <c r="RZG20" s="191"/>
      <c r="RZQ20" s="191"/>
      <c r="SAA20" s="191"/>
      <c r="SAK20" s="191"/>
      <c r="SAU20" s="191"/>
      <c r="SBE20" s="191"/>
      <c r="SBO20" s="191"/>
      <c r="SBY20" s="191"/>
      <c r="SCI20" s="191"/>
      <c r="SCS20" s="191"/>
      <c r="SDC20" s="191"/>
      <c r="SDM20" s="191"/>
      <c r="SDW20" s="191"/>
      <c r="SEG20" s="191"/>
      <c r="SEQ20" s="191"/>
      <c r="SFA20" s="191"/>
      <c r="SFK20" s="191"/>
      <c r="SFU20" s="191"/>
      <c r="SGE20" s="191"/>
      <c r="SGO20" s="191"/>
      <c r="SGY20" s="191"/>
      <c r="SHI20" s="191"/>
      <c r="SHS20" s="191"/>
      <c r="SIC20" s="191"/>
      <c r="SIM20" s="191"/>
      <c r="SIW20" s="191"/>
      <c r="SJG20" s="191"/>
      <c r="SJQ20" s="191"/>
      <c r="SKA20" s="191"/>
      <c r="SKK20" s="191"/>
      <c r="SKU20" s="191"/>
      <c r="SLE20" s="191"/>
      <c r="SLO20" s="191"/>
      <c r="SLY20" s="191"/>
      <c r="SMI20" s="191"/>
      <c r="SMS20" s="191"/>
      <c r="SNC20" s="191"/>
      <c r="SNM20" s="191"/>
      <c r="SNW20" s="191"/>
      <c r="SOG20" s="191"/>
      <c r="SOQ20" s="191"/>
      <c r="SPA20" s="191"/>
      <c r="SPK20" s="191"/>
      <c r="SPU20" s="191"/>
      <c r="SQE20" s="191"/>
      <c r="SQO20" s="191"/>
      <c r="SQY20" s="191"/>
      <c r="SRI20" s="191"/>
      <c r="SRS20" s="191"/>
      <c r="SSC20" s="191"/>
      <c r="SSM20" s="191"/>
      <c r="SSW20" s="191"/>
      <c r="STG20" s="191"/>
      <c r="STQ20" s="191"/>
      <c r="SUA20" s="191"/>
      <c r="SUK20" s="191"/>
      <c r="SUU20" s="191"/>
      <c r="SVE20" s="191"/>
      <c r="SVO20" s="191"/>
      <c r="SVY20" s="191"/>
      <c r="SWI20" s="191"/>
      <c r="SWS20" s="191"/>
      <c r="SXC20" s="191"/>
      <c r="SXM20" s="191"/>
      <c r="SXW20" s="191"/>
      <c r="SYG20" s="191"/>
      <c r="SYQ20" s="191"/>
      <c r="SZA20" s="191"/>
      <c r="SZK20" s="191"/>
      <c r="SZU20" s="191"/>
      <c r="TAE20" s="191"/>
      <c r="TAO20" s="191"/>
      <c r="TAY20" s="191"/>
      <c r="TBI20" s="191"/>
      <c r="TBS20" s="191"/>
      <c r="TCC20" s="191"/>
      <c r="TCM20" s="191"/>
      <c r="TCW20" s="191"/>
      <c r="TDG20" s="191"/>
      <c r="TDQ20" s="191"/>
      <c r="TEA20" s="191"/>
      <c r="TEK20" s="191"/>
      <c r="TEU20" s="191"/>
      <c r="TFE20" s="191"/>
      <c r="TFO20" s="191"/>
      <c r="TFY20" s="191"/>
      <c r="TGI20" s="191"/>
      <c r="TGS20" s="191"/>
      <c r="THC20" s="191"/>
      <c r="THM20" s="191"/>
      <c r="THW20" s="191"/>
      <c r="TIG20" s="191"/>
      <c r="TIQ20" s="191"/>
      <c r="TJA20" s="191"/>
      <c r="TJK20" s="191"/>
      <c r="TJU20" s="191"/>
      <c r="TKE20" s="191"/>
      <c r="TKO20" s="191"/>
      <c r="TKY20" s="191"/>
      <c r="TLI20" s="191"/>
      <c r="TLS20" s="191"/>
      <c r="TMC20" s="191"/>
      <c r="TMM20" s="191"/>
      <c r="TMW20" s="191"/>
      <c r="TNG20" s="191"/>
      <c r="TNQ20" s="191"/>
      <c r="TOA20" s="191"/>
      <c r="TOK20" s="191"/>
      <c r="TOU20" s="191"/>
      <c r="TPE20" s="191"/>
      <c r="TPO20" s="191"/>
      <c r="TPY20" s="191"/>
      <c r="TQI20" s="191"/>
      <c r="TQS20" s="191"/>
      <c r="TRC20" s="191"/>
      <c r="TRM20" s="191"/>
      <c r="TRW20" s="191"/>
      <c r="TSG20" s="191"/>
      <c r="TSQ20" s="191"/>
      <c r="TTA20" s="191"/>
      <c r="TTK20" s="191"/>
      <c r="TTU20" s="191"/>
      <c r="TUE20" s="191"/>
      <c r="TUO20" s="191"/>
      <c r="TUY20" s="191"/>
      <c r="TVI20" s="191"/>
      <c r="TVS20" s="191"/>
      <c r="TWC20" s="191"/>
      <c r="TWM20" s="191"/>
      <c r="TWW20" s="191"/>
      <c r="TXG20" s="191"/>
      <c r="TXQ20" s="191"/>
      <c r="TYA20" s="191"/>
      <c r="TYK20" s="191"/>
      <c r="TYU20" s="191"/>
      <c r="TZE20" s="191"/>
      <c r="TZO20" s="191"/>
      <c r="TZY20" s="191"/>
      <c r="UAI20" s="191"/>
      <c r="UAS20" s="191"/>
      <c r="UBC20" s="191"/>
      <c r="UBM20" s="191"/>
      <c r="UBW20" s="191"/>
      <c r="UCG20" s="191"/>
      <c r="UCQ20" s="191"/>
      <c r="UDA20" s="191"/>
      <c r="UDK20" s="191"/>
      <c r="UDU20" s="191"/>
      <c r="UEE20" s="191"/>
      <c r="UEO20" s="191"/>
      <c r="UEY20" s="191"/>
      <c r="UFI20" s="191"/>
      <c r="UFS20" s="191"/>
      <c r="UGC20" s="191"/>
      <c r="UGM20" s="191"/>
      <c r="UGW20" s="191"/>
      <c r="UHG20" s="191"/>
      <c r="UHQ20" s="191"/>
      <c r="UIA20" s="191"/>
      <c r="UIK20" s="191"/>
      <c r="UIU20" s="191"/>
      <c r="UJE20" s="191"/>
      <c r="UJO20" s="191"/>
      <c r="UJY20" s="191"/>
      <c r="UKI20" s="191"/>
      <c r="UKS20" s="191"/>
      <c r="ULC20" s="191"/>
      <c r="ULM20" s="191"/>
      <c r="ULW20" s="191"/>
      <c r="UMG20" s="191"/>
      <c r="UMQ20" s="191"/>
      <c r="UNA20" s="191"/>
      <c r="UNK20" s="191"/>
      <c r="UNU20" s="191"/>
      <c r="UOE20" s="191"/>
      <c r="UOO20" s="191"/>
      <c r="UOY20" s="191"/>
      <c r="UPI20" s="191"/>
      <c r="UPS20" s="191"/>
      <c r="UQC20" s="191"/>
      <c r="UQM20" s="191"/>
      <c r="UQW20" s="191"/>
      <c r="URG20" s="191"/>
      <c r="URQ20" s="191"/>
      <c r="USA20" s="191"/>
      <c r="USK20" s="191"/>
      <c r="USU20" s="191"/>
      <c r="UTE20" s="191"/>
      <c r="UTO20" s="191"/>
      <c r="UTY20" s="191"/>
      <c r="UUI20" s="191"/>
      <c r="UUS20" s="191"/>
      <c r="UVC20" s="191"/>
      <c r="UVM20" s="191"/>
      <c r="UVW20" s="191"/>
      <c r="UWG20" s="191"/>
      <c r="UWQ20" s="191"/>
      <c r="UXA20" s="191"/>
      <c r="UXK20" s="191"/>
      <c r="UXU20" s="191"/>
      <c r="UYE20" s="191"/>
      <c r="UYO20" s="191"/>
      <c r="UYY20" s="191"/>
      <c r="UZI20" s="191"/>
      <c r="UZS20" s="191"/>
      <c r="VAC20" s="191"/>
      <c r="VAM20" s="191"/>
      <c r="VAW20" s="191"/>
      <c r="VBG20" s="191"/>
      <c r="VBQ20" s="191"/>
      <c r="VCA20" s="191"/>
      <c r="VCK20" s="191"/>
      <c r="VCU20" s="191"/>
      <c r="VDE20" s="191"/>
      <c r="VDO20" s="191"/>
      <c r="VDY20" s="191"/>
      <c r="VEI20" s="191"/>
      <c r="VES20" s="191"/>
      <c r="VFC20" s="191"/>
      <c r="VFM20" s="191"/>
      <c r="VFW20" s="191"/>
      <c r="VGG20" s="191"/>
      <c r="VGQ20" s="191"/>
      <c r="VHA20" s="191"/>
      <c r="VHK20" s="191"/>
      <c r="VHU20" s="191"/>
      <c r="VIE20" s="191"/>
      <c r="VIO20" s="191"/>
      <c r="VIY20" s="191"/>
      <c r="VJI20" s="191"/>
      <c r="VJS20" s="191"/>
      <c r="VKC20" s="191"/>
      <c r="VKM20" s="191"/>
      <c r="VKW20" s="191"/>
      <c r="VLG20" s="191"/>
      <c r="VLQ20" s="191"/>
      <c r="VMA20" s="191"/>
      <c r="VMK20" s="191"/>
      <c r="VMU20" s="191"/>
      <c r="VNE20" s="191"/>
      <c r="VNO20" s="191"/>
      <c r="VNY20" s="191"/>
      <c r="VOI20" s="191"/>
      <c r="VOS20" s="191"/>
      <c r="VPC20" s="191"/>
      <c r="VPM20" s="191"/>
      <c r="VPW20" s="191"/>
      <c r="VQG20" s="191"/>
      <c r="VQQ20" s="191"/>
      <c r="VRA20" s="191"/>
      <c r="VRK20" s="191"/>
      <c r="VRU20" s="191"/>
      <c r="VSE20" s="191"/>
      <c r="VSO20" s="191"/>
      <c r="VSY20" s="191"/>
      <c r="VTI20" s="191"/>
      <c r="VTS20" s="191"/>
      <c r="VUC20" s="191"/>
      <c r="VUM20" s="191"/>
      <c r="VUW20" s="191"/>
      <c r="VVG20" s="191"/>
      <c r="VVQ20" s="191"/>
      <c r="VWA20" s="191"/>
      <c r="VWK20" s="191"/>
      <c r="VWU20" s="191"/>
      <c r="VXE20" s="191"/>
      <c r="VXO20" s="191"/>
      <c r="VXY20" s="191"/>
      <c r="VYI20" s="191"/>
      <c r="VYS20" s="191"/>
      <c r="VZC20" s="191"/>
      <c r="VZM20" s="191"/>
      <c r="VZW20" s="191"/>
      <c r="WAG20" s="191"/>
      <c r="WAQ20" s="191"/>
      <c r="WBA20" s="191"/>
      <c r="WBK20" s="191"/>
      <c r="WBU20" s="191"/>
      <c r="WCE20" s="191"/>
      <c r="WCO20" s="191"/>
      <c r="WCY20" s="191"/>
      <c r="WDI20" s="191"/>
      <c r="WDS20" s="191"/>
      <c r="WEC20" s="191"/>
      <c r="WEM20" s="191"/>
      <c r="WEW20" s="191"/>
      <c r="WFG20" s="191"/>
      <c r="WFQ20" s="191"/>
      <c r="WGA20" s="191"/>
      <c r="WGK20" s="191"/>
      <c r="WGU20" s="191"/>
      <c r="WHE20" s="191"/>
      <c r="WHO20" s="191"/>
      <c r="WHY20" s="191"/>
      <c r="WII20" s="191"/>
      <c r="WIS20" s="191"/>
      <c r="WJC20" s="191"/>
      <c r="WJM20" s="191"/>
      <c r="WJW20" s="191"/>
      <c r="WKG20" s="191"/>
      <c r="WKQ20" s="191"/>
      <c r="WLA20" s="191"/>
      <c r="WLK20" s="191"/>
      <c r="WLU20" s="191"/>
      <c r="WME20" s="191"/>
      <c r="WMO20" s="191"/>
      <c r="WMY20" s="191"/>
      <c r="WNI20" s="191"/>
      <c r="WNS20" s="191"/>
      <c r="WOC20" s="191"/>
      <c r="WOM20" s="191"/>
      <c r="WOW20" s="191"/>
      <c r="WPG20" s="191"/>
      <c r="WPQ20" s="191"/>
      <c r="WQA20" s="191"/>
      <c r="WQK20" s="191"/>
      <c r="WQU20" s="191"/>
      <c r="WRE20" s="191"/>
      <c r="WRO20" s="191"/>
      <c r="WRY20" s="191"/>
      <c r="WSI20" s="191"/>
      <c r="WSS20" s="191"/>
      <c r="WTC20" s="191"/>
      <c r="WTM20" s="191"/>
      <c r="WTW20" s="191"/>
      <c r="WUG20" s="191"/>
      <c r="WUQ20" s="191"/>
      <c r="WVA20" s="191"/>
      <c r="WVK20" s="191"/>
      <c r="WVU20" s="191"/>
      <c r="WWE20" s="191"/>
      <c r="WWO20" s="191"/>
      <c r="WWY20" s="191"/>
      <c r="WXI20" s="191"/>
      <c r="WXS20" s="191"/>
      <c r="WYC20" s="191"/>
      <c r="WYM20" s="191"/>
      <c r="WYW20" s="191"/>
      <c r="WZG20" s="191"/>
      <c r="WZQ20" s="191"/>
      <c r="XAA20" s="191"/>
      <c r="XAK20" s="191"/>
      <c r="XAU20" s="191"/>
      <c r="XBE20" s="191"/>
      <c r="XBO20" s="191"/>
      <c r="XBY20" s="191"/>
      <c r="XCI20" s="191"/>
      <c r="XCS20" s="191"/>
      <c r="XDC20" s="191"/>
      <c r="XDM20" s="191"/>
      <c r="XDW20" s="191"/>
      <c r="XEG20" s="191"/>
      <c r="XEQ20" s="191"/>
      <c r="XFA20" s="191"/>
    </row>
    <row r="21" s="445" customFormat="1" ht="13.2" spans="1:16381">
      <c r="A21" s="191" t="s">
        <v>60</v>
      </c>
      <c r="B21" s="445">
        <v>2025</v>
      </c>
      <c r="C21" s="668" t="s">
        <v>833</v>
      </c>
      <c r="D21" s="445">
        <v>81.9</v>
      </c>
      <c r="E21" s="445">
        <v>9323.4</v>
      </c>
      <c r="F21" s="445">
        <v>25.72</v>
      </c>
      <c r="G21" s="445">
        <v>-358.95</v>
      </c>
      <c r="H21" s="445">
        <v>178.78</v>
      </c>
      <c r="I21" s="445">
        <v>0</v>
      </c>
      <c r="J21" s="445">
        <v>-154.45</v>
      </c>
      <c r="K21" s="191"/>
      <c r="U21" s="191"/>
      <c r="AE21" s="191"/>
      <c r="AO21" s="191"/>
      <c r="AY21" s="191"/>
      <c r="BI21" s="191"/>
      <c r="BS21" s="191"/>
      <c r="CC21" s="191"/>
      <c r="CM21" s="191"/>
      <c r="CW21" s="191"/>
      <c r="DG21" s="191"/>
      <c r="DQ21" s="191"/>
      <c r="EA21" s="191"/>
      <c r="EK21" s="191"/>
      <c r="EU21" s="191"/>
      <c r="FE21" s="191"/>
      <c r="FO21" s="191"/>
      <c r="FY21" s="191"/>
      <c r="GI21" s="191"/>
      <c r="GS21" s="191"/>
      <c r="HC21" s="191"/>
      <c r="HM21" s="191"/>
      <c r="HW21" s="191"/>
      <c r="IG21" s="191"/>
      <c r="IQ21" s="191"/>
      <c r="JA21" s="191"/>
      <c r="JK21" s="191"/>
      <c r="JU21" s="191"/>
      <c r="KE21" s="191"/>
      <c r="KO21" s="191"/>
      <c r="KY21" s="191"/>
      <c r="LI21" s="191"/>
      <c r="LS21" s="191"/>
      <c r="MC21" s="191"/>
      <c r="MM21" s="191"/>
      <c r="MW21" s="191"/>
      <c r="NG21" s="191"/>
      <c r="NQ21" s="191"/>
      <c r="OA21" s="191"/>
      <c r="OK21" s="191"/>
      <c r="OU21" s="191"/>
      <c r="PE21" s="191"/>
      <c r="PO21" s="191"/>
      <c r="PY21" s="191"/>
      <c r="QI21" s="191"/>
      <c r="QS21" s="191"/>
      <c r="RC21" s="191"/>
      <c r="RM21" s="191"/>
      <c r="RW21" s="191"/>
      <c r="SG21" s="191"/>
      <c r="SQ21" s="191"/>
      <c r="TA21" s="191"/>
      <c r="TK21" s="191"/>
      <c r="TU21" s="191"/>
      <c r="UE21" s="191"/>
      <c r="UO21" s="191"/>
      <c r="UY21" s="191"/>
      <c r="VI21" s="191"/>
      <c r="VS21" s="191"/>
      <c r="WC21" s="191"/>
      <c r="WM21" s="191"/>
      <c r="WW21" s="191"/>
      <c r="XG21" s="191"/>
      <c r="XQ21" s="191"/>
      <c r="YA21" s="191"/>
      <c r="YK21" s="191"/>
      <c r="YU21" s="191"/>
      <c r="ZE21" s="191"/>
      <c r="ZO21" s="191"/>
      <c r="ZY21" s="191"/>
      <c r="AAI21" s="191"/>
      <c r="AAS21" s="191"/>
      <c r="ABC21" s="191"/>
      <c r="ABM21" s="191"/>
      <c r="ABW21" s="191"/>
      <c r="ACG21" s="191"/>
      <c r="ACQ21" s="191"/>
      <c r="ADA21" s="191"/>
      <c r="ADK21" s="191"/>
      <c r="ADU21" s="191"/>
      <c r="AEE21" s="191"/>
      <c r="AEO21" s="191"/>
      <c r="AEY21" s="191"/>
      <c r="AFI21" s="191"/>
      <c r="AFS21" s="191"/>
      <c r="AGC21" s="191"/>
      <c r="AGM21" s="191"/>
      <c r="AGW21" s="191"/>
      <c r="AHG21" s="191"/>
      <c r="AHQ21" s="191"/>
      <c r="AIA21" s="191"/>
      <c r="AIK21" s="191"/>
      <c r="AIU21" s="191"/>
      <c r="AJE21" s="191"/>
      <c r="AJO21" s="191"/>
      <c r="AJY21" s="191"/>
      <c r="AKI21" s="191"/>
      <c r="AKS21" s="191"/>
      <c r="ALC21" s="191"/>
      <c r="ALM21" s="191"/>
      <c r="ALW21" s="191"/>
      <c r="AMG21" s="191"/>
      <c r="AMQ21" s="191"/>
      <c r="ANA21" s="191"/>
      <c r="ANK21" s="191"/>
      <c r="ANU21" s="191"/>
      <c r="AOE21" s="191"/>
      <c r="AOO21" s="191"/>
      <c r="AOY21" s="191"/>
      <c r="API21" s="191"/>
      <c r="APS21" s="191"/>
      <c r="AQC21" s="191"/>
      <c r="AQM21" s="191"/>
      <c r="AQW21" s="191"/>
      <c r="ARG21" s="191"/>
      <c r="ARQ21" s="191"/>
      <c r="ASA21" s="191"/>
      <c r="ASK21" s="191"/>
      <c r="ASU21" s="191"/>
      <c r="ATE21" s="191"/>
      <c r="ATO21" s="191"/>
      <c r="ATY21" s="191"/>
      <c r="AUI21" s="191"/>
      <c r="AUS21" s="191"/>
      <c r="AVC21" s="191"/>
      <c r="AVM21" s="191"/>
      <c r="AVW21" s="191"/>
      <c r="AWG21" s="191"/>
      <c r="AWQ21" s="191"/>
      <c r="AXA21" s="191"/>
      <c r="AXK21" s="191"/>
      <c r="AXU21" s="191"/>
      <c r="AYE21" s="191"/>
      <c r="AYO21" s="191"/>
      <c r="AYY21" s="191"/>
      <c r="AZI21" s="191"/>
      <c r="AZS21" s="191"/>
      <c r="BAC21" s="191"/>
      <c r="BAM21" s="191"/>
      <c r="BAW21" s="191"/>
      <c r="BBG21" s="191"/>
      <c r="BBQ21" s="191"/>
      <c r="BCA21" s="191"/>
      <c r="BCK21" s="191"/>
      <c r="BCU21" s="191"/>
      <c r="BDE21" s="191"/>
      <c r="BDO21" s="191"/>
      <c r="BDY21" s="191"/>
      <c r="BEI21" s="191"/>
      <c r="BES21" s="191"/>
      <c r="BFC21" s="191"/>
      <c r="BFM21" s="191"/>
      <c r="BFW21" s="191"/>
      <c r="BGG21" s="191"/>
      <c r="BGQ21" s="191"/>
      <c r="BHA21" s="191"/>
      <c r="BHK21" s="191"/>
      <c r="BHU21" s="191"/>
      <c r="BIE21" s="191"/>
      <c r="BIO21" s="191"/>
      <c r="BIY21" s="191"/>
      <c r="BJI21" s="191"/>
      <c r="BJS21" s="191"/>
      <c r="BKC21" s="191"/>
      <c r="BKM21" s="191"/>
      <c r="BKW21" s="191"/>
      <c r="BLG21" s="191"/>
      <c r="BLQ21" s="191"/>
      <c r="BMA21" s="191"/>
      <c r="BMK21" s="191"/>
      <c r="BMU21" s="191"/>
      <c r="BNE21" s="191"/>
      <c r="BNO21" s="191"/>
      <c r="BNY21" s="191"/>
      <c r="BOI21" s="191"/>
      <c r="BOS21" s="191"/>
      <c r="BPC21" s="191"/>
      <c r="BPM21" s="191"/>
      <c r="BPW21" s="191"/>
      <c r="BQG21" s="191"/>
      <c r="BQQ21" s="191"/>
      <c r="BRA21" s="191"/>
      <c r="BRK21" s="191"/>
      <c r="BRU21" s="191"/>
      <c r="BSE21" s="191"/>
      <c r="BSO21" s="191"/>
      <c r="BSY21" s="191"/>
      <c r="BTI21" s="191"/>
      <c r="BTS21" s="191"/>
      <c r="BUC21" s="191"/>
      <c r="BUM21" s="191"/>
      <c r="BUW21" s="191"/>
      <c r="BVG21" s="191"/>
      <c r="BVQ21" s="191"/>
      <c r="BWA21" s="191"/>
      <c r="BWK21" s="191"/>
      <c r="BWU21" s="191"/>
      <c r="BXE21" s="191"/>
      <c r="BXO21" s="191"/>
      <c r="BXY21" s="191"/>
      <c r="BYI21" s="191"/>
      <c r="BYS21" s="191"/>
      <c r="BZC21" s="191"/>
      <c r="BZM21" s="191"/>
      <c r="BZW21" s="191"/>
      <c r="CAG21" s="191"/>
      <c r="CAQ21" s="191"/>
      <c r="CBA21" s="191"/>
      <c r="CBK21" s="191"/>
      <c r="CBU21" s="191"/>
      <c r="CCE21" s="191"/>
      <c r="CCO21" s="191"/>
      <c r="CCY21" s="191"/>
      <c r="CDI21" s="191"/>
      <c r="CDS21" s="191"/>
      <c r="CEC21" s="191"/>
      <c r="CEM21" s="191"/>
      <c r="CEW21" s="191"/>
      <c r="CFG21" s="191"/>
      <c r="CFQ21" s="191"/>
      <c r="CGA21" s="191"/>
      <c r="CGK21" s="191"/>
      <c r="CGU21" s="191"/>
      <c r="CHE21" s="191"/>
      <c r="CHO21" s="191"/>
      <c r="CHY21" s="191"/>
      <c r="CII21" s="191"/>
      <c r="CIS21" s="191"/>
      <c r="CJC21" s="191"/>
      <c r="CJM21" s="191"/>
      <c r="CJW21" s="191"/>
      <c r="CKG21" s="191"/>
      <c r="CKQ21" s="191"/>
      <c r="CLA21" s="191"/>
      <c r="CLK21" s="191"/>
      <c r="CLU21" s="191"/>
      <c r="CME21" s="191"/>
      <c r="CMO21" s="191"/>
      <c r="CMY21" s="191"/>
      <c r="CNI21" s="191"/>
      <c r="CNS21" s="191"/>
      <c r="COC21" s="191"/>
      <c r="COM21" s="191"/>
      <c r="COW21" s="191"/>
      <c r="CPG21" s="191"/>
      <c r="CPQ21" s="191"/>
      <c r="CQA21" s="191"/>
      <c r="CQK21" s="191"/>
      <c r="CQU21" s="191"/>
      <c r="CRE21" s="191"/>
      <c r="CRO21" s="191"/>
      <c r="CRY21" s="191"/>
      <c r="CSI21" s="191"/>
      <c r="CSS21" s="191"/>
      <c r="CTC21" s="191"/>
      <c r="CTM21" s="191"/>
      <c r="CTW21" s="191"/>
      <c r="CUG21" s="191"/>
      <c r="CUQ21" s="191"/>
      <c r="CVA21" s="191"/>
      <c r="CVK21" s="191"/>
      <c r="CVU21" s="191"/>
      <c r="CWE21" s="191"/>
      <c r="CWO21" s="191"/>
      <c r="CWY21" s="191"/>
      <c r="CXI21" s="191"/>
      <c r="CXS21" s="191"/>
      <c r="CYC21" s="191"/>
      <c r="CYM21" s="191"/>
      <c r="CYW21" s="191"/>
      <c r="CZG21" s="191"/>
      <c r="CZQ21" s="191"/>
      <c r="DAA21" s="191"/>
      <c r="DAK21" s="191"/>
      <c r="DAU21" s="191"/>
      <c r="DBE21" s="191"/>
      <c r="DBO21" s="191"/>
      <c r="DBY21" s="191"/>
      <c r="DCI21" s="191"/>
      <c r="DCS21" s="191"/>
      <c r="DDC21" s="191"/>
      <c r="DDM21" s="191"/>
      <c r="DDW21" s="191"/>
      <c r="DEG21" s="191"/>
      <c r="DEQ21" s="191"/>
      <c r="DFA21" s="191"/>
      <c r="DFK21" s="191"/>
      <c r="DFU21" s="191"/>
      <c r="DGE21" s="191"/>
      <c r="DGO21" s="191"/>
      <c r="DGY21" s="191"/>
      <c r="DHI21" s="191"/>
      <c r="DHS21" s="191"/>
      <c r="DIC21" s="191"/>
      <c r="DIM21" s="191"/>
      <c r="DIW21" s="191"/>
      <c r="DJG21" s="191"/>
      <c r="DJQ21" s="191"/>
      <c r="DKA21" s="191"/>
      <c r="DKK21" s="191"/>
      <c r="DKU21" s="191"/>
      <c r="DLE21" s="191"/>
      <c r="DLO21" s="191"/>
      <c r="DLY21" s="191"/>
      <c r="DMI21" s="191"/>
      <c r="DMS21" s="191"/>
      <c r="DNC21" s="191"/>
      <c r="DNM21" s="191"/>
      <c r="DNW21" s="191"/>
      <c r="DOG21" s="191"/>
      <c r="DOQ21" s="191"/>
      <c r="DPA21" s="191"/>
      <c r="DPK21" s="191"/>
      <c r="DPU21" s="191"/>
      <c r="DQE21" s="191"/>
      <c r="DQO21" s="191"/>
      <c r="DQY21" s="191"/>
      <c r="DRI21" s="191"/>
      <c r="DRS21" s="191"/>
      <c r="DSC21" s="191"/>
      <c r="DSM21" s="191"/>
      <c r="DSW21" s="191"/>
      <c r="DTG21" s="191"/>
      <c r="DTQ21" s="191"/>
      <c r="DUA21" s="191"/>
      <c r="DUK21" s="191"/>
      <c r="DUU21" s="191"/>
      <c r="DVE21" s="191"/>
      <c r="DVO21" s="191"/>
      <c r="DVY21" s="191"/>
      <c r="DWI21" s="191"/>
      <c r="DWS21" s="191"/>
      <c r="DXC21" s="191"/>
      <c r="DXM21" s="191"/>
      <c r="DXW21" s="191"/>
      <c r="DYG21" s="191"/>
      <c r="DYQ21" s="191"/>
      <c r="DZA21" s="191"/>
      <c r="DZK21" s="191"/>
      <c r="DZU21" s="191"/>
      <c r="EAE21" s="191"/>
      <c r="EAO21" s="191"/>
      <c r="EAY21" s="191"/>
      <c r="EBI21" s="191"/>
      <c r="EBS21" s="191"/>
      <c r="ECC21" s="191"/>
      <c r="ECM21" s="191"/>
      <c r="ECW21" s="191"/>
      <c r="EDG21" s="191"/>
      <c r="EDQ21" s="191"/>
      <c r="EEA21" s="191"/>
      <c r="EEK21" s="191"/>
      <c r="EEU21" s="191"/>
      <c r="EFE21" s="191"/>
      <c r="EFO21" s="191"/>
      <c r="EFY21" s="191"/>
      <c r="EGI21" s="191"/>
      <c r="EGS21" s="191"/>
      <c r="EHC21" s="191"/>
      <c r="EHM21" s="191"/>
      <c r="EHW21" s="191"/>
      <c r="EIG21" s="191"/>
      <c r="EIQ21" s="191"/>
      <c r="EJA21" s="191"/>
      <c r="EJK21" s="191"/>
      <c r="EJU21" s="191"/>
      <c r="EKE21" s="191"/>
      <c r="EKO21" s="191"/>
      <c r="EKY21" s="191"/>
      <c r="ELI21" s="191"/>
      <c r="ELS21" s="191"/>
      <c r="EMC21" s="191"/>
      <c r="EMM21" s="191"/>
      <c r="EMW21" s="191"/>
      <c r="ENG21" s="191"/>
      <c r="ENQ21" s="191"/>
      <c r="EOA21" s="191"/>
      <c r="EOK21" s="191"/>
      <c r="EOU21" s="191"/>
      <c r="EPE21" s="191"/>
      <c r="EPO21" s="191"/>
      <c r="EPY21" s="191"/>
      <c r="EQI21" s="191"/>
      <c r="EQS21" s="191"/>
      <c r="ERC21" s="191"/>
      <c r="ERM21" s="191"/>
      <c r="ERW21" s="191"/>
      <c r="ESG21" s="191"/>
      <c r="ESQ21" s="191"/>
      <c r="ETA21" s="191"/>
      <c r="ETK21" s="191"/>
      <c r="ETU21" s="191"/>
      <c r="EUE21" s="191"/>
      <c r="EUO21" s="191"/>
      <c r="EUY21" s="191"/>
      <c r="EVI21" s="191"/>
      <c r="EVS21" s="191"/>
      <c r="EWC21" s="191"/>
      <c r="EWM21" s="191"/>
      <c r="EWW21" s="191"/>
      <c r="EXG21" s="191"/>
      <c r="EXQ21" s="191"/>
      <c r="EYA21" s="191"/>
      <c r="EYK21" s="191"/>
      <c r="EYU21" s="191"/>
      <c r="EZE21" s="191"/>
      <c r="EZO21" s="191"/>
      <c r="EZY21" s="191"/>
      <c r="FAI21" s="191"/>
      <c r="FAS21" s="191"/>
      <c r="FBC21" s="191"/>
      <c r="FBM21" s="191"/>
      <c r="FBW21" s="191"/>
      <c r="FCG21" s="191"/>
      <c r="FCQ21" s="191"/>
      <c r="FDA21" s="191"/>
      <c r="FDK21" s="191"/>
      <c r="FDU21" s="191"/>
      <c r="FEE21" s="191"/>
      <c r="FEO21" s="191"/>
      <c r="FEY21" s="191"/>
      <c r="FFI21" s="191"/>
      <c r="FFS21" s="191"/>
      <c r="FGC21" s="191"/>
      <c r="FGM21" s="191"/>
      <c r="FGW21" s="191"/>
      <c r="FHG21" s="191"/>
      <c r="FHQ21" s="191"/>
      <c r="FIA21" s="191"/>
      <c r="FIK21" s="191"/>
      <c r="FIU21" s="191"/>
      <c r="FJE21" s="191"/>
      <c r="FJO21" s="191"/>
      <c r="FJY21" s="191"/>
      <c r="FKI21" s="191"/>
      <c r="FKS21" s="191"/>
      <c r="FLC21" s="191"/>
      <c r="FLM21" s="191"/>
      <c r="FLW21" s="191"/>
      <c r="FMG21" s="191"/>
      <c r="FMQ21" s="191"/>
      <c r="FNA21" s="191"/>
      <c r="FNK21" s="191"/>
      <c r="FNU21" s="191"/>
      <c r="FOE21" s="191"/>
      <c r="FOO21" s="191"/>
      <c r="FOY21" s="191"/>
      <c r="FPI21" s="191"/>
      <c r="FPS21" s="191"/>
      <c r="FQC21" s="191"/>
      <c r="FQM21" s="191"/>
      <c r="FQW21" s="191"/>
      <c r="FRG21" s="191"/>
      <c r="FRQ21" s="191"/>
      <c r="FSA21" s="191"/>
      <c r="FSK21" s="191"/>
      <c r="FSU21" s="191"/>
      <c r="FTE21" s="191"/>
      <c r="FTO21" s="191"/>
      <c r="FTY21" s="191"/>
      <c r="FUI21" s="191"/>
      <c r="FUS21" s="191"/>
      <c r="FVC21" s="191"/>
      <c r="FVM21" s="191"/>
      <c r="FVW21" s="191"/>
      <c r="FWG21" s="191"/>
      <c r="FWQ21" s="191"/>
      <c r="FXA21" s="191"/>
      <c r="FXK21" s="191"/>
      <c r="FXU21" s="191"/>
      <c r="FYE21" s="191"/>
      <c r="FYO21" s="191"/>
      <c r="FYY21" s="191"/>
      <c r="FZI21" s="191"/>
      <c r="FZS21" s="191"/>
      <c r="GAC21" s="191"/>
      <c r="GAM21" s="191"/>
      <c r="GAW21" s="191"/>
      <c r="GBG21" s="191"/>
      <c r="GBQ21" s="191"/>
      <c r="GCA21" s="191"/>
      <c r="GCK21" s="191"/>
      <c r="GCU21" s="191"/>
      <c r="GDE21" s="191"/>
      <c r="GDO21" s="191"/>
      <c r="GDY21" s="191"/>
      <c r="GEI21" s="191"/>
      <c r="GES21" s="191"/>
      <c r="GFC21" s="191"/>
      <c r="GFM21" s="191"/>
      <c r="GFW21" s="191"/>
      <c r="GGG21" s="191"/>
      <c r="GGQ21" s="191"/>
      <c r="GHA21" s="191"/>
      <c r="GHK21" s="191"/>
      <c r="GHU21" s="191"/>
      <c r="GIE21" s="191"/>
      <c r="GIO21" s="191"/>
      <c r="GIY21" s="191"/>
      <c r="GJI21" s="191"/>
      <c r="GJS21" s="191"/>
      <c r="GKC21" s="191"/>
      <c r="GKM21" s="191"/>
      <c r="GKW21" s="191"/>
      <c r="GLG21" s="191"/>
      <c r="GLQ21" s="191"/>
      <c r="GMA21" s="191"/>
      <c r="GMK21" s="191"/>
      <c r="GMU21" s="191"/>
      <c r="GNE21" s="191"/>
      <c r="GNO21" s="191"/>
      <c r="GNY21" s="191"/>
      <c r="GOI21" s="191"/>
      <c r="GOS21" s="191"/>
      <c r="GPC21" s="191"/>
      <c r="GPM21" s="191"/>
      <c r="GPW21" s="191"/>
      <c r="GQG21" s="191"/>
      <c r="GQQ21" s="191"/>
      <c r="GRA21" s="191"/>
      <c r="GRK21" s="191"/>
      <c r="GRU21" s="191"/>
      <c r="GSE21" s="191"/>
      <c r="GSO21" s="191"/>
      <c r="GSY21" s="191"/>
      <c r="GTI21" s="191"/>
      <c r="GTS21" s="191"/>
      <c r="GUC21" s="191"/>
      <c r="GUM21" s="191"/>
      <c r="GUW21" s="191"/>
      <c r="GVG21" s="191"/>
      <c r="GVQ21" s="191"/>
      <c r="GWA21" s="191"/>
      <c r="GWK21" s="191"/>
      <c r="GWU21" s="191"/>
      <c r="GXE21" s="191"/>
      <c r="GXO21" s="191"/>
      <c r="GXY21" s="191"/>
      <c r="GYI21" s="191"/>
      <c r="GYS21" s="191"/>
      <c r="GZC21" s="191"/>
      <c r="GZM21" s="191"/>
      <c r="GZW21" s="191"/>
      <c r="HAG21" s="191"/>
      <c r="HAQ21" s="191"/>
      <c r="HBA21" s="191"/>
      <c r="HBK21" s="191"/>
      <c r="HBU21" s="191"/>
      <c r="HCE21" s="191"/>
      <c r="HCO21" s="191"/>
      <c r="HCY21" s="191"/>
      <c r="HDI21" s="191"/>
      <c r="HDS21" s="191"/>
      <c r="HEC21" s="191"/>
      <c r="HEM21" s="191"/>
      <c r="HEW21" s="191"/>
      <c r="HFG21" s="191"/>
      <c r="HFQ21" s="191"/>
      <c r="HGA21" s="191"/>
      <c r="HGK21" s="191"/>
      <c r="HGU21" s="191"/>
      <c r="HHE21" s="191"/>
      <c r="HHO21" s="191"/>
      <c r="HHY21" s="191"/>
      <c r="HII21" s="191"/>
      <c r="HIS21" s="191"/>
      <c r="HJC21" s="191"/>
      <c r="HJM21" s="191"/>
      <c r="HJW21" s="191"/>
      <c r="HKG21" s="191"/>
      <c r="HKQ21" s="191"/>
      <c r="HLA21" s="191"/>
      <c r="HLK21" s="191"/>
      <c r="HLU21" s="191"/>
      <c r="HME21" s="191"/>
      <c r="HMO21" s="191"/>
      <c r="HMY21" s="191"/>
      <c r="HNI21" s="191"/>
      <c r="HNS21" s="191"/>
      <c r="HOC21" s="191"/>
      <c r="HOM21" s="191"/>
      <c r="HOW21" s="191"/>
      <c r="HPG21" s="191"/>
      <c r="HPQ21" s="191"/>
      <c r="HQA21" s="191"/>
      <c r="HQK21" s="191"/>
      <c r="HQU21" s="191"/>
      <c r="HRE21" s="191"/>
      <c r="HRO21" s="191"/>
      <c r="HRY21" s="191"/>
      <c r="HSI21" s="191"/>
      <c r="HSS21" s="191"/>
      <c r="HTC21" s="191"/>
      <c r="HTM21" s="191"/>
      <c r="HTW21" s="191"/>
      <c r="HUG21" s="191"/>
      <c r="HUQ21" s="191"/>
      <c r="HVA21" s="191"/>
      <c r="HVK21" s="191"/>
      <c r="HVU21" s="191"/>
      <c r="HWE21" s="191"/>
      <c r="HWO21" s="191"/>
      <c r="HWY21" s="191"/>
      <c r="HXI21" s="191"/>
      <c r="HXS21" s="191"/>
      <c r="HYC21" s="191"/>
      <c r="HYM21" s="191"/>
      <c r="HYW21" s="191"/>
      <c r="HZG21" s="191"/>
      <c r="HZQ21" s="191"/>
      <c r="IAA21" s="191"/>
      <c r="IAK21" s="191"/>
      <c r="IAU21" s="191"/>
      <c r="IBE21" s="191"/>
      <c r="IBO21" s="191"/>
      <c r="IBY21" s="191"/>
      <c r="ICI21" s="191"/>
      <c r="ICS21" s="191"/>
      <c r="IDC21" s="191"/>
      <c r="IDM21" s="191"/>
      <c r="IDW21" s="191"/>
      <c r="IEG21" s="191"/>
      <c r="IEQ21" s="191"/>
      <c r="IFA21" s="191"/>
      <c r="IFK21" s="191"/>
      <c r="IFU21" s="191"/>
      <c r="IGE21" s="191"/>
      <c r="IGO21" s="191"/>
      <c r="IGY21" s="191"/>
      <c r="IHI21" s="191"/>
      <c r="IHS21" s="191"/>
      <c r="IIC21" s="191"/>
      <c r="IIM21" s="191"/>
      <c r="IIW21" s="191"/>
      <c r="IJG21" s="191"/>
      <c r="IJQ21" s="191"/>
      <c r="IKA21" s="191"/>
      <c r="IKK21" s="191"/>
      <c r="IKU21" s="191"/>
      <c r="ILE21" s="191"/>
      <c r="ILO21" s="191"/>
      <c r="ILY21" s="191"/>
      <c r="IMI21" s="191"/>
      <c r="IMS21" s="191"/>
      <c r="INC21" s="191"/>
      <c r="INM21" s="191"/>
      <c r="INW21" s="191"/>
      <c r="IOG21" s="191"/>
      <c r="IOQ21" s="191"/>
      <c r="IPA21" s="191"/>
      <c r="IPK21" s="191"/>
      <c r="IPU21" s="191"/>
      <c r="IQE21" s="191"/>
      <c r="IQO21" s="191"/>
      <c r="IQY21" s="191"/>
      <c r="IRI21" s="191"/>
      <c r="IRS21" s="191"/>
      <c r="ISC21" s="191"/>
      <c r="ISM21" s="191"/>
      <c r="ISW21" s="191"/>
      <c r="ITG21" s="191"/>
      <c r="ITQ21" s="191"/>
      <c r="IUA21" s="191"/>
      <c r="IUK21" s="191"/>
      <c r="IUU21" s="191"/>
      <c r="IVE21" s="191"/>
      <c r="IVO21" s="191"/>
      <c r="IVY21" s="191"/>
      <c r="IWI21" s="191"/>
      <c r="IWS21" s="191"/>
      <c r="IXC21" s="191"/>
      <c r="IXM21" s="191"/>
      <c r="IXW21" s="191"/>
      <c r="IYG21" s="191"/>
      <c r="IYQ21" s="191"/>
      <c r="IZA21" s="191"/>
      <c r="IZK21" s="191"/>
      <c r="IZU21" s="191"/>
      <c r="JAE21" s="191"/>
      <c r="JAO21" s="191"/>
      <c r="JAY21" s="191"/>
      <c r="JBI21" s="191"/>
      <c r="JBS21" s="191"/>
      <c r="JCC21" s="191"/>
      <c r="JCM21" s="191"/>
      <c r="JCW21" s="191"/>
      <c r="JDG21" s="191"/>
      <c r="JDQ21" s="191"/>
      <c r="JEA21" s="191"/>
      <c r="JEK21" s="191"/>
      <c r="JEU21" s="191"/>
      <c r="JFE21" s="191"/>
      <c r="JFO21" s="191"/>
      <c r="JFY21" s="191"/>
      <c r="JGI21" s="191"/>
      <c r="JGS21" s="191"/>
      <c r="JHC21" s="191"/>
      <c r="JHM21" s="191"/>
      <c r="JHW21" s="191"/>
      <c r="JIG21" s="191"/>
      <c r="JIQ21" s="191"/>
      <c r="JJA21" s="191"/>
      <c r="JJK21" s="191"/>
      <c r="JJU21" s="191"/>
      <c r="JKE21" s="191"/>
      <c r="JKO21" s="191"/>
      <c r="JKY21" s="191"/>
      <c r="JLI21" s="191"/>
      <c r="JLS21" s="191"/>
      <c r="JMC21" s="191"/>
      <c r="JMM21" s="191"/>
      <c r="JMW21" s="191"/>
      <c r="JNG21" s="191"/>
      <c r="JNQ21" s="191"/>
      <c r="JOA21" s="191"/>
      <c r="JOK21" s="191"/>
      <c r="JOU21" s="191"/>
      <c r="JPE21" s="191"/>
      <c r="JPO21" s="191"/>
      <c r="JPY21" s="191"/>
      <c r="JQI21" s="191"/>
      <c r="JQS21" s="191"/>
      <c r="JRC21" s="191"/>
      <c r="JRM21" s="191"/>
      <c r="JRW21" s="191"/>
      <c r="JSG21" s="191"/>
      <c r="JSQ21" s="191"/>
      <c r="JTA21" s="191"/>
      <c r="JTK21" s="191"/>
      <c r="JTU21" s="191"/>
      <c r="JUE21" s="191"/>
      <c r="JUO21" s="191"/>
      <c r="JUY21" s="191"/>
      <c r="JVI21" s="191"/>
      <c r="JVS21" s="191"/>
      <c r="JWC21" s="191"/>
      <c r="JWM21" s="191"/>
      <c r="JWW21" s="191"/>
      <c r="JXG21" s="191"/>
      <c r="JXQ21" s="191"/>
      <c r="JYA21" s="191"/>
      <c r="JYK21" s="191"/>
      <c r="JYU21" s="191"/>
      <c r="JZE21" s="191"/>
      <c r="JZO21" s="191"/>
      <c r="JZY21" s="191"/>
      <c r="KAI21" s="191"/>
      <c r="KAS21" s="191"/>
      <c r="KBC21" s="191"/>
      <c r="KBM21" s="191"/>
      <c r="KBW21" s="191"/>
      <c r="KCG21" s="191"/>
      <c r="KCQ21" s="191"/>
      <c r="KDA21" s="191"/>
      <c r="KDK21" s="191"/>
      <c r="KDU21" s="191"/>
      <c r="KEE21" s="191"/>
      <c r="KEO21" s="191"/>
      <c r="KEY21" s="191"/>
      <c r="KFI21" s="191"/>
      <c r="KFS21" s="191"/>
      <c r="KGC21" s="191"/>
      <c r="KGM21" s="191"/>
      <c r="KGW21" s="191"/>
      <c r="KHG21" s="191"/>
      <c r="KHQ21" s="191"/>
      <c r="KIA21" s="191"/>
      <c r="KIK21" s="191"/>
      <c r="KIU21" s="191"/>
      <c r="KJE21" s="191"/>
      <c r="KJO21" s="191"/>
      <c r="KJY21" s="191"/>
      <c r="KKI21" s="191"/>
      <c r="KKS21" s="191"/>
      <c r="KLC21" s="191"/>
      <c r="KLM21" s="191"/>
      <c r="KLW21" s="191"/>
      <c r="KMG21" s="191"/>
      <c r="KMQ21" s="191"/>
      <c r="KNA21" s="191"/>
      <c r="KNK21" s="191"/>
      <c r="KNU21" s="191"/>
      <c r="KOE21" s="191"/>
      <c r="KOO21" s="191"/>
      <c r="KOY21" s="191"/>
      <c r="KPI21" s="191"/>
      <c r="KPS21" s="191"/>
      <c r="KQC21" s="191"/>
      <c r="KQM21" s="191"/>
      <c r="KQW21" s="191"/>
      <c r="KRG21" s="191"/>
      <c r="KRQ21" s="191"/>
      <c r="KSA21" s="191"/>
      <c r="KSK21" s="191"/>
      <c r="KSU21" s="191"/>
      <c r="KTE21" s="191"/>
      <c r="KTO21" s="191"/>
      <c r="KTY21" s="191"/>
      <c r="KUI21" s="191"/>
      <c r="KUS21" s="191"/>
      <c r="KVC21" s="191"/>
      <c r="KVM21" s="191"/>
      <c r="KVW21" s="191"/>
      <c r="KWG21" s="191"/>
      <c r="KWQ21" s="191"/>
      <c r="KXA21" s="191"/>
      <c r="KXK21" s="191"/>
      <c r="KXU21" s="191"/>
      <c r="KYE21" s="191"/>
      <c r="KYO21" s="191"/>
      <c r="KYY21" s="191"/>
      <c r="KZI21" s="191"/>
      <c r="KZS21" s="191"/>
      <c r="LAC21" s="191"/>
      <c r="LAM21" s="191"/>
      <c r="LAW21" s="191"/>
      <c r="LBG21" s="191"/>
      <c r="LBQ21" s="191"/>
      <c r="LCA21" s="191"/>
      <c r="LCK21" s="191"/>
      <c r="LCU21" s="191"/>
      <c r="LDE21" s="191"/>
      <c r="LDO21" s="191"/>
      <c r="LDY21" s="191"/>
      <c r="LEI21" s="191"/>
      <c r="LES21" s="191"/>
      <c r="LFC21" s="191"/>
      <c r="LFM21" s="191"/>
      <c r="LFW21" s="191"/>
      <c r="LGG21" s="191"/>
      <c r="LGQ21" s="191"/>
      <c r="LHA21" s="191"/>
      <c r="LHK21" s="191"/>
      <c r="LHU21" s="191"/>
      <c r="LIE21" s="191"/>
      <c r="LIO21" s="191"/>
      <c r="LIY21" s="191"/>
      <c r="LJI21" s="191"/>
      <c r="LJS21" s="191"/>
      <c r="LKC21" s="191"/>
      <c r="LKM21" s="191"/>
      <c r="LKW21" s="191"/>
      <c r="LLG21" s="191"/>
      <c r="LLQ21" s="191"/>
      <c r="LMA21" s="191"/>
      <c r="LMK21" s="191"/>
      <c r="LMU21" s="191"/>
      <c r="LNE21" s="191"/>
      <c r="LNO21" s="191"/>
      <c r="LNY21" s="191"/>
      <c r="LOI21" s="191"/>
      <c r="LOS21" s="191"/>
      <c r="LPC21" s="191"/>
      <c r="LPM21" s="191"/>
      <c r="LPW21" s="191"/>
      <c r="LQG21" s="191"/>
      <c r="LQQ21" s="191"/>
      <c r="LRA21" s="191"/>
      <c r="LRK21" s="191"/>
      <c r="LRU21" s="191"/>
      <c r="LSE21" s="191"/>
      <c r="LSO21" s="191"/>
      <c r="LSY21" s="191"/>
      <c r="LTI21" s="191"/>
      <c r="LTS21" s="191"/>
      <c r="LUC21" s="191"/>
      <c r="LUM21" s="191"/>
      <c r="LUW21" s="191"/>
      <c r="LVG21" s="191"/>
      <c r="LVQ21" s="191"/>
      <c r="LWA21" s="191"/>
      <c r="LWK21" s="191"/>
      <c r="LWU21" s="191"/>
      <c r="LXE21" s="191"/>
      <c r="LXO21" s="191"/>
      <c r="LXY21" s="191"/>
      <c r="LYI21" s="191"/>
      <c r="LYS21" s="191"/>
      <c r="LZC21" s="191"/>
      <c r="LZM21" s="191"/>
      <c r="LZW21" s="191"/>
      <c r="MAG21" s="191"/>
      <c r="MAQ21" s="191"/>
      <c r="MBA21" s="191"/>
      <c r="MBK21" s="191"/>
      <c r="MBU21" s="191"/>
      <c r="MCE21" s="191"/>
      <c r="MCO21" s="191"/>
      <c r="MCY21" s="191"/>
      <c r="MDI21" s="191"/>
      <c r="MDS21" s="191"/>
      <c r="MEC21" s="191"/>
      <c r="MEM21" s="191"/>
      <c r="MEW21" s="191"/>
      <c r="MFG21" s="191"/>
      <c r="MFQ21" s="191"/>
      <c r="MGA21" s="191"/>
      <c r="MGK21" s="191"/>
      <c r="MGU21" s="191"/>
      <c r="MHE21" s="191"/>
      <c r="MHO21" s="191"/>
      <c r="MHY21" s="191"/>
      <c r="MII21" s="191"/>
      <c r="MIS21" s="191"/>
      <c r="MJC21" s="191"/>
      <c r="MJM21" s="191"/>
      <c r="MJW21" s="191"/>
      <c r="MKG21" s="191"/>
      <c r="MKQ21" s="191"/>
      <c r="MLA21" s="191"/>
      <c r="MLK21" s="191"/>
      <c r="MLU21" s="191"/>
      <c r="MME21" s="191"/>
      <c r="MMO21" s="191"/>
      <c r="MMY21" s="191"/>
      <c r="MNI21" s="191"/>
      <c r="MNS21" s="191"/>
      <c r="MOC21" s="191"/>
      <c r="MOM21" s="191"/>
      <c r="MOW21" s="191"/>
      <c r="MPG21" s="191"/>
      <c r="MPQ21" s="191"/>
      <c r="MQA21" s="191"/>
      <c r="MQK21" s="191"/>
      <c r="MQU21" s="191"/>
      <c r="MRE21" s="191"/>
      <c r="MRO21" s="191"/>
      <c r="MRY21" s="191"/>
      <c r="MSI21" s="191"/>
      <c r="MSS21" s="191"/>
      <c r="MTC21" s="191"/>
      <c r="MTM21" s="191"/>
      <c r="MTW21" s="191"/>
      <c r="MUG21" s="191"/>
      <c r="MUQ21" s="191"/>
      <c r="MVA21" s="191"/>
      <c r="MVK21" s="191"/>
      <c r="MVU21" s="191"/>
      <c r="MWE21" s="191"/>
      <c r="MWO21" s="191"/>
      <c r="MWY21" s="191"/>
      <c r="MXI21" s="191"/>
      <c r="MXS21" s="191"/>
      <c r="MYC21" s="191"/>
      <c r="MYM21" s="191"/>
      <c r="MYW21" s="191"/>
      <c r="MZG21" s="191"/>
      <c r="MZQ21" s="191"/>
      <c r="NAA21" s="191"/>
      <c r="NAK21" s="191"/>
      <c r="NAU21" s="191"/>
      <c r="NBE21" s="191"/>
      <c r="NBO21" s="191"/>
      <c r="NBY21" s="191"/>
      <c r="NCI21" s="191"/>
      <c r="NCS21" s="191"/>
      <c r="NDC21" s="191"/>
      <c r="NDM21" s="191"/>
      <c r="NDW21" s="191"/>
      <c r="NEG21" s="191"/>
      <c r="NEQ21" s="191"/>
      <c r="NFA21" s="191"/>
      <c r="NFK21" s="191"/>
      <c r="NFU21" s="191"/>
      <c r="NGE21" s="191"/>
      <c r="NGO21" s="191"/>
      <c r="NGY21" s="191"/>
      <c r="NHI21" s="191"/>
      <c r="NHS21" s="191"/>
      <c r="NIC21" s="191"/>
      <c r="NIM21" s="191"/>
      <c r="NIW21" s="191"/>
      <c r="NJG21" s="191"/>
      <c r="NJQ21" s="191"/>
      <c r="NKA21" s="191"/>
      <c r="NKK21" s="191"/>
      <c r="NKU21" s="191"/>
      <c r="NLE21" s="191"/>
      <c r="NLO21" s="191"/>
      <c r="NLY21" s="191"/>
      <c r="NMI21" s="191"/>
      <c r="NMS21" s="191"/>
      <c r="NNC21" s="191"/>
      <c r="NNM21" s="191"/>
      <c r="NNW21" s="191"/>
      <c r="NOG21" s="191"/>
      <c r="NOQ21" s="191"/>
      <c r="NPA21" s="191"/>
      <c r="NPK21" s="191"/>
      <c r="NPU21" s="191"/>
      <c r="NQE21" s="191"/>
      <c r="NQO21" s="191"/>
      <c r="NQY21" s="191"/>
      <c r="NRI21" s="191"/>
      <c r="NRS21" s="191"/>
      <c r="NSC21" s="191"/>
      <c r="NSM21" s="191"/>
      <c r="NSW21" s="191"/>
      <c r="NTG21" s="191"/>
      <c r="NTQ21" s="191"/>
      <c r="NUA21" s="191"/>
      <c r="NUK21" s="191"/>
      <c r="NUU21" s="191"/>
      <c r="NVE21" s="191"/>
      <c r="NVO21" s="191"/>
      <c r="NVY21" s="191"/>
      <c r="NWI21" s="191"/>
      <c r="NWS21" s="191"/>
      <c r="NXC21" s="191"/>
      <c r="NXM21" s="191"/>
      <c r="NXW21" s="191"/>
      <c r="NYG21" s="191"/>
      <c r="NYQ21" s="191"/>
      <c r="NZA21" s="191"/>
      <c r="NZK21" s="191"/>
      <c r="NZU21" s="191"/>
      <c r="OAE21" s="191"/>
      <c r="OAO21" s="191"/>
      <c r="OAY21" s="191"/>
      <c r="OBI21" s="191"/>
      <c r="OBS21" s="191"/>
      <c r="OCC21" s="191"/>
      <c r="OCM21" s="191"/>
      <c r="OCW21" s="191"/>
      <c r="ODG21" s="191"/>
      <c r="ODQ21" s="191"/>
      <c r="OEA21" s="191"/>
      <c r="OEK21" s="191"/>
      <c r="OEU21" s="191"/>
      <c r="OFE21" s="191"/>
      <c r="OFO21" s="191"/>
      <c r="OFY21" s="191"/>
      <c r="OGI21" s="191"/>
      <c r="OGS21" s="191"/>
      <c r="OHC21" s="191"/>
      <c r="OHM21" s="191"/>
      <c r="OHW21" s="191"/>
      <c r="OIG21" s="191"/>
      <c r="OIQ21" s="191"/>
      <c r="OJA21" s="191"/>
      <c r="OJK21" s="191"/>
      <c r="OJU21" s="191"/>
      <c r="OKE21" s="191"/>
      <c r="OKO21" s="191"/>
      <c r="OKY21" s="191"/>
      <c r="OLI21" s="191"/>
      <c r="OLS21" s="191"/>
      <c r="OMC21" s="191"/>
      <c r="OMM21" s="191"/>
      <c r="OMW21" s="191"/>
      <c r="ONG21" s="191"/>
      <c r="ONQ21" s="191"/>
      <c r="OOA21" s="191"/>
      <c r="OOK21" s="191"/>
      <c r="OOU21" s="191"/>
      <c r="OPE21" s="191"/>
      <c r="OPO21" s="191"/>
      <c r="OPY21" s="191"/>
      <c r="OQI21" s="191"/>
      <c r="OQS21" s="191"/>
      <c r="ORC21" s="191"/>
      <c r="ORM21" s="191"/>
      <c r="ORW21" s="191"/>
      <c r="OSG21" s="191"/>
      <c r="OSQ21" s="191"/>
      <c r="OTA21" s="191"/>
      <c r="OTK21" s="191"/>
      <c r="OTU21" s="191"/>
      <c r="OUE21" s="191"/>
      <c r="OUO21" s="191"/>
      <c r="OUY21" s="191"/>
      <c r="OVI21" s="191"/>
      <c r="OVS21" s="191"/>
      <c r="OWC21" s="191"/>
      <c r="OWM21" s="191"/>
      <c r="OWW21" s="191"/>
      <c r="OXG21" s="191"/>
      <c r="OXQ21" s="191"/>
      <c r="OYA21" s="191"/>
      <c r="OYK21" s="191"/>
      <c r="OYU21" s="191"/>
      <c r="OZE21" s="191"/>
      <c r="OZO21" s="191"/>
      <c r="OZY21" s="191"/>
      <c r="PAI21" s="191"/>
      <c r="PAS21" s="191"/>
      <c r="PBC21" s="191"/>
      <c r="PBM21" s="191"/>
      <c r="PBW21" s="191"/>
      <c r="PCG21" s="191"/>
      <c r="PCQ21" s="191"/>
      <c r="PDA21" s="191"/>
      <c r="PDK21" s="191"/>
      <c r="PDU21" s="191"/>
      <c r="PEE21" s="191"/>
      <c r="PEO21" s="191"/>
      <c r="PEY21" s="191"/>
      <c r="PFI21" s="191"/>
      <c r="PFS21" s="191"/>
      <c r="PGC21" s="191"/>
      <c r="PGM21" s="191"/>
      <c r="PGW21" s="191"/>
      <c r="PHG21" s="191"/>
      <c r="PHQ21" s="191"/>
      <c r="PIA21" s="191"/>
      <c r="PIK21" s="191"/>
      <c r="PIU21" s="191"/>
      <c r="PJE21" s="191"/>
      <c r="PJO21" s="191"/>
      <c r="PJY21" s="191"/>
      <c r="PKI21" s="191"/>
      <c r="PKS21" s="191"/>
      <c r="PLC21" s="191"/>
      <c r="PLM21" s="191"/>
      <c r="PLW21" s="191"/>
      <c r="PMG21" s="191"/>
      <c r="PMQ21" s="191"/>
      <c r="PNA21" s="191"/>
      <c r="PNK21" s="191"/>
      <c r="PNU21" s="191"/>
      <c r="POE21" s="191"/>
      <c r="POO21" s="191"/>
      <c r="POY21" s="191"/>
      <c r="PPI21" s="191"/>
      <c r="PPS21" s="191"/>
      <c r="PQC21" s="191"/>
      <c r="PQM21" s="191"/>
      <c r="PQW21" s="191"/>
      <c r="PRG21" s="191"/>
      <c r="PRQ21" s="191"/>
      <c r="PSA21" s="191"/>
      <c r="PSK21" s="191"/>
      <c r="PSU21" s="191"/>
      <c r="PTE21" s="191"/>
      <c r="PTO21" s="191"/>
      <c r="PTY21" s="191"/>
      <c r="PUI21" s="191"/>
      <c r="PUS21" s="191"/>
      <c r="PVC21" s="191"/>
      <c r="PVM21" s="191"/>
      <c r="PVW21" s="191"/>
      <c r="PWG21" s="191"/>
      <c r="PWQ21" s="191"/>
      <c r="PXA21" s="191"/>
      <c r="PXK21" s="191"/>
      <c r="PXU21" s="191"/>
      <c r="PYE21" s="191"/>
      <c r="PYO21" s="191"/>
      <c r="PYY21" s="191"/>
      <c r="PZI21" s="191"/>
      <c r="PZS21" s="191"/>
      <c r="QAC21" s="191"/>
      <c r="QAM21" s="191"/>
      <c r="QAW21" s="191"/>
      <c r="QBG21" s="191"/>
      <c r="QBQ21" s="191"/>
      <c r="QCA21" s="191"/>
      <c r="QCK21" s="191"/>
      <c r="QCU21" s="191"/>
      <c r="QDE21" s="191"/>
      <c r="QDO21" s="191"/>
      <c r="QDY21" s="191"/>
      <c r="QEI21" s="191"/>
      <c r="QES21" s="191"/>
      <c r="QFC21" s="191"/>
      <c r="QFM21" s="191"/>
      <c r="QFW21" s="191"/>
      <c r="QGG21" s="191"/>
      <c r="QGQ21" s="191"/>
      <c r="QHA21" s="191"/>
      <c r="QHK21" s="191"/>
      <c r="QHU21" s="191"/>
      <c r="QIE21" s="191"/>
      <c r="QIO21" s="191"/>
      <c r="QIY21" s="191"/>
      <c r="QJI21" s="191"/>
      <c r="QJS21" s="191"/>
      <c r="QKC21" s="191"/>
      <c r="QKM21" s="191"/>
      <c r="QKW21" s="191"/>
      <c r="QLG21" s="191"/>
      <c r="QLQ21" s="191"/>
      <c r="QMA21" s="191"/>
      <c r="QMK21" s="191"/>
      <c r="QMU21" s="191"/>
      <c r="QNE21" s="191"/>
      <c r="QNO21" s="191"/>
      <c r="QNY21" s="191"/>
      <c r="QOI21" s="191"/>
      <c r="QOS21" s="191"/>
      <c r="QPC21" s="191"/>
      <c r="QPM21" s="191"/>
      <c r="QPW21" s="191"/>
      <c r="QQG21" s="191"/>
      <c r="QQQ21" s="191"/>
      <c r="QRA21" s="191"/>
      <c r="QRK21" s="191"/>
      <c r="QRU21" s="191"/>
      <c r="QSE21" s="191"/>
      <c r="QSO21" s="191"/>
      <c r="QSY21" s="191"/>
      <c r="QTI21" s="191"/>
      <c r="QTS21" s="191"/>
      <c r="QUC21" s="191"/>
      <c r="QUM21" s="191"/>
      <c r="QUW21" s="191"/>
      <c r="QVG21" s="191"/>
      <c r="QVQ21" s="191"/>
      <c r="QWA21" s="191"/>
      <c r="QWK21" s="191"/>
      <c r="QWU21" s="191"/>
      <c r="QXE21" s="191"/>
      <c r="QXO21" s="191"/>
      <c r="QXY21" s="191"/>
      <c r="QYI21" s="191"/>
      <c r="QYS21" s="191"/>
      <c r="QZC21" s="191"/>
      <c r="QZM21" s="191"/>
      <c r="QZW21" s="191"/>
      <c r="RAG21" s="191"/>
      <c r="RAQ21" s="191"/>
      <c r="RBA21" s="191"/>
      <c r="RBK21" s="191"/>
      <c r="RBU21" s="191"/>
      <c r="RCE21" s="191"/>
      <c r="RCO21" s="191"/>
      <c r="RCY21" s="191"/>
      <c r="RDI21" s="191"/>
      <c r="RDS21" s="191"/>
      <c r="REC21" s="191"/>
      <c r="REM21" s="191"/>
      <c r="REW21" s="191"/>
      <c r="RFG21" s="191"/>
      <c r="RFQ21" s="191"/>
      <c r="RGA21" s="191"/>
      <c r="RGK21" s="191"/>
      <c r="RGU21" s="191"/>
      <c r="RHE21" s="191"/>
      <c r="RHO21" s="191"/>
      <c r="RHY21" s="191"/>
      <c r="RII21" s="191"/>
      <c r="RIS21" s="191"/>
      <c r="RJC21" s="191"/>
      <c r="RJM21" s="191"/>
      <c r="RJW21" s="191"/>
      <c r="RKG21" s="191"/>
      <c r="RKQ21" s="191"/>
      <c r="RLA21" s="191"/>
      <c r="RLK21" s="191"/>
      <c r="RLU21" s="191"/>
      <c r="RME21" s="191"/>
      <c r="RMO21" s="191"/>
      <c r="RMY21" s="191"/>
      <c r="RNI21" s="191"/>
      <c r="RNS21" s="191"/>
      <c r="ROC21" s="191"/>
      <c r="ROM21" s="191"/>
      <c r="ROW21" s="191"/>
      <c r="RPG21" s="191"/>
      <c r="RPQ21" s="191"/>
      <c r="RQA21" s="191"/>
      <c r="RQK21" s="191"/>
      <c r="RQU21" s="191"/>
      <c r="RRE21" s="191"/>
      <c r="RRO21" s="191"/>
      <c r="RRY21" s="191"/>
      <c r="RSI21" s="191"/>
      <c r="RSS21" s="191"/>
      <c r="RTC21" s="191"/>
      <c r="RTM21" s="191"/>
      <c r="RTW21" s="191"/>
      <c r="RUG21" s="191"/>
      <c r="RUQ21" s="191"/>
      <c r="RVA21" s="191"/>
      <c r="RVK21" s="191"/>
      <c r="RVU21" s="191"/>
      <c r="RWE21" s="191"/>
      <c r="RWO21" s="191"/>
      <c r="RWY21" s="191"/>
      <c r="RXI21" s="191"/>
      <c r="RXS21" s="191"/>
      <c r="RYC21" s="191"/>
      <c r="RYM21" s="191"/>
      <c r="RYW21" s="191"/>
      <c r="RZG21" s="191"/>
      <c r="RZQ21" s="191"/>
      <c r="SAA21" s="191"/>
      <c r="SAK21" s="191"/>
      <c r="SAU21" s="191"/>
      <c r="SBE21" s="191"/>
      <c r="SBO21" s="191"/>
      <c r="SBY21" s="191"/>
      <c r="SCI21" s="191"/>
      <c r="SCS21" s="191"/>
      <c r="SDC21" s="191"/>
      <c r="SDM21" s="191"/>
      <c r="SDW21" s="191"/>
      <c r="SEG21" s="191"/>
      <c r="SEQ21" s="191"/>
      <c r="SFA21" s="191"/>
      <c r="SFK21" s="191"/>
      <c r="SFU21" s="191"/>
      <c r="SGE21" s="191"/>
      <c r="SGO21" s="191"/>
      <c r="SGY21" s="191"/>
      <c r="SHI21" s="191"/>
      <c r="SHS21" s="191"/>
      <c r="SIC21" s="191"/>
      <c r="SIM21" s="191"/>
      <c r="SIW21" s="191"/>
      <c r="SJG21" s="191"/>
      <c r="SJQ21" s="191"/>
      <c r="SKA21" s="191"/>
      <c r="SKK21" s="191"/>
      <c r="SKU21" s="191"/>
      <c r="SLE21" s="191"/>
      <c r="SLO21" s="191"/>
      <c r="SLY21" s="191"/>
      <c r="SMI21" s="191"/>
      <c r="SMS21" s="191"/>
      <c r="SNC21" s="191"/>
      <c r="SNM21" s="191"/>
      <c r="SNW21" s="191"/>
      <c r="SOG21" s="191"/>
      <c r="SOQ21" s="191"/>
      <c r="SPA21" s="191"/>
      <c r="SPK21" s="191"/>
      <c r="SPU21" s="191"/>
      <c r="SQE21" s="191"/>
      <c r="SQO21" s="191"/>
      <c r="SQY21" s="191"/>
      <c r="SRI21" s="191"/>
      <c r="SRS21" s="191"/>
      <c r="SSC21" s="191"/>
      <c r="SSM21" s="191"/>
      <c r="SSW21" s="191"/>
      <c r="STG21" s="191"/>
      <c r="STQ21" s="191"/>
      <c r="SUA21" s="191"/>
      <c r="SUK21" s="191"/>
      <c r="SUU21" s="191"/>
      <c r="SVE21" s="191"/>
      <c r="SVO21" s="191"/>
      <c r="SVY21" s="191"/>
      <c r="SWI21" s="191"/>
      <c r="SWS21" s="191"/>
      <c r="SXC21" s="191"/>
      <c r="SXM21" s="191"/>
      <c r="SXW21" s="191"/>
      <c r="SYG21" s="191"/>
      <c r="SYQ21" s="191"/>
      <c r="SZA21" s="191"/>
      <c r="SZK21" s="191"/>
      <c r="SZU21" s="191"/>
      <c r="TAE21" s="191"/>
      <c r="TAO21" s="191"/>
      <c r="TAY21" s="191"/>
      <c r="TBI21" s="191"/>
      <c r="TBS21" s="191"/>
      <c r="TCC21" s="191"/>
      <c r="TCM21" s="191"/>
      <c r="TCW21" s="191"/>
      <c r="TDG21" s="191"/>
      <c r="TDQ21" s="191"/>
      <c r="TEA21" s="191"/>
      <c r="TEK21" s="191"/>
      <c r="TEU21" s="191"/>
      <c r="TFE21" s="191"/>
      <c r="TFO21" s="191"/>
      <c r="TFY21" s="191"/>
      <c r="TGI21" s="191"/>
      <c r="TGS21" s="191"/>
      <c r="THC21" s="191"/>
      <c r="THM21" s="191"/>
      <c r="THW21" s="191"/>
      <c r="TIG21" s="191"/>
      <c r="TIQ21" s="191"/>
      <c r="TJA21" s="191"/>
      <c r="TJK21" s="191"/>
      <c r="TJU21" s="191"/>
      <c r="TKE21" s="191"/>
      <c r="TKO21" s="191"/>
      <c r="TKY21" s="191"/>
      <c r="TLI21" s="191"/>
      <c r="TLS21" s="191"/>
      <c r="TMC21" s="191"/>
      <c r="TMM21" s="191"/>
      <c r="TMW21" s="191"/>
      <c r="TNG21" s="191"/>
      <c r="TNQ21" s="191"/>
      <c r="TOA21" s="191"/>
      <c r="TOK21" s="191"/>
      <c r="TOU21" s="191"/>
      <c r="TPE21" s="191"/>
      <c r="TPO21" s="191"/>
      <c r="TPY21" s="191"/>
      <c r="TQI21" s="191"/>
      <c r="TQS21" s="191"/>
      <c r="TRC21" s="191"/>
      <c r="TRM21" s="191"/>
      <c r="TRW21" s="191"/>
      <c r="TSG21" s="191"/>
      <c r="TSQ21" s="191"/>
      <c r="TTA21" s="191"/>
      <c r="TTK21" s="191"/>
      <c r="TTU21" s="191"/>
      <c r="TUE21" s="191"/>
      <c r="TUO21" s="191"/>
      <c r="TUY21" s="191"/>
      <c r="TVI21" s="191"/>
      <c r="TVS21" s="191"/>
      <c r="TWC21" s="191"/>
      <c r="TWM21" s="191"/>
      <c r="TWW21" s="191"/>
      <c r="TXG21" s="191"/>
      <c r="TXQ21" s="191"/>
      <c r="TYA21" s="191"/>
      <c r="TYK21" s="191"/>
      <c r="TYU21" s="191"/>
      <c r="TZE21" s="191"/>
      <c r="TZO21" s="191"/>
      <c r="TZY21" s="191"/>
      <c r="UAI21" s="191"/>
      <c r="UAS21" s="191"/>
      <c r="UBC21" s="191"/>
      <c r="UBM21" s="191"/>
      <c r="UBW21" s="191"/>
      <c r="UCG21" s="191"/>
      <c r="UCQ21" s="191"/>
      <c r="UDA21" s="191"/>
      <c r="UDK21" s="191"/>
      <c r="UDU21" s="191"/>
      <c r="UEE21" s="191"/>
      <c r="UEO21" s="191"/>
      <c r="UEY21" s="191"/>
      <c r="UFI21" s="191"/>
      <c r="UFS21" s="191"/>
      <c r="UGC21" s="191"/>
      <c r="UGM21" s="191"/>
      <c r="UGW21" s="191"/>
      <c r="UHG21" s="191"/>
      <c r="UHQ21" s="191"/>
      <c r="UIA21" s="191"/>
      <c r="UIK21" s="191"/>
      <c r="UIU21" s="191"/>
      <c r="UJE21" s="191"/>
      <c r="UJO21" s="191"/>
      <c r="UJY21" s="191"/>
      <c r="UKI21" s="191"/>
      <c r="UKS21" s="191"/>
      <c r="ULC21" s="191"/>
      <c r="ULM21" s="191"/>
      <c r="ULW21" s="191"/>
      <c r="UMG21" s="191"/>
      <c r="UMQ21" s="191"/>
      <c r="UNA21" s="191"/>
      <c r="UNK21" s="191"/>
      <c r="UNU21" s="191"/>
      <c r="UOE21" s="191"/>
      <c r="UOO21" s="191"/>
      <c r="UOY21" s="191"/>
      <c r="UPI21" s="191"/>
      <c r="UPS21" s="191"/>
      <c r="UQC21" s="191"/>
      <c r="UQM21" s="191"/>
      <c r="UQW21" s="191"/>
      <c r="URG21" s="191"/>
      <c r="URQ21" s="191"/>
      <c r="USA21" s="191"/>
      <c r="USK21" s="191"/>
      <c r="USU21" s="191"/>
      <c r="UTE21" s="191"/>
      <c r="UTO21" s="191"/>
      <c r="UTY21" s="191"/>
      <c r="UUI21" s="191"/>
      <c r="UUS21" s="191"/>
      <c r="UVC21" s="191"/>
      <c r="UVM21" s="191"/>
      <c r="UVW21" s="191"/>
      <c r="UWG21" s="191"/>
      <c r="UWQ21" s="191"/>
      <c r="UXA21" s="191"/>
      <c r="UXK21" s="191"/>
      <c r="UXU21" s="191"/>
      <c r="UYE21" s="191"/>
      <c r="UYO21" s="191"/>
      <c r="UYY21" s="191"/>
      <c r="UZI21" s="191"/>
      <c r="UZS21" s="191"/>
      <c r="VAC21" s="191"/>
      <c r="VAM21" s="191"/>
      <c r="VAW21" s="191"/>
      <c r="VBG21" s="191"/>
      <c r="VBQ21" s="191"/>
      <c r="VCA21" s="191"/>
      <c r="VCK21" s="191"/>
      <c r="VCU21" s="191"/>
      <c r="VDE21" s="191"/>
      <c r="VDO21" s="191"/>
      <c r="VDY21" s="191"/>
      <c r="VEI21" s="191"/>
      <c r="VES21" s="191"/>
      <c r="VFC21" s="191"/>
      <c r="VFM21" s="191"/>
      <c r="VFW21" s="191"/>
      <c r="VGG21" s="191"/>
      <c r="VGQ21" s="191"/>
      <c r="VHA21" s="191"/>
      <c r="VHK21" s="191"/>
      <c r="VHU21" s="191"/>
      <c r="VIE21" s="191"/>
      <c r="VIO21" s="191"/>
      <c r="VIY21" s="191"/>
      <c r="VJI21" s="191"/>
      <c r="VJS21" s="191"/>
      <c r="VKC21" s="191"/>
      <c r="VKM21" s="191"/>
      <c r="VKW21" s="191"/>
      <c r="VLG21" s="191"/>
      <c r="VLQ21" s="191"/>
      <c r="VMA21" s="191"/>
      <c r="VMK21" s="191"/>
      <c r="VMU21" s="191"/>
      <c r="VNE21" s="191"/>
      <c r="VNO21" s="191"/>
      <c r="VNY21" s="191"/>
      <c r="VOI21" s="191"/>
      <c r="VOS21" s="191"/>
      <c r="VPC21" s="191"/>
      <c r="VPM21" s="191"/>
      <c r="VPW21" s="191"/>
      <c r="VQG21" s="191"/>
      <c r="VQQ21" s="191"/>
      <c r="VRA21" s="191"/>
      <c r="VRK21" s="191"/>
      <c r="VRU21" s="191"/>
      <c r="VSE21" s="191"/>
      <c r="VSO21" s="191"/>
      <c r="VSY21" s="191"/>
      <c r="VTI21" s="191"/>
      <c r="VTS21" s="191"/>
      <c r="VUC21" s="191"/>
      <c r="VUM21" s="191"/>
      <c r="VUW21" s="191"/>
      <c r="VVG21" s="191"/>
      <c r="VVQ21" s="191"/>
      <c r="VWA21" s="191"/>
      <c r="VWK21" s="191"/>
      <c r="VWU21" s="191"/>
      <c r="VXE21" s="191"/>
      <c r="VXO21" s="191"/>
      <c r="VXY21" s="191"/>
      <c r="VYI21" s="191"/>
      <c r="VYS21" s="191"/>
      <c r="VZC21" s="191"/>
      <c r="VZM21" s="191"/>
      <c r="VZW21" s="191"/>
      <c r="WAG21" s="191"/>
      <c r="WAQ21" s="191"/>
      <c r="WBA21" s="191"/>
      <c r="WBK21" s="191"/>
      <c r="WBU21" s="191"/>
      <c r="WCE21" s="191"/>
      <c r="WCO21" s="191"/>
      <c r="WCY21" s="191"/>
      <c r="WDI21" s="191"/>
      <c r="WDS21" s="191"/>
      <c r="WEC21" s="191"/>
      <c r="WEM21" s="191"/>
      <c r="WEW21" s="191"/>
      <c r="WFG21" s="191"/>
      <c r="WFQ21" s="191"/>
      <c r="WGA21" s="191"/>
      <c r="WGK21" s="191"/>
      <c r="WGU21" s="191"/>
      <c r="WHE21" s="191"/>
      <c r="WHO21" s="191"/>
      <c r="WHY21" s="191"/>
      <c r="WII21" s="191"/>
      <c r="WIS21" s="191"/>
      <c r="WJC21" s="191"/>
      <c r="WJM21" s="191"/>
      <c r="WJW21" s="191"/>
      <c r="WKG21" s="191"/>
      <c r="WKQ21" s="191"/>
      <c r="WLA21" s="191"/>
      <c r="WLK21" s="191"/>
      <c r="WLU21" s="191"/>
      <c r="WME21" s="191"/>
      <c r="WMO21" s="191"/>
      <c r="WMY21" s="191"/>
      <c r="WNI21" s="191"/>
      <c r="WNS21" s="191"/>
      <c r="WOC21" s="191"/>
      <c r="WOM21" s="191"/>
      <c r="WOW21" s="191"/>
      <c r="WPG21" s="191"/>
      <c r="WPQ21" s="191"/>
      <c r="WQA21" s="191"/>
      <c r="WQK21" s="191"/>
      <c r="WQU21" s="191"/>
      <c r="WRE21" s="191"/>
      <c r="WRO21" s="191"/>
      <c r="WRY21" s="191"/>
      <c r="WSI21" s="191"/>
      <c r="WSS21" s="191"/>
      <c r="WTC21" s="191"/>
      <c r="WTM21" s="191"/>
      <c r="WTW21" s="191"/>
      <c r="WUG21" s="191"/>
      <c r="WUQ21" s="191"/>
      <c r="WVA21" s="191"/>
      <c r="WVK21" s="191"/>
      <c r="WVU21" s="191"/>
      <c r="WWE21" s="191"/>
      <c r="WWO21" s="191"/>
      <c r="WWY21" s="191"/>
      <c r="WXI21" s="191"/>
      <c r="WXS21" s="191"/>
      <c r="WYC21" s="191"/>
      <c r="WYM21" s="191"/>
      <c r="WYW21" s="191"/>
      <c r="WZG21" s="191"/>
      <c r="WZQ21" s="191"/>
      <c r="XAA21" s="191"/>
      <c r="XAK21" s="191"/>
      <c r="XAU21" s="191"/>
      <c r="XBE21" s="191"/>
      <c r="XBO21" s="191"/>
      <c r="XBY21" s="191"/>
      <c r="XCI21" s="191"/>
      <c r="XCS21" s="191"/>
      <c r="XDC21" s="191"/>
      <c r="XDM21" s="191"/>
      <c r="XDW21" s="191"/>
      <c r="XEG21" s="191"/>
      <c r="XEQ21" s="191"/>
      <c r="XFA21" s="191"/>
    </row>
    <row r="22" s="445" customFormat="1" ht="13.2" spans="1:16381">
      <c r="A22" s="191" t="s">
        <v>834</v>
      </c>
      <c r="B22" s="445">
        <v>2025</v>
      </c>
      <c r="C22" s="668" t="s">
        <v>831</v>
      </c>
      <c r="D22" s="445">
        <v>317</v>
      </c>
      <c r="E22" s="445">
        <v>4859.91</v>
      </c>
      <c r="F22" s="445">
        <v>99.52</v>
      </c>
      <c r="G22" s="445">
        <v>-187.11</v>
      </c>
      <c r="H22" s="445">
        <v>178.78</v>
      </c>
      <c r="I22" s="445">
        <v>0</v>
      </c>
      <c r="J22" s="445">
        <v>91.19</v>
      </c>
      <c r="K22" s="191"/>
      <c r="U22" s="191"/>
      <c r="AE22" s="191"/>
      <c r="AO22" s="191"/>
      <c r="AY22" s="191"/>
      <c r="BI22" s="191"/>
      <c r="BS22" s="191"/>
      <c r="CC22" s="191"/>
      <c r="CM22" s="191"/>
      <c r="CW22" s="191"/>
      <c r="DG22" s="191"/>
      <c r="DQ22" s="191"/>
      <c r="EA22" s="191"/>
      <c r="EK22" s="191"/>
      <c r="EU22" s="191"/>
      <c r="FE22" s="191"/>
      <c r="FO22" s="191"/>
      <c r="FY22" s="191"/>
      <c r="GI22" s="191"/>
      <c r="GS22" s="191"/>
      <c r="HC22" s="191"/>
      <c r="HM22" s="191"/>
      <c r="HW22" s="191"/>
      <c r="IG22" s="191"/>
      <c r="IQ22" s="191"/>
      <c r="JA22" s="191"/>
      <c r="JK22" s="191"/>
      <c r="JU22" s="191"/>
      <c r="KE22" s="191"/>
      <c r="KO22" s="191"/>
      <c r="KY22" s="191"/>
      <c r="LI22" s="191"/>
      <c r="LS22" s="191"/>
      <c r="MC22" s="191"/>
      <c r="MM22" s="191"/>
      <c r="MW22" s="191"/>
      <c r="NG22" s="191"/>
      <c r="NQ22" s="191"/>
      <c r="OA22" s="191"/>
      <c r="OK22" s="191"/>
      <c r="OU22" s="191"/>
      <c r="PE22" s="191"/>
      <c r="PO22" s="191"/>
      <c r="PY22" s="191"/>
      <c r="QI22" s="191"/>
      <c r="QS22" s="191"/>
      <c r="RC22" s="191"/>
      <c r="RM22" s="191"/>
      <c r="RW22" s="191"/>
      <c r="SG22" s="191"/>
      <c r="SQ22" s="191"/>
      <c r="TA22" s="191"/>
      <c r="TK22" s="191"/>
      <c r="TU22" s="191"/>
      <c r="UE22" s="191"/>
      <c r="UO22" s="191"/>
      <c r="UY22" s="191"/>
      <c r="VI22" s="191"/>
      <c r="VS22" s="191"/>
      <c r="WC22" s="191"/>
      <c r="WM22" s="191"/>
      <c r="WW22" s="191"/>
      <c r="XG22" s="191"/>
      <c r="XQ22" s="191"/>
      <c r="YA22" s="191"/>
      <c r="YK22" s="191"/>
      <c r="YU22" s="191"/>
      <c r="ZE22" s="191"/>
      <c r="ZO22" s="191"/>
      <c r="ZY22" s="191"/>
      <c r="AAI22" s="191"/>
      <c r="AAS22" s="191"/>
      <c r="ABC22" s="191"/>
      <c r="ABM22" s="191"/>
      <c r="ABW22" s="191"/>
      <c r="ACG22" s="191"/>
      <c r="ACQ22" s="191"/>
      <c r="ADA22" s="191"/>
      <c r="ADK22" s="191"/>
      <c r="ADU22" s="191"/>
      <c r="AEE22" s="191"/>
      <c r="AEO22" s="191"/>
      <c r="AEY22" s="191"/>
      <c r="AFI22" s="191"/>
      <c r="AFS22" s="191"/>
      <c r="AGC22" s="191"/>
      <c r="AGM22" s="191"/>
      <c r="AGW22" s="191"/>
      <c r="AHG22" s="191"/>
      <c r="AHQ22" s="191"/>
      <c r="AIA22" s="191"/>
      <c r="AIK22" s="191"/>
      <c r="AIU22" s="191"/>
      <c r="AJE22" s="191"/>
      <c r="AJO22" s="191"/>
      <c r="AJY22" s="191"/>
      <c r="AKI22" s="191"/>
      <c r="AKS22" s="191"/>
      <c r="ALC22" s="191"/>
      <c r="ALM22" s="191"/>
      <c r="ALW22" s="191"/>
      <c r="AMG22" s="191"/>
      <c r="AMQ22" s="191"/>
      <c r="ANA22" s="191"/>
      <c r="ANK22" s="191"/>
      <c r="ANU22" s="191"/>
      <c r="AOE22" s="191"/>
      <c r="AOO22" s="191"/>
      <c r="AOY22" s="191"/>
      <c r="API22" s="191"/>
      <c r="APS22" s="191"/>
      <c r="AQC22" s="191"/>
      <c r="AQM22" s="191"/>
      <c r="AQW22" s="191"/>
      <c r="ARG22" s="191"/>
      <c r="ARQ22" s="191"/>
      <c r="ASA22" s="191"/>
      <c r="ASK22" s="191"/>
      <c r="ASU22" s="191"/>
      <c r="ATE22" s="191"/>
      <c r="ATO22" s="191"/>
      <c r="ATY22" s="191"/>
      <c r="AUI22" s="191"/>
      <c r="AUS22" s="191"/>
      <c r="AVC22" s="191"/>
      <c r="AVM22" s="191"/>
      <c r="AVW22" s="191"/>
      <c r="AWG22" s="191"/>
      <c r="AWQ22" s="191"/>
      <c r="AXA22" s="191"/>
      <c r="AXK22" s="191"/>
      <c r="AXU22" s="191"/>
      <c r="AYE22" s="191"/>
      <c r="AYO22" s="191"/>
      <c r="AYY22" s="191"/>
      <c r="AZI22" s="191"/>
      <c r="AZS22" s="191"/>
      <c r="BAC22" s="191"/>
      <c r="BAM22" s="191"/>
      <c r="BAW22" s="191"/>
      <c r="BBG22" s="191"/>
      <c r="BBQ22" s="191"/>
      <c r="BCA22" s="191"/>
      <c r="BCK22" s="191"/>
      <c r="BCU22" s="191"/>
      <c r="BDE22" s="191"/>
      <c r="BDO22" s="191"/>
      <c r="BDY22" s="191"/>
      <c r="BEI22" s="191"/>
      <c r="BES22" s="191"/>
      <c r="BFC22" s="191"/>
      <c r="BFM22" s="191"/>
      <c r="BFW22" s="191"/>
      <c r="BGG22" s="191"/>
      <c r="BGQ22" s="191"/>
      <c r="BHA22" s="191"/>
      <c r="BHK22" s="191"/>
      <c r="BHU22" s="191"/>
      <c r="BIE22" s="191"/>
      <c r="BIO22" s="191"/>
      <c r="BIY22" s="191"/>
      <c r="BJI22" s="191"/>
      <c r="BJS22" s="191"/>
      <c r="BKC22" s="191"/>
      <c r="BKM22" s="191"/>
      <c r="BKW22" s="191"/>
      <c r="BLG22" s="191"/>
      <c r="BLQ22" s="191"/>
      <c r="BMA22" s="191"/>
      <c r="BMK22" s="191"/>
      <c r="BMU22" s="191"/>
      <c r="BNE22" s="191"/>
      <c r="BNO22" s="191"/>
      <c r="BNY22" s="191"/>
      <c r="BOI22" s="191"/>
      <c r="BOS22" s="191"/>
      <c r="BPC22" s="191"/>
      <c r="BPM22" s="191"/>
      <c r="BPW22" s="191"/>
      <c r="BQG22" s="191"/>
      <c r="BQQ22" s="191"/>
      <c r="BRA22" s="191"/>
      <c r="BRK22" s="191"/>
      <c r="BRU22" s="191"/>
      <c r="BSE22" s="191"/>
      <c r="BSO22" s="191"/>
      <c r="BSY22" s="191"/>
      <c r="BTI22" s="191"/>
      <c r="BTS22" s="191"/>
      <c r="BUC22" s="191"/>
      <c r="BUM22" s="191"/>
      <c r="BUW22" s="191"/>
      <c r="BVG22" s="191"/>
      <c r="BVQ22" s="191"/>
      <c r="BWA22" s="191"/>
      <c r="BWK22" s="191"/>
      <c r="BWU22" s="191"/>
      <c r="BXE22" s="191"/>
      <c r="BXO22" s="191"/>
      <c r="BXY22" s="191"/>
      <c r="BYI22" s="191"/>
      <c r="BYS22" s="191"/>
      <c r="BZC22" s="191"/>
      <c r="BZM22" s="191"/>
      <c r="BZW22" s="191"/>
      <c r="CAG22" s="191"/>
      <c r="CAQ22" s="191"/>
      <c r="CBA22" s="191"/>
      <c r="CBK22" s="191"/>
      <c r="CBU22" s="191"/>
      <c r="CCE22" s="191"/>
      <c r="CCO22" s="191"/>
      <c r="CCY22" s="191"/>
      <c r="CDI22" s="191"/>
      <c r="CDS22" s="191"/>
      <c r="CEC22" s="191"/>
      <c r="CEM22" s="191"/>
      <c r="CEW22" s="191"/>
      <c r="CFG22" s="191"/>
      <c r="CFQ22" s="191"/>
      <c r="CGA22" s="191"/>
      <c r="CGK22" s="191"/>
      <c r="CGU22" s="191"/>
      <c r="CHE22" s="191"/>
      <c r="CHO22" s="191"/>
      <c r="CHY22" s="191"/>
      <c r="CII22" s="191"/>
      <c r="CIS22" s="191"/>
      <c r="CJC22" s="191"/>
      <c r="CJM22" s="191"/>
      <c r="CJW22" s="191"/>
      <c r="CKG22" s="191"/>
      <c r="CKQ22" s="191"/>
      <c r="CLA22" s="191"/>
      <c r="CLK22" s="191"/>
      <c r="CLU22" s="191"/>
      <c r="CME22" s="191"/>
      <c r="CMO22" s="191"/>
      <c r="CMY22" s="191"/>
      <c r="CNI22" s="191"/>
      <c r="CNS22" s="191"/>
      <c r="COC22" s="191"/>
      <c r="COM22" s="191"/>
      <c r="COW22" s="191"/>
      <c r="CPG22" s="191"/>
      <c r="CPQ22" s="191"/>
      <c r="CQA22" s="191"/>
      <c r="CQK22" s="191"/>
      <c r="CQU22" s="191"/>
      <c r="CRE22" s="191"/>
      <c r="CRO22" s="191"/>
      <c r="CRY22" s="191"/>
      <c r="CSI22" s="191"/>
      <c r="CSS22" s="191"/>
      <c r="CTC22" s="191"/>
      <c r="CTM22" s="191"/>
      <c r="CTW22" s="191"/>
      <c r="CUG22" s="191"/>
      <c r="CUQ22" s="191"/>
      <c r="CVA22" s="191"/>
      <c r="CVK22" s="191"/>
      <c r="CVU22" s="191"/>
      <c r="CWE22" s="191"/>
      <c r="CWO22" s="191"/>
      <c r="CWY22" s="191"/>
      <c r="CXI22" s="191"/>
      <c r="CXS22" s="191"/>
      <c r="CYC22" s="191"/>
      <c r="CYM22" s="191"/>
      <c r="CYW22" s="191"/>
      <c r="CZG22" s="191"/>
      <c r="CZQ22" s="191"/>
      <c r="DAA22" s="191"/>
      <c r="DAK22" s="191"/>
      <c r="DAU22" s="191"/>
      <c r="DBE22" s="191"/>
      <c r="DBO22" s="191"/>
      <c r="DBY22" s="191"/>
      <c r="DCI22" s="191"/>
      <c r="DCS22" s="191"/>
      <c r="DDC22" s="191"/>
      <c r="DDM22" s="191"/>
      <c r="DDW22" s="191"/>
      <c r="DEG22" s="191"/>
      <c r="DEQ22" s="191"/>
      <c r="DFA22" s="191"/>
      <c r="DFK22" s="191"/>
      <c r="DFU22" s="191"/>
      <c r="DGE22" s="191"/>
      <c r="DGO22" s="191"/>
      <c r="DGY22" s="191"/>
      <c r="DHI22" s="191"/>
      <c r="DHS22" s="191"/>
      <c r="DIC22" s="191"/>
      <c r="DIM22" s="191"/>
      <c r="DIW22" s="191"/>
      <c r="DJG22" s="191"/>
      <c r="DJQ22" s="191"/>
      <c r="DKA22" s="191"/>
      <c r="DKK22" s="191"/>
      <c r="DKU22" s="191"/>
      <c r="DLE22" s="191"/>
      <c r="DLO22" s="191"/>
      <c r="DLY22" s="191"/>
      <c r="DMI22" s="191"/>
      <c r="DMS22" s="191"/>
      <c r="DNC22" s="191"/>
      <c r="DNM22" s="191"/>
      <c r="DNW22" s="191"/>
      <c r="DOG22" s="191"/>
      <c r="DOQ22" s="191"/>
      <c r="DPA22" s="191"/>
      <c r="DPK22" s="191"/>
      <c r="DPU22" s="191"/>
      <c r="DQE22" s="191"/>
      <c r="DQO22" s="191"/>
      <c r="DQY22" s="191"/>
      <c r="DRI22" s="191"/>
      <c r="DRS22" s="191"/>
      <c r="DSC22" s="191"/>
      <c r="DSM22" s="191"/>
      <c r="DSW22" s="191"/>
      <c r="DTG22" s="191"/>
      <c r="DTQ22" s="191"/>
      <c r="DUA22" s="191"/>
      <c r="DUK22" s="191"/>
      <c r="DUU22" s="191"/>
      <c r="DVE22" s="191"/>
      <c r="DVO22" s="191"/>
      <c r="DVY22" s="191"/>
      <c r="DWI22" s="191"/>
      <c r="DWS22" s="191"/>
      <c r="DXC22" s="191"/>
      <c r="DXM22" s="191"/>
      <c r="DXW22" s="191"/>
      <c r="DYG22" s="191"/>
      <c r="DYQ22" s="191"/>
      <c r="DZA22" s="191"/>
      <c r="DZK22" s="191"/>
      <c r="DZU22" s="191"/>
      <c r="EAE22" s="191"/>
      <c r="EAO22" s="191"/>
      <c r="EAY22" s="191"/>
      <c r="EBI22" s="191"/>
      <c r="EBS22" s="191"/>
      <c r="ECC22" s="191"/>
      <c r="ECM22" s="191"/>
      <c r="ECW22" s="191"/>
      <c r="EDG22" s="191"/>
      <c r="EDQ22" s="191"/>
      <c r="EEA22" s="191"/>
      <c r="EEK22" s="191"/>
      <c r="EEU22" s="191"/>
      <c r="EFE22" s="191"/>
      <c r="EFO22" s="191"/>
      <c r="EFY22" s="191"/>
      <c r="EGI22" s="191"/>
      <c r="EGS22" s="191"/>
      <c r="EHC22" s="191"/>
      <c r="EHM22" s="191"/>
      <c r="EHW22" s="191"/>
      <c r="EIG22" s="191"/>
      <c r="EIQ22" s="191"/>
      <c r="EJA22" s="191"/>
      <c r="EJK22" s="191"/>
      <c r="EJU22" s="191"/>
      <c r="EKE22" s="191"/>
      <c r="EKO22" s="191"/>
      <c r="EKY22" s="191"/>
      <c r="ELI22" s="191"/>
      <c r="ELS22" s="191"/>
      <c r="EMC22" s="191"/>
      <c r="EMM22" s="191"/>
      <c r="EMW22" s="191"/>
      <c r="ENG22" s="191"/>
      <c r="ENQ22" s="191"/>
      <c r="EOA22" s="191"/>
      <c r="EOK22" s="191"/>
      <c r="EOU22" s="191"/>
      <c r="EPE22" s="191"/>
      <c r="EPO22" s="191"/>
      <c r="EPY22" s="191"/>
      <c r="EQI22" s="191"/>
      <c r="EQS22" s="191"/>
      <c r="ERC22" s="191"/>
      <c r="ERM22" s="191"/>
      <c r="ERW22" s="191"/>
      <c r="ESG22" s="191"/>
      <c r="ESQ22" s="191"/>
      <c r="ETA22" s="191"/>
      <c r="ETK22" s="191"/>
      <c r="ETU22" s="191"/>
      <c r="EUE22" s="191"/>
      <c r="EUO22" s="191"/>
      <c r="EUY22" s="191"/>
      <c r="EVI22" s="191"/>
      <c r="EVS22" s="191"/>
      <c r="EWC22" s="191"/>
      <c r="EWM22" s="191"/>
      <c r="EWW22" s="191"/>
      <c r="EXG22" s="191"/>
      <c r="EXQ22" s="191"/>
      <c r="EYA22" s="191"/>
      <c r="EYK22" s="191"/>
      <c r="EYU22" s="191"/>
      <c r="EZE22" s="191"/>
      <c r="EZO22" s="191"/>
      <c r="EZY22" s="191"/>
      <c r="FAI22" s="191"/>
      <c r="FAS22" s="191"/>
      <c r="FBC22" s="191"/>
      <c r="FBM22" s="191"/>
      <c r="FBW22" s="191"/>
      <c r="FCG22" s="191"/>
      <c r="FCQ22" s="191"/>
      <c r="FDA22" s="191"/>
      <c r="FDK22" s="191"/>
      <c r="FDU22" s="191"/>
      <c r="FEE22" s="191"/>
      <c r="FEO22" s="191"/>
      <c r="FEY22" s="191"/>
      <c r="FFI22" s="191"/>
      <c r="FFS22" s="191"/>
      <c r="FGC22" s="191"/>
      <c r="FGM22" s="191"/>
      <c r="FGW22" s="191"/>
      <c r="FHG22" s="191"/>
      <c r="FHQ22" s="191"/>
      <c r="FIA22" s="191"/>
      <c r="FIK22" s="191"/>
      <c r="FIU22" s="191"/>
      <c r="FJE22" s="191"/>
      <c r="FJO22" s="191"/>
      <c r="FJY22" s="191"/>
      <c r="FKI22" s="191"/>
      <c r="FKS22" s="191"/>
      <c r="FLC22" s="191"/>
      <c r="FLM22" s="191"/>
      <c r="FLW22" s="191"/>
      <c r="FMG22" s="191"/>
      <c r="FMQ22" s="191"/>
      <c r="FNA22" s="191"/>
      <c r="FNK22" s="191"/>
      <c r="FNU22" s="191"/>
      <c r="FOE22" s="191"/>
      <c r="FOO22" s="191"/>
      <c r="FOY22" s="191"/>
      <c r="FPI22" s="191"/>
      <c r="FPS22" s="191"/>
      <c r="FQC22" s="191"/>
      <c r="FQM22" s="191"/>
      <c r="FQW22" s="191"/>
      <c r="FRG22" s="191"/>
      <c r="FRQ22" s="191"/>
      <c r="FSA22" s="191"/>
      <c r="FSK22" s="191"/>
      <c r="FSU22" s="191"/>
      <c r="FTE22" s="191"/>
      <c r="FTO22" s="191"/>
      <c r="FTY22" s="191"/>
      <c r="FUI22" s="191"/>
      <c r="FUS22" s="191"/>
      <c r="FVC22" s="191"/>
      <c r="FVM22" s="191"/>
      <c r="FVW22" s="191"/>
      <c r="FWG22" s="191"/>
      <c r="FWQ22" s="191"/>
      <c r="FXA22" s="191"/>
      <c r="FXK22" s="191"/>
      <c r="FXU22" s="191"/>
      <c r="FYE22" s="191"/>
      <c r="FYO22" s="191"/>
      <c r="FYY22" s="191"/>
      <c r="FZI22" s="191"/>
      <c r="FZS22" s="191"/>
      <c r="GAC22" s="191"/>
      <c r="GAM22" s="191"/>
      <c r="GAW22" s="191"/>
      <c r="GBG22" s="191"/>
      <c r="GBQ22" s="191"/>
      <c r="GCA22" s="191"/>
      <c r="GCK22" s="191"/>
      <c r="GCU22" s="191"/>
      <c r="GDE22" s="191"/>
      <c r="GDO22" s="191"/>
      <c r="GDY22" s="191"/>
      <c r="GEI22" s="191"/>
      <c r="GES22" s="191"/>
      <c r="GFC22" s="191"/>
      <c r="GFM22" s="191"/>
      <c r="GFW22" s="191"/>
      <c r="GGG22" s="191"/>
      <c r="GGQ22" s="191"/>
      <c r="GHA22" s="191"/>
      <c r="GHK22" s="191"/>
      <c r="GHU22" s="191"/>
      <c r="GIE22" s="191"/>
      <c r="GIO22" s="191"/>
      <c r="GIY22" s="191"/>
      <c r="GJI22" s="191"/>
      <c r="GJS22" s="191"/>
      <c r="GKC22" s="191"/>
      <c r="GKM22" s="191"/>
      <c r="GKW22" s="191"/>
      <c r="GLG22" s="191"/>
      <c r="GLQ22" s="191"/>
      <c r="GMA22" s="191"/>
      <c r="GMK22" s="191"/>
      <c r="GMU22" s="191"/>
      <c r="GNE22" s="191"/>
      <c r="GNO22" s="191"/>
      <c r="GNY22" s="191"/>
      <c r="GOI22" s="191"/>
      <c r="GOS22" s="191"/>
      <c r="GPC22" s="191"/>
      <c r="GPM22" s="191"/>
      <c r="GPW22" s="191"/>
      <c r="GQG22" s="191"/>
      <c r="GQQ22" s="191"/>
      <c r="GRA22" s="191"/>
      <c r="GRK22" s="191"/>
      <c r="GRU22" s="191"/>
      <c r="GSE22" s="191"/>
      <c r="GSO22" s="191"/>
      <c r="GSY22" s="191"/>
      <c r="GTI22" s="191"/>
      <c r="GTS22" s="191"/>
      <c r="GUC22" s="191"/>
      <c r="GUM22" s="191"/>
      <c r="GUW22" s="191"/>
      <c r="GVG22" s="191"/>
      <c r="GVQ22" s="191"/>
      <c r="GWA22" s="191"/>
      <c r="GWK22" s="191"/>
      <c r="GWU22" s="191"/>
      <c r="GXE22" s="191"/>
      <c r="GXO22" s="191"/>
      <c r="GXY22" s="191"/>
      <c r="GYI22" s="191"/>
      <c r="GYS22" s="191"/>
      <c r="GZC22" s="191"/>
      <c r="GZM22" s="191"/>
      <c r="GZW22" s="191"/>
      <c r="HAG22" s="191"/>
      <c r="HAQ22" s="191"/>
      <c r="HBA22" s="191"/>
      <c r="HBK22" s="191"/>
      <c r="HBU22" s="191"/>
      <c r="HCE22" s="191"/>
      <c r="HCO22" s="191"/>
      <c r="HCY22" s="191"/>
      <c r="HDI22" s="191"/>
      <c r="HDS22" s="191"/>
      <c r="HEC22" s="191"/>
      <c r="HEM22" s="191"/>
      <c r="HEW22" s="191"/>
      <c r="HFG22" s="191"/>
      <c r="HFQ22" s="191"/>
      <c r="HGA22" s="191"/>
      <c r="HGK22" s="191"/>
      <c r="HGU22" s="191"/>
      <c r="HHE22" s="191"/>
      <c r="HHO22" s="191"/>
      <c r="HHY22" s="191"/>
      <c r="HII22" s="191"/>
      <c r="HIS22" s="191"/>
      <c r="HJC22" s="191"/>
      <c r="HJM22" s="191"/>
      <c r="HJW22" s="191"/>
      <c r="HKG22" s="191"/>
      <c r="HKQ22" s="191"/>
      <c r="HLA22" s="191"/>
      <c r="HLK22" s="191"/>
      <c r="HLU22" s="191"/>
      <c r="HME22" s="191"/>
      <c r="HMO22" s="191"/>
      <c r="HMY22" s="191"/>
      <c r="HNI22" s="191"/>
      <c r="HNS22" s="191"/>
      <c r="HOC22" s="191"/>
      <c r="HOM22" s="191"/>
      <c r="HOW22" s="191"/>
      <c r="HPG22" s="191"/>
      <c r="HPQ22" s="191"/>
      <c r="HQA22" s="191"/>
      <c r="HQK22" s="191"/>
      <c r="HQU22" s="191"/>
      <c r="HRE22" s="191"/>
      <c r="HRO22" s="191"/>
      <c r="HRY22" s="191"/>
      <c r="HSI22" s="191"/>
      <c r="HSS22" s="191"/>
      <c r="HTC22" s="191"/>
      <c r="HTM22" s="191"/>
      <c r="HTW22" s="191"/>
      <c r="HUG22" s="191"/>
      <c r="HUQ22" s="191"/>
      <c r="HVA22" s="191"/>
      <c r="HVK22" s="191"/>
      <c r="HVU22" s="191"/>
      <c r="HWE22" s="191"/>
      <c r="HWO22" s="191"/>
      <c r="HWY22" s="191"/>
      <c r="HXI22" s="191"/>
      <c r="HXS22" s="191"/>
      <c r="HYC22" s="191"/>
      <c r="HYM22" s="191"/>
      <c r="HYW22" s="191"/>
      <c r="HZG22" s="191"/>
      <c r="HZQ22" s="191"/>
      <c r="IAA22" s="191"/>
      <c r="IAK22" s="191"/>
      <c r="IAU22" s="191"/>
      <c r="IBE22" s="191"/>
      <c r="IBO22" s="191"/>
      <c r="IBY22" s="191"/>
      <c r="ICI22" s="191"/>
      <c r="ICS22" s="191"/>
      <c r="IDC22" s="191"/>
      <c r="IDM22" s="191"/>
      <c r="IDW22" s="191"/>
      <c r="IEG22" s="191"/>
      <c r="IEQ22" s="191"/>
      <c r="IFA22" s="191"/>
      <c r="IFK22" s="191"/>
      <c r="IFU22" s="191"/>
      <c r="IGE22" s="191"/>
      <c r="IGO22" s="191"/>
      <c r="IGY22" s="191"/>
      <c r="IHI22" s="191"/>
      <c r="IHS22" s="191"/>
      <c r="IIC22" s="191"/>
      <c r="IIM22" s="191"/>
      <c r="IIW22" s="191"/>
      <c r="IJG22" s="191"/>
      <c r="IJQ22" s="191"/>
      <c r="IKA22" s="191"/>
      <c r="IKK22" s="191"/>
      <c r="IKU22" s="191"/>
      <c r="ILE22" s="191"/>
      <c r="ILO22" s="191"/>
      <c r="ILY22" s="191"/>
      <c r="IMI22" s="191"/>
      <c r="IMS22" s="191"/>
      <c r="INC22" s="191"/>
      <c r="INM22" s="191"/>
      <c r="INW22" s="191"/>
      <c r="IOG22" s="191"/>
      <c r="IOQ22" s="191"/>
      <c r="IPA22" s="191"/>
      <c r="IPK22" s="191"/>
      <c r="IPU22" s="191"/>
      <c r="IQE22" s="191"/>
      <c r="IQO22" s="191"/>
      <c r="IQY22" s="191"/>
      <c r="IRI22" s="191"/>
      <c r="IRS22" s="191"/>
      <c r="ISC22" s="191"/>
      <c r="ISM22" s="191"/>
      <c r="ISW22" s="191"/>
      <c r="ITG22" s="191"/>
      <c r="ITQ22" s="191"/>
      <c r="IUA22" s="191"/>
      <c r="IUK22" s="191"/>
      <c r="IUU22" s="191"/>
      <c r="IVE22" s="191"/>
      <c r="IVO22" s="191"/>
      <c r="IVY22" s="191"/>
      <c r="IWI22" s="191"/>
      <c r="IWS22" s="191"/>
      <c r="IXC22" s="191"/>
      <c r="IXM22" s="191"/>
      <c r="IXW22" s="191"/>
      <c r="IYG22" s="191"/>
      <c r="IYQ22" s="191"/>
      <c r="IZA22" s="191"/>
      <c r="IZK22" s="191"/>
      <c r="IZU22" s="191"/>
      <c r="JAE22" s="191"/>
      <c r="JAO22" s="191"/>
      <c r="JAY22" s="191"/>
      <c r="JBI22" s="191"/>
      <c r="JBS22" s="191"/>
      <c r="JCC22" s="191"/>
      <c r="JCM22" s="191"/>
      <c r="JCW22" s="191"/>
      <c r="JDG22" s="191"/>
      <c r="JDQ22" s="191"/>
      <c r="JEA22" s="191"/>
      <c r="JEK22" s="191"/>
      <c r="JEU22" s="191"/>
      <c r="JFE22" s="191"/>
      <c r="JFO22" s="191"/>
      <c r="JFY22" s="191"/>
      <c r="JGI22" s="191"/>
      <c r="JGS22" s="191"/>
      <c r="JHC22" s="191"/>
      <c r="JHM22" s="191"/>
      <c r="JHW22" s="191"/>
      <c r="JIG22" s="191"/>
      <c r="JIQ22" s="191"/>
      <c r="JJA22" s="191"/>
      <c r="JJK22" s="191"/>
      <c r="JJU22" s="191"/>
      <c r="JKE22" s="191"/>
      <c r="JKO22" s="191"/>
      <c r="JKY22" s="191"/>
      <c r="JLI22" s="191"/>
      <c r="JLS22" s="191"/>
      <c r="JMC22" s="191"/>
      <c r="JMM22" s="191"/>
      <c r="JMW22" s="191"/>
      <c r="JNG22" s="191"/>
      <c r="JNQ22" s="191"/>
      <c r="JOA22" s="191"/>
      <c r="JOK22" s="191"/>
      <c r="JOU22" s="191"/>
      <c r="JPE22" s="191"/>
      <c r="JPO22" s="191"/>
      <c r="JPY22" s="191"/>
      <c r="JQI22" s="191"/>
      <c r="JQS22" s="191"/>
      <c r="JRC22" s="191"/>
      <c r="JRM22" s="191"/>
      <c r="JRW22" s="191"/>
      <c r="JSG22" s="191"/>
      <c r="JSQ22" s="191"/>
      <c r="JTA22" s="191"/>
      <c r="JTK22" s="191"/>
      <c r="JTU22" s="191"/>
      <c r="JUE22" s="191"/>
      <c r="JUO22" s="191"/>
      <c r="JUY22" s="191"/>
      <c r="JVI22" s="191"/>
      <c r="JVS22" s="191"/>
      <c r="JWC22" s="191"/>
      <c r="JWM22" s="191"/>
      <c r="JWW22" s="191"/>
      <c r="JXG22" s="191"/>
      <c r="JXQ22" s="191"/>
      <c r="JYA22" s="191"/>
      <c r="JYK22" s="191"/>
      <c r="JYU22" s="191"/>
      <c r="JZE22" s="191"/>
      <c r="JZO22" s="191"/>
      <c r="JZY22" s="191"/>
      <c r="KAI22" s="191"/>
      <c r="KAS22" s="191"/>
      <c r="KBC22" s="191"/>
      <c r="KBM22" s="191"/>
      <c r="KBW22" s="191"/>
      <c r="KCG22" s="191"/>
      <c r="KCQ22" s="191"/>
      <c r="KDA22" s="191"/>
      <c r="KDK22" s="191"/>
      <c r="KDU22" s="191"/>
      <c r="KEE22" s="191"/>
      <c r="KEO22" s="191"/>
      <c r="KEY22" s="191"/>
      <c r="KFI22" s="191"/>
      <c r="KFS22" s="191"/>
      <c r="KGC22" s="191"/>
      <c r="KGM22" s="191"/>
      <c r="KGW22" s="191"/>
      <c r="KHG22" s="191"/>
      <c r="KHQ22" s="191"/>
      <c r="KIA22" s="191"/>
      <c r="KIK22" s="191"/>
      <c r="KIU22" s="191"/>
      <c r="KJE22" s="191"/>
      <c r="KJO22" s="191"/>
      <c r="KJY22" s="191"/>
      <c r="KKI22" s="191"/>
      <c r="KKS22" s="191"/>
      <c r="KLC22" s="191"/>
      <c r="KLM22" s="191"/>
      <c r="KLW22" s="191"/>
      <c r="KMG22" s="191"/>
      <c r="KMQ22" s="191"/>
      <c r="KNA22" s="191"/>
      <c r="KNK22" s="191"/>
      <c r="KNU22" s="191"/>
      <c r="KOE22" s="191"/>
      <c r="KOO22" s="191"/>
      <c r="KOY22" s="191"/>
      <c r="KPI22" s="191"/>
      <c r="KPS22" s="191"/>
      <c r="KQC22" s="191"/>
      <c r="KQM22" s="191"/>
      <c r="KQW22" s="191"/>
      <c r="KRG22" s="191"/>
      <c r="KRQ22" s="191"/>
      <c r="KSA22" s="191"/>
      <c r="KSK22" s="191"/>
      <c r="KSU22" s="191"/>
      <c r="KTE22" s="191"/>
      <c r="KTO22" s="191"/>
      <c r="KTY22" s="191"/>
      <c r="KUI22" s="191"/>
      <c r="KUS22" s="191"/>
      <c r="KVC22" s="191"/>
      <c r="KVM22" s="191"/>
      <c r="KVW22" s="191"/>
      <c r="KWG22" s="191"/>
      <c r="KWQ22" s="191"/>
      <c r="KXA22" s="191"/>
      <c r="KXK22" s="191"/>
      <c r="KXU22" s="191"/>
      <c r="KYE22" s="191"/>
      <c r="KYO22" s="191"/>
      <c r="KYY22" s="191"/>
      <c r="KZI22" s="191"/>
      <c r="KZS22" s="191"/>
      <c r="LAC22" s="191"/>
      <c r="LAM22" s="191"/>
      <c r="LAW22" s="191"/>
      <c r="LBG22" s="191"/>
      <c r="LBQ22" s="191"/>
      <c r="LCA22" s="191"/>
      <c r="LCK22" s="191"/>
      <c r="LCU22" s="191"/>
      <c r="LDE22" s="191"/>
      <c r="LDO22" s="191"/>
      <c r="LDY22" s="191"/>
      <c r="LEI22" s="191"/>
      <c r="LES22" s="191"/>
      <c r="LFC22" s="191"/>
      <c r="LFM22" s="191"/>
      <c r="LFW22" s="191"/>
      <c r="LGG22" s="191"/>
      <c r="LGQ22" s="191"/>
      <c r="LHA22" s="191"/>
      <c r="LHK22" s="191"/>
      <c r="LHU22" s="191"/>
      <c r="LIE22" s="191"/>
      <c r="LIO22" s="191"/>
      <c r="LIY22" s="191"/>
      <c r="LJI22" s="191"/>
      <c r="LJS22" s="191"/>
      <c r="LKC22" s="191"/>
      <c r="LKM22" s="191"/>
      <c r="LKW22" s="191"/>
      <c r="LLG22" s="191"/>
      <c r="LLQ22" s="191"/>
      <c r="LMA22" s="191"/>
      <c r="LMK22" s="191"/>
      <c r="LMU22" s="191"/>
      <c r="LNE22" s="191"/>
      <c r="LNO22" s="191"/>
      <c r="LNY22" s="191"/>
      <c r="LOI22" s="191"/>
      <c r="LOS22" s="191"/>
      <c r="LPC22" s="191"/>
      <c r="LPM22" s="191"/>
      <c r="LPW22" s="191"/>
      <c r="LQG22" s="191"/>
      <c r="LQQ22" s="191"/>
      <c r="LRA22" s="191"/>
      <c r="LRK22" s="191"/>
      <c r="LRU22" s="191"/>
      <c r="LSE22" s="191"/>
      <c r="LSO22" s="191"/>
      <c r="LSY22" s="191"/>
      <c r="LTI22" s="191"/>
      <c r="LTS22" s="191"/>
      <c r="LUC22" s="191"/>
      <c r="LUM22" s="191"/>
      <c r="LUW22" s="191"/>
      <c r="LVG22" s="191"/>
      <c r="LVQ22" s="191"/>
      <c r="LWA22" s="191"/>
      <c r="LWK22" s="191"/>
      <c r="LWU22" s="191"/>
      <c r="LXE22" s="191"/>
      <c r="LXO22" s="191"/>
      <c r="LXY22" s="191"/>
      <c r="LYI22" s="191"/>
      <c r="LYS22" s="191"/>
      <c r="LZC22" s="191"/>
      <c r="LZM22" s="191"/>
      <c r="LZW22" s="191"/>
      <c r="MAG22" s="191"/>
      <c r="MAQ22" s="191"/>
      <c r="MBA22" s="191"/>
      <c r="MBK22" s="191"/>
      <c r="MBU22" s="191"/>
      <c r="MCE22" s="191"/>
      <c r="MCO22" s="191"/>
      <c r="MCY22" s="191"/>
      <c r="MDI22" s="191"/>
      <c r="MDS22" s="191"/>
      <c r="MEC22" s="191"/>
      <c r="MEM22" s="191"/>
      <c r="MEW22" s="191"/>
      <c r="MFG22" s="191"/>
      <c r="MFQ22" s="191"/>
      <c r="MGA22" s="191"/>
      <c r="MGK22" s="191"/>
      <c r="MGU22" s="191"/>
      <c r="MHE22" s="191"/>
      <c r="MHO22" s="191"/>
      <c r="MHY22" s="191"/>
      <c r="MII22" s="191"/>
      <c r="MIS22" s="191"/>
      <c r="MJC22" s="191"/>
      <c r="MJM22" s="191"/>
      <c r="MJW22" s="191"/>
      <c r="MKG22" s="191"/>
      <c r="MKQ22" s="191"/>
      <c r="MLA22" s="191"/>
      <c r="MLK22" s="191"/>
      <c r="MLU22" s="191"/>
      <c r="MME22" s="191"/>
      <c r="MMO22" s="191"/>
      <c r="MMY22" s="191"/>
      <c r="MNI22" s="191"/>
      <c r="MNS22" s="191"/>
      <c r="MOC22" s="191"/>
      <c r="MOM22" s="191"/>
      <c r="MOW22" s="191"/>
      <c r="MPG22" s="191"/>
      <c r="MPQ22" s="191"/>
      <c r="MQA22" s="191"/>
      <c r="MQK22" s="191"/>
      <c r="MQU22" s="191"/>
      <c r="MRE22" s="191"/>
      <c r="MRO22" s="191"/>
      <c r="MRY22" s="191"/>
      <c r="MSI22" s="191"/>
      <c r="MSS22" s="191"/>
      <c r="MTC22" s="191"/>
      <c r="MTM22" s="191"/>
      <c r="MTW22" s="191"/>
      <c r="MUG22" s="191"/>
      <c r="MUQ22" s="191"/>
      <c r="MVA22" s="191"/>
      <c r="MVK22" s="191"/>
      <c r="MVU22" s="191"/>
      <c r="MWE22" s="191"/>
      <c r="MWO22" s="191"/>
      <c r="MWY22" s="191"/>
      <c r="MXI22" s="191"/>
      <c r="MXS22" s="191"/>
      <c r="MYC22" s="191"/>
      <c r="MYM22" s="191"/>
      <c r="MYW22" s="191"/>
      <c r="MZG22" s="191"/>
      <c r="MZQ22" s="191"/>
      <c r="NAA22" s="191"/>
      <c r="NAK22" s="191"/>
      <c r="NAU22" s="191"/>
      <c r="NBE22" s="191"/>
      <c r="NBO22" s="191"/>
      <c r="NBY22" s="191"/>
      <c r="NCI22" s="191"/>
      <c r="NCS22" s="191"/>
      <c r="NDC22" s="191"/>
      <c r="NDM22" s="191"/>
      <c r="NDW22" s="191"/>
      <c r="NEG22" s="191"/>
      <c r="NEQ22" s="191"/>
      <c r="NFA22" s="191"/>
      <c r="NFK22" s="191"/>
      <c r="NFU22" s="191"/>
      <c r="NGE22" s="191"/>
      <c r="NGO22" s="191"/>
      <c r="NGY22" s="191"/>
      <c r="NHI22" s="191"/>
      <c r="NHS22" s="191"/>
      <c r="NIC22" s="191"/>
      <c r="NIM22" s="191"/>
      <c r="NIW22" s="191"/>
      <c r="NJG22" s="191"/>
      <c r="NJQ22" s="191"/>
      <c r="NKA22" s="191"/>
      <c r="NKK22" s="191"/>
      <c r="NKU22" s="191"/>
      <c r="NLE22" s="191"/>
      <c r="NLO22" s="191"/>
      <c r="NLY22" s="191"/>
      <c r="NMI22" s="191"/>
      <c r="NMS22" s="191"/>
      <c r="NNC22" s="191"/>
      <c r="NNM22" s="191"/>
      <c r="NNW22" s="191"/>
      <c r="NOG22" s="191"/>
      <c r="NOQ22" s="191"/>
      <c r="NPA22" s="191"/>
      <c r="NPK22" s="191"/>
      <c r="NPU22" s="191"/>
      <c r="NQE22" s="191"/>
      <c r="NQO22" s="191"/>
      <c r="NQY22" s="191"/>
      <c r="NRI22" s="191"/>
      <c r="NRS22" s="191"/>
      <c r="NSC22" s="191"/>
      <c r="NSM22" s="191"/>
      <c r="NSW22" s="191"/>
      <c r="NTG22" s="191"/>
      <c r="NTQ22" s="191"/>
      <c r="NUA22" s="191"/>
      <c r="NUK22" s="191"/>
      <c r="NUU22" s="191"/>
      <c r="NVE22" s="191"/>
      <c r="NVO22" s="191"/>
      <c r="NVY22" s="191"/>
      <c r="NWI22" s="191"/>
      <c r="NWS22" s="191"/>
      <c r="NXC22" s="191"/>
      <c r="NXM22" s="191"/>
      <c r="NXW22" s="191"/>
      <c r="NYG22" s="191"/>
      <c r="NYQ22" s="191"/>
      <c r="NZA22" s="191"/>
      <c r="NZK22" s="191"/>
      <c r="NZU22" s="191"/>
      <c r="OAE22" s="191"/>
      <c r="OAO22" s="191"/>
      <c r="OAY22" s="191"/>
      <c r="OBI22" s="191"/>
      <c r="OBS22" s="191"/>
      <c r="OCC22" s="191"/>
      <c r="OCM22" s="191"/>
      <c r="OCW22" s="191"/>
      <c r="ODG22" s="191"/>
      <c r="ODQ22" s="191"/>
      <c r="OEA22" s="191"/>
      <c r="OEK22" s="191"/>
      <c r="OEU22" s="191"/>
      <c r="OFE22" s="191"/>
      <c r="OFO22" s="191"/>
      <c r="OFY22" s="191"/>
      <c r="OGI22" s="191"/>
      <c r="OGS22" s="191"/>
      <c r="OHC22" s="191"/>
      <c r="OHM22" s="191"/>
      <c r="OHW22" s="191"/>
      <c r="OIG22" s="191"/>
      <c r="OIQ22" s="191"/>
      <c r="OJA22" s="191"/>
      <c r="OJK22" s="191"/>
      <c r="OJU22" s="191"/>
      <c r="OKE22" s="191"/>
      <c r="OKO22" s="191"/>
      <c r="OKY22" s="191"/>
      <c r="OLI22" s="191"/>
      <c r="OLS22" s="191"/>
      <c r="OMC22" s="191"/>
      <c r="OMM22" s="191"/>
      <c r="OMW22" s="191"/>
      <c r="ONG22" s="191"/>
      <c r="ONQ22" s="191"/>
      <c r="OOA22" s="191"/>
      <c r="OOK22" s="191"/>
      <c r="OOU22" s="191"/>
      <c r="OPE22" s="191"/>
      <c r="OPO22" s="191"/>
      <c r="OPY22" s="191"/>
      <c r="OQI22" s="191"/>
      <c r="OQS22" s="191"/>
      <c r="ORC22" s="191"/>
      <c r="ORM22" s="191"/>
      <c r="ORW22" s="191"/>
      <c r="OSG22" s="191"/>
      <c r="OSQ22" s="191"/>
      <c r="OTA22" s="191"/>
      <c r="OTK22" s="191"/>
      <c r="OTU22" s="191"/>
      <c r="OUE22" s="191"/>
      <c r="OUO22" s="191"/>
      <c r="OUY22" s="191"/>
      <c r="OVI22" s="191"/>
      <c r="OVS22" s="191"/>
      <c r="OWC22" s="191"/>
      <c r="OWM22" s="191"/>
      <c r="OWW22" s="191"/>
      <c r="OXG22" s="191"/>
      <c r="OXQ22" s="191"/>
      <c r="OYA22" s="191"/>
      <c r="OYK22" s="191"/>
      <c r="OYU22" s="191"/>
      <c r="OZE22" s="191"/>
      <c r="OZO22" s="191"/>
      <c r="OZY22" s="191"/>
      <c r="PAI22" s="191"/>
      <c r="PAS22" s="191"/>
      <c r="PBC22" s="191"/>
      <c r="PBM22" s="191"/>
      <c r="PBW22" s="191"/>
      <c r="PCG22" s="191"/>
      <c r="PCQ22" s="191"/>
      <c r="PDA22" s="191"/>
      <c r="PDK22" s="191"/>
      <c r="PDU22" s="191"/>
      <c r="PEE22" s="191"/>
      <c r="PEO22" s="191"/>
      <c r="PEY22" s="191"/>
      <c r="PFI22" s="191"/>
      <c r="PFS22" s="191"/>
      <c r="PGC22" s="191"/>
      <c r="PGM22" s="191"/>
      <c r="PGW22" s="191"/>
      <c r="PHG22" s="191"/>
      <c r="PHQ22" s="191"/>
      <c r="PIA22" s="191"/>
      <c r="PIK22" s="191"/>
      <c r="PIU22" s="191"/>
      <c r="PJE22" s="191"/>
      <c r="PJO22" s="191"/>
      <c r="PJY22" s="191"/>
      <c r="PKI22" s="191"/>
      <c r="PKS22" s="191"/>
      <c r="PLC22" s="191"/>
      <c r="PLM22" s="191"/>
      <c r="PLW22" s="191"/>
      <c r="PMG22" s="191"/>
      <c r="PMQ22" s="191"/>
      <c r="PNA22" s="191"/>
      <c r="PNK22" s="191"/>
      <c r="PNU22" s="191"/>
      <c r="POE22" s="191"/>
      <c r="POO22" s="191"/>
      <c r="POY22" s="191"/>
      <c r="PPI22" s="191"/>
      <c r="PPS22" s="191"/>
      <c r="PQC22" s="191"/>
      <c r="PQM22" s="191"/>
      <c r="PQW22" s="191"/>
      <c r="PRG22" s="191"/>
      <c r="PRQ22" s="191"/>
      <c r="PSA22" s="191"/>
      <c r="PSK22" s="191"/>
      <c r="PSU22" s="191"/>
      <c r="PTE22" s="191"/>
      <c r="PTO22" s="191"/>
      <c r="PTY22" s="191"/>
      <c r="PUI22" s="191"/>
      <c r="PUS22" s="191"/>
      <c r="PVC22" s="191"/>
      <c r="PVM22" s="191"/>
      <c r="PVW22" s="191"/>
      <c r="PWG22" s="191"/>
      <c r="PWQ22" s="191"/>
      <c r="PXA22" s="191"/>
      <c r="PXK22" s="191"/>
      <c r="PXU22" s="191"/>
      <c r="PYE22" s="191"/>
      <c r="PYO22" s="191"/>
      <c r="PYY22" s="191"/>
      <c r="PZI22" s="191"/>
      <c r="PZS22" s="191"/>
      <c r="QAC22" s="191"/>
      <c r="QAM22" s="191"/>
      <c r="QAW22" s="191"/>
      <c r="QBG22" s="191"/>
      <c r="QBQ22" s="191"/>
      <c r="QCA22" s="191"/>
      <c r="QCK22" s="191"/>
      <c r="QCU22" s="191"/>
      <c r="QDE22" s="191"/>
      <c r="QDO22" s="191"/>
      <c r="QDY22" s="191"/>
      <c r="QEI22" s="191"/>
      <c r="QES22" s="191"/>
      <c r="QFC22" s="191"/>
      <c r="QFM22" s="191"/>
      <c r="QFW22" s="191"/>
      <c r="QGG22" s="191"/>
      <c r="QGQ22" s="191"/>
      <c r="QHA22" s="191"/>
      <c r="QHK22" s="191"/>
      <c r="QHU22" s="191"/>
      <c r="QIE22" s="191"/>
      <c r="QIO22" s="191"/>
      <c r="QIY22" s="191"/>
      <c r="QJI22" s="191"/>
      <c r="QJS22" s="191"/>
      <c r="QKC22" s="191"/>
      <c r="QKM22" s="191"/>
      <c r="QKW22" s="191"/>
      <c r="QLG22" s="191"/>
      <c r="QLQ22" s="191"/>
      <c r="QMA22" s="191"/>
      <c r="QMK22" s="191"/>
      <c r="QMU22" s="191"/>
      <c r="QNE22" s="191"/>
      <c r="QNO22" s="191"/>
      <c r="QNY22" s="191"/>
      <c r="QOI22" s="191"/>
      <c r="QOS22" s="191"/>
      <c r="QPC22" s="191"/>
      <c r="QPM22" s="191"/>
      <c r="QPW22" s="191"/>
      <c r="QQG22" s="191"/>
      <c r="QQQ22" s="191"/>
      <c r="QRA22" s="191"/>
      <c r="QRK22" s="191"/>
      <c r="QRU22" s="191"/>
      <c r="QSE22" s="191"/>
      <c r="QSO22" s="191"/>
      <c r="QSY22" s="191"/>
      <c r="QTI22" s="191"/>
      <c r="QTS22" s="191"/>
      <c r="QUC22" s="191"/>
      <c r="QUM22" s="191"/>
      <c r="QUW22" s="191"/>
      <c r="QVG22" s="191"/>
      <c r="QVQ22" s="191"/>
      <c r="QWA22" s="191"/>
      <c r="QWK22" s="191"/>
      <c r="QWU22" s="191"/>
      <c r="QXE22" s="191"/>
      <c r="QXO22" s="191"/>
      <c r="QXY22" s="191"/>
      <c r="QYI22" s="191"/>
      <c r="QYS22" s="191"/>
      <c r="QZC22" s="191"/>
      <c r="QZM22" s="191"/>
      <c r="QZW22" s="191"/>
      <c r="RAG22" s="191"/>
      <c r="RAQ22" s="191"/>
      <c r="RBA22" s="191"/>
      <c r="RBK22" s="191"/>
      <c r="RBU22" s="191"/>
      <c r="RCE22" s="191"/>
      <c r="RCO22" s="191"/>
      <c r="RCY22" s="191"/>
      <c r="RDI22" s="191"/>
      <c r="RDS22" s="191"/>
      <c r="REC22" s="191"/>
      <c r="REM22" s="191"/>
      <c r="REW22" s="191"/>
      <c r="RFG22" s="191"/>
      <c r="RFQ22" s="191"/>
      <c r="RGA22" s="191"/>
      <c r="RGK22" s="191"/>
      <c r="RGU22" s="191"/>
      <c r="RHE22" s="191"/>
      <c r="RHO22" s="191"/>
      <c r="RHY22" s="191"/>
      <c r="RII22" s="191"/>
      <c r="RIS22" s="191"/>
      <c r="RJC22" s="191"/>
      <c r="RJM22" s="191"/>
      <c r="RJW22" s="191"/>
      <c r="RKG22" s="191"/>
      <c r="RKQ22" s="191"/>
      <c r="RLA22" s="191"/>
      <c r="RLK22" s="191"/>
      <c r="RLU22" s="191"/>
      <c r="RME22" s="191"/>
      <c r="RMO22" s="191"/>
      <c r="RMY22" s="191"/>
      <c r="RNI22" s="191"/>
      <c r="RNS22" s="191"/>
      <c r="ROC22" s="191"/>
      <c r="ROM22" s="191"/>
      <c r="ROW22" s="191"/>
      <c r="RPG22" s="191"/>
      <c r="RPQ22" s="191"/>
      <c r="RQA22" s="191"/>
      <c r="RQK22" s="191"/>
      <c r="RQU22" s="191"/>
      <c r="RRE22" s="191"/>
      <c r="RRO22" s="191"/>
      <c r="RRY22" s="191"/>
      <c r="RSI22" s="191"/>
      <c r="RSS22" s="191"/>
      <c r="RTC22" s="191"/>
      <c r="RTM22" s="191"/>
      <c r="RTW22" s="191"/>
      <c r="RUG22" s="191"/>
      <c r="RUQ22" s="191"/>
      <c r="RVA22" s="191"/>
      <c r="RVK22" s="191"/>
      <c r="RVU22" s="191"/>
      <c r="RWE22" s="191"/>
      <c r="RWO22" s="191"/>
      <c r="RWY22" s="191"/>
      <c r="RXI22" s="191"/>
      <c r="RXS22" s="191"/>
      <c r="RYC22" s="191"/>
      <c r="RYM22" s="191"/>
      <c r="RYW22" s="191"/>
      <c r="RZG22" s="191"/>
      <c r="RZQ22" s="191"/>
      <c r="SAA22" s="191"/>
      <c r="SAK22" s="191"/>
      <c r="SAU22" s="191"/>
      <c r="SBE22" s="191"/>
      <c r="SBO22" s="191"/>
      <c r="SBY22" s="191"/>
      <c r="SCI22" s="191"/>
      <c r="SCS22" s="191"/>
      <c r="SDC22" s="191"/>
      <c r="SDM22" s="191"/>
      <c r="SDW22" s="191"/>
      <c r="SEG22" s="191"/>
      <c r="SEQ22" s="191"/>
      <c r="SFA22" s="191"/>
      <c r="SFK22" s="191"/>
      <c r="SFU22" s="191"/>
      <c r="SGE22" s="191"/>
      <c r="SGO22" s="191"/>
      <c r="SGY22" s="191"/>
      <c r="SHI22" s="191"/>
      <c r="SHS22" s="191"/>
      <c r="SIC22" s="191"/>
      <c r="SIM22" s="191"/>
      <c r="SIW22" s="191"/>
      <c r="SJG22" s="191"/>
      <c r="SJQ22" s="191"/>
      <c r="SKA22" s="191"/>
      <c r="SKK22" s="191"/>
      <c r="SKU22" s="191"/>
      <c r="SLE22" s="191"/>
      <c r="SLO22" s="191"/>
      <c r="SLY22" s="191"/>
      <c r="SMI22" s="191"/>
      <c r="SMS22" s="191"/>
      <c r="SNC22" s="191"/>
      <c r="SNM22" s="191"/>
      <c r="SNW22" s="191"/>
      <c r="SOG22" s="191"/>
      <c r="SOQ22" s="191"/>
      <c r="SPA22" s="191"/>
      <c r="SPK22" s="191"/>
      <c r="SPU22" s="191"/>
      <c r="SQE22" s="191"/>
      <c r="SQO22" s="191"/>
      <c r="SQY22" s="191"/>
      <c r="SRI22" s="191"/>
      <c r="SRS22" s="191"/>
      <c r="SSC22" s="191"/>
      <c r="SSM22" s="191"/>
      <c r="SSW22" s="191"/>
      <c r="STG22" s="191"/>
      <c r="STQ22" s="191"/>
      <c r="SUA22" s="191"/>
      <c r="SUK22" s="191"/>
      <c r="SUU22" s="191"/>
      <c r="SVE22" s="191"/>
      <c r="SVO22" s="191"/>
      <c r="SVY22" s="191"/>
      <c r="SWI22" s="191"/>
      <c r="SWS22" s="191"/>
      <c r="SXC22" s="191"/>
      <c r="SXM22" s="191"/>
      <c r="SXW22" s="191"/>
      <c r="SYG22" s="191"/>
      <c r="SYQ22" s="191"/>
      <c r="SZA22" s="191"/>
      <c r="SZK22" s="191"/>
      <c r="SZU22" s="191"/>
      <c r="TAE22" s="191"/>
      <c r="TAO22" s="191"/>
      <c r="TAY22" s="191"/>
      <c r="TBI22" s="191"/>
      <c r="TBS22" s="191"/>
      <c r="TCC22" s="191"/>
      <c r="TCM22" s="191"/>
      <c r="TCW22" s="191"/>
      <c r="TDG22" s="191"/>
      <c r="TDQ22" s="191"/>
      <c r="TEA22" s="191"/>
      <c r="TEK22" s="191"/>
      <c r="TEU22" s="191"/>
      <c r="TFE22" s="191"/>
      <c r="TFO22" s="191"/>
      <c r="TFY22" s="191"/>
      <c r="TGI22" s="191"/>
      <c r="TGS22" s="191"/>
      <c r="THC22" s="191"/>
      <c r="THM22" s="191"/>
      <c r="THW22" s="191"/>
      <c r="TIG22" s="191"/>
      <c r="TIQ22" s="191"/>
      <c r="TJA22" s="191"/>
      <c r="TJK22" s="191"/>
      <c r="TJU22" s="191"/>
      <c r="TKE22" s="191"/>
      <c r="TKO22" s="191"/>
      <c r="TKY22" s="191"/>
      <c r="TLI22" s="191"/>
      <c r="TLS22" s="191"/>
      <c r="TMC22" s="191"/>
      <c r="TMM22" s="191"/>
      <c r="TMW22" s="191"/>
      <c r="TNG22" s="191"/>
      <c r="TNQ22" s="191"/>
      <c r="TOA22" s="191"/>
      <c r="TOK22" s="191"/>
      <c r="TOU22" s="191"/>
      <c r="TPE22" s="191"/>
      <c r="TPO22" s="191"/>
      <c r="TPY22" s="191"/>
      <c r="TQI22" s="191"/>
      <c r="TQS22" s="191"/>
      <c r="TRC22" s="191"/>
      <c r="TRM22" s="191"/>
      <c r="TRW22" s="191"/>
      <c r="TSG22" s="191"/>
      <c r="TSQ22" s="191"/>
      <c r="TTA22" s="191"/>
      <c r="TTK22" s="191"/>
      <c r="TTU22" s="191"/>
      <c r="TUE22" s="191"/>
      <c r="TUO22" s="191"/>
      <c r="TUY22" s="191"/>
      <c r="TVI22" s="191"/>
      <c r="TVS22" s="191"/>
      <c r="TWC22" s="191"/>
      <c r="TWM22" s="191"/>
      <c r="TWW22" s="191"/>
      <c r="TXG22" s="191"/>
      <c r="TXQ22" s="191"/>
      <c r="TYA22" s="191"/>
      <c r="TYK22" s="191"/>
      <c r="TYU22" s="191"/>
      <c r="TZE22" s="191"/>
      <c r="TZO22" s="191"/>
      <c r="TZY22" s="191"/>
      <c r="UAI22" s="191"/>
      <c r="UAS22" s="191"/>
      <c r="UBC22" s="191"/>
      <c r="UBM22" s="191"/>
      <c r="UBW22" s="191"/>
      <c r="UCG22" s="191"/>
      <c r="UCQ22" s="191"/>
      <c r="UDA22" s="191"/>
      <c r="UDK22" s="191"/>
      <c r="UDU22" s="191"/>
      <c r="UEE22" s="191"/>
      <c r="UEO22" s="191"/>
      <c r="UEY22" s="191"/>
      <c r="UFI22" s="191"/>
      <c r="UFS22" s="191"/>
      <c r="UGC22" s="191"/>
      <c r="UGM22" s="191"/>
      <c r="UGW22" s="191"/>
      <c r="UHG22" s="191"/>
      <c r="UHQ22" s="191"/>
      <c r="UIA22" s="191"/>
      <c r="UIK22" s="191"/>
      <c r="UIU22" s="191"/>
      <c r="UJE22" s="191"/>
      <c r="UJO22" s="191"/>
      <c r="UJY22" s="191"/>
      <c r="UKI22" s="191"/>
      <c r="UKS22" s="191"/>
      <c r="ULC22" s="191"/>
      <c r="ULM22" s="191"/>
      <c r="ULW22" s="191"/>
      <c r="UMG22" s="191"/>
      <c r="UMQ22" s="191"/>
      <c r="UNA22" s="191"/>
      <c r="UNK22" s="191"/>
      <c r="UNU22" s="191"/>
      <c r="UOE22" s="191"/>
      <c r="UOO22" s="191"/>
      <c r="UOY22" s="191"/>
      <c r="UPI22" s="191"/>
      <c r="UPS22" s="191"/>
      <c r="UQC22" s="191"/>
      <c r="UQM22" s="191"/>
      <c r="UQW22" s="191"/>
      <c r="URG22" s="191"/>
      <c r="URQ22" s="191"/>
      <c r="USA22" s="191"/>
      <c r="USK22" s="191"/>
      <c r="USU22" s="191"/>
      <c r="UTE22" s="191"/>
      <c r="UTO22" s="191"/>
      <c r="UTY22" s="191"/>
      <c r="UUI22" s="191"/>
      <c r="UUS22" s="191"/>
      <c r="UVC22" s="191"/>
      <c r="UVM22" s="191"/>
      <c r="UVW22" s="191"/>
      <c r="UWG22" s="191"/>
      <c r="UWQ22" s="191"/>
      <c r="UXA22" s="191"/>
      <c r="UXK22" s="191"/>
      <c r="UXU22" s="191"/>
      <c r="UYE22" s="191"/>
      <c r="UYO22" s="191"/>
      <c r="UYY22" s="191"/>
      <c r="UZI22" s="191"/>
      <c r="UZS22" s="191"/>
      <c r="VAC22" s="191"/>
      <c r="VAM22" s="191"/>
      <c r="VAW22" s="191"/>
      <c r="VBG22" s="191"/>
      <c r="VBQ22" s="191"/>
      <c r="VCA22" s="191"/>
      <c r="VCK22" s="191"/>
      <c r="VCU22" s="191"/>
      <c r="VDE22" s="191"/>
      <c r="VDO22" s="191"/>
      <c r="VDY22" s="191"/>
      <c r="VEI22" s="191"/>
      <c r="VES22" s="191"/>
      <c r="VFC22" s="191"/>
      <c r="VFM22" s="191"/>
      <c r="VFW22" s="191"/>
      <c r="VGG22" s="191"/>
      <c r="VGQ22" s="191"/>
      <c r="VHA22" s="191"/>
      <c r="VHK22" s="191"/>
      <c r="VHU22" s="191"/>
      <c r="VIE22" s="191"/>
      <c r="VIO22" s="191"/>
      <c r="VIY22" s="191"/>
      <c r="VJI22" s="191"/>
      <c r="VJS22" s="191"/>
      <c r="VKC22" s="191"/>
      <c r="VKM22" s="191"/>
      <c r="VKW22" s="191"/>
      <c r="VLG22" s="191"/>
      <c r="VLQ22" s="191"/>
      <c r="VMA22" s="191"/>
      <c r="VMK22" s="191"/>
      <c r="VMU22" s="191"/>
      <c r="VNE22" s="191"/>
      <c r="VNO22" s="191"/>
      <c r="VNY22" s="191"/>
      <c r="VOI22" s="191"/>
      <c r="VOS22" s="191"/>
      <c r="VPC22" s="191"/>
      <c r="VPM22" s="191"/>
      <c r="VPW22" s="191"/>
      <c r="VQG22" s="191"/>
      <c r="VQQ22" s="191"/>
      <c r="VRA22" s="191"/>
      <c r="VRK22" s="191"/>
      <c r="VRU22" s="191"/>
      <c r="VSE22" s="191"/>
      <c r="VSO22" s="191"/>
      <c r="VSY22" s="191"/>
      <c r="VTI22" s="191"/>
      <c r="VTS22" s="191"/>
      <c r="VUC22" s="191"/>
      <c r="VUM22" s="191"/>
      <c r="VUW22" s="191"/>
      <c r="VVG22" s="191"/>
      <c r="VVQ22" s="191"/>
      <c r="VWA22" s="191"/>
      <c r="VWK22" s="191"/>
      <c r="VWU22" s="191"/>
      <c r="VXE22" s="191"/>
      <c r="VXO22" s="191"/>
      <c r="VXY22" s="191"/>
      <c r="VYI22" s="191"/>
      <c r="VYS22" s="191"/>
      <c r="VZC22" s="191"/>
      <c r="VZM22" s="191"/>
      <c r="VZW22" s="191"/>
      <c r="WAG22" s="191"/>
      <c r="WAQ22" s="191"/>
      <c r="WBA22" s="191"/>
      <c r="WBK22" s="191"/>
      <c r="WBU22" s="191"/>
      <c r="WCE22" s="191"/>
      <c r="WCO22" s="191"/>
      <c r="WCY22" s="191"/>
      <c r="WDI22" s="191"/>
      <c r="WDS22" s="191"/>
      <c r="WEC22" s="191"/>
      <c r="WEM22" s="191"/>
      <c r="WEW22" s="191"/>
      <c r="WFG22" s="191"/>
      <c r="WFQ22" s="191"/>
      <c r="WGA22" s="191"/>
      <c r="WGK22" s="191"/>
      <c r="WGU22" s="191"/>
      <c r="WHE22" s="191"/>
      <c r="WHO22" s="191"/>
      <c r="WHY22" s="191"/>
      <c r="WII22" s="191"/>
      <c r="WIS22" s="191"/>
      <c r="WJC22" s="191"/>
      <c r="WJM22" s="191"/>
      <c r="WJW22" s="191"/>
      <c r="WKG22" s="191"/>
      <c r="WKQ22" s="191"/>
      <c r="WLA22" s="191"/>
      <c r="WLK22" s="191"/>
      <c r="WLU22" s="191"/>
      <c r="WME22" s="191"/>
      <c r="WMO22" s="191"/>
      <c r="WMY22" s="191"/>
      <c r="WNI22" s="191"/>
      <c r="WNS22" s="191"/>
      <c r="WOC22" s="191"/>
      <c r="WOM22" s="191"/>
      <c r="WOW22" s="191"/>
      <c r="WPG22" s="191"/>
      <c r="WPQ22" s="191"/>
      <c r="WQA22" s="191"/>
      <c r="WQK22" s="191"/>
      <c r="WQU22" s="191"/>
      <c r="WRE22" s="191"/>
      <c r="WRO22" s="191"/>
      <c r="WRY22" s="191"/>
      <c r="WSI22" s="191"/>
      <c r="WSS22" s="191"/>
      <c r="WTC22" s="191"/>
      <c r="WTM22" s="191"/>
      <c r="WTW22" s="191"/>
      <c r="WUG22" s="191"/>
      <c r="WUQ22" s="191"/>
      <c r="WVA22" s="191"/>
      <c r="WVK22" s="191"/>
      <c r="WVU22" s="191"/>
      <c r="WWE22" s="191"/>
      <c r="WWO22" s="191"/>
      <c r="WWY22" s="191"/>
      <c r="WXI22" s="191"/>
      <c r="WXS22" s="191"/>
      <c r="WYC22" s="191"/>
      <c r="WYM22" s="191"/>
      <c r="WYW22" s="191"/>
      <c r="WZG22" s="191"/>
      <c r="WZQ22" s="191"/>
      <c r="XAA22" s="191"/>
      <c r="XAK22" s="191"/>
      <c r="XAU22" s="191"/>
      <c r="XBE22" s="191"/>
      <c r="XBO22" s="191"/>
      <c r="XBY22" s="191"/>
      <c r="XCI22" s="191"/>
      <c r="XCS22" s="191"/>
      <c r="XDC22" s="191"/>
      <c r="XDM22" s="191"/>
      <c r="XDW22" s="191"/>
      <c r="XEG22" s="191"/>
      <c r="XEQ22" s="191"/>
      <c r="XFA22" s="191"/>
    </row>
    <row r="23" s="445" customFormat="1" ht="13.2" spans="1:16381">
      <c r="A23" s="191" t="s">
        <v>834</v>
      </c>
      <c r="B23" s="445">
        <v>2025</v>
      </c>
      <c r="C23" s="668" t="s">
        <v>832</v>
      </c>
      <c r="D23" s="445">
        <v>235.52</v>
      </c>
      <c r="E23" s="445">
        <v>4016</v>
      </c>
      <c r="F23" s="445">
        <v>73.95</v>
      </c>
      <c r="G23" s="445">
        <v>-154.62</v>
      </c>
      <c r="H23" s="445">
        <v>161.48</v>
      </c>
      <c r="I23" s="445">
        <v>0</v>
      </c>
      <c r="J23" s="445">
        <v>80.82</v>
      </c>
      <c r="K23" s="191"/>
      <c r="U23" s="191"/>
      <c r="AE23" s="191"/>
      <c r="AO23" s="191"/>
      <c r="AY23" s="191"/>
      <c r="BI23" s="191"/>
      <c r="BS23" s="191"/>
      <c r="CC23" s="191"/>
      <c r="CM23" s="191"/>
      <c r="CW23" s="191"/>
      <c r="DG23" s="191"/>
      <c r="DQ23" s="191"/>
      <c r="EA23" s="191"/>
      <c r="EK23" s="191"/>
      <c r="EU23" s="191"/>
      <c r="FE23" s="191"/>
      <c r="FO23" s="191"/>
      <c r="FY23" s="191"/>
      <c r="GI23" s="191"/>
      <c r="GS23" s="191"/>
      <c r="HC23" s="191"/>
      <c r="HM23" s="191"/>
      <c r="HW23" s="191"/>
      <c r="IG23" s="191"/>
      <c r="IQ23" s="191"/>
      <c r="JA23" s="191"/>
      <c r="JK23" s="191"/>
      <c r="JU23" s="191"/>
      <c r="KE23" s="191"/>
      <c r="KO23" s="191"/>
      <c r="KY23" s="191"/>
      <c r="LI23" s="191"/>
      <c r="LS23" s="191"/>
      <c r="MC23" s="191"/>
      <c r="MM23" s="191"/>
      <c r="MW23" s="191"/>
      <c r="NG23" s="191"/>
      <c r="NQ23" s="191"/>
      <c r="OA23" s="191"/>
      <c r="OK23" s="191"/>
      <c r="OU23" s="191"/>
      <c r="PE23" s="191"/>
      <c r="PO23" s="191"/>
      <c r="PY23" s="191"/>
      <c r="QI23" s="191"/>
      <c r="QS23" s="191"/>
      <c r="RC23" s="191"/>
      <c r="RM23" s="191"/>
      <c r="RW23" s="191"/>
      <c r="SG23" s="191"/>
      <c r="SQ23" s="191"/>
      <c r="TA23" s="191"/>
      <c r="TK23" s="191"/>
      <c r="TU23" s="191"/>
      <c r="UE23" s="191"/>
      <c r="UO23" s="191"/>
      <c r="UY23" s="191"/>
      <c r="VI23" s="191"/>
      <c r="VS23" s="191"/>
      <c r="WC23" s="191"/>
      <c r="WM23" s="191"/>
      <c r="WW23" s="191"/>
      <c r="XG23" s="191"/>
      <c r="XQ23" s="191"/>
      <c r="YA23" s="191"/>
      <c r="YK23" s="191"/>
      <c r="YU23" s="191"/>
      <c r="ZE23" s="191"/>
      <c r="ZO23" s="191"/>
      <c r="ZY23" s="191"/>
      <c r="AAI23" s="191"/>
      <c r="AAS23" s="191"/>
      <c r="ABC23" s="191"/>
      <c r="ABM23" s="191"/>
      <c r="ABW23" s="191"/>
      <c r="ACG23" s="191"/>
      <c r="ACQ23" s="191"/>
      <c r="ADA23" s="191"/>
      <c r="ADK23" s="191"/>
      <c r="ADU23" s="191"/>
      <c r="AEE23" s="191"/>
      <c r="AEO23" s="191"/>
      <c r="AEY23" s="191"/>
      <c r="AFI23" s="191"/>
      <c r="AFS23" s="191"/>
      <c r="AGC23" s="191"/>
      <c r="AGM23" s="191"/>
      <c r="AGW23" s="191"/>
      <c r="AHG23" s="191"/>
      <c r="AHQ23" s="191"/>
      <c r="AIA23" s="191"/>
      <c r="AIK23" s="191"/>
      <c r="AIU23" s="191"/>
      <c r="AJE23" s="191"/>
      <c r="AJO23" s="191"/>
      <c r="AJY23" s="191"/>
      <c r="AKI23" s="191"/>
      <c r="AKS23" s="191"/>
      <c r="ALC23" s="191"/>
      <c r="ALM23" s="191"/>
      <c r="ALW23" s="191"/>
      <c r="AMG23" s="191"/>
      <c r="AMQ23" s="191"/>
      <c r="ANA23" s="191"/>
      <c r="ANK23" s="191"/>
      <c r="ANU23" s="191"/>
      <c r="AOE23" s="191"/>
      <c r="AOO23" s="191"/>
      <c r="AOY23" s="191"/>
      <c r="API23" s="191"/>
      <c r="APS23" s="191"/>
      <c r="AQC23" s="191"/>
      <c r="AQM23" s="191"/>
      <c r="AQW23" s="191"/>
      <c r="ARG23" s="191"/>
      <c r="ARQ23" s="191"/>
      <c r="ASA23" s="191"/>
      <c r="ASK23" s="191"/>
      <c r="ASU23" s="191"/>
      <c r="ATE23" s="191"/>
      <c r="ATO23" s="191"/>
      <c r="ATY23" s="191"/>
      <c r="AUI23" s="191"/>
      <c r="AUS23" s="191"/>
      <c r="AVC23" s="191"/>
      <c r="AVM23" s="191"/>
      <c r="AVW23" s="191"/>
      <c r="AWG23" s="191"/>
      <c r="AWQ23" s="191"/>
      <c r="AXA23" s="191"/>
      <c r="AXK23" s="191"/>
      <c r="AXU23" s="191"/>
      <c r="AYE23" s="191"/>
      <c r="AYO23" s="191"/>
      <c r="AYY23" s="191"/>
      <c r="AZI23" s="191"/>
      <c r="AZS23" s="191"/>
      <c r="BAC23" s="191"/>
      <c r="BAM23" s="191"/>
      <c r="BAW23" s="191"/>
      <c r="BBG23" s="191"/>
      <c r="BBQ23" s="191"/>
      <c r="BCA23" s="191"/>
      <c r="BCK23" s="191"/>
      <c r="BCU23" s="191"/>
      <c r="BDE23" s="191"/>
      <c r="BDO23" s="191"/>
      <c r="BDY23" s="191"/>
      <c r="BEI23" s="191"/>
      <c r="BES23" s="191"/>
      <c r="BFC23" s="191"/>
      <c r="BFM23" s="191"/>
      <c r="BFW23" s="191"/>
      <c r="BGG23" s="191"/>
      <c r="BGQ23" s="191"/>
      <c r="BHA23" s="191"/>
      <c r="BHK23" s="191"/>
      <c r="BHU23" s="191"/>
      <c r="BIE23" s="191"/>
      <c r="BIO23" s="191"/>
      <c r="BIY23" s="191"/>
      <c r="BJI23" s="191"/>
      <c r="BJS23" s="191"/>
      <c r="BKC23" s="191"/>
      <c r="BKM23" s="191"/>
      <c r="BKW23" s="191"/>
      <c r="BLG23" s="191"/>
      <c r="BLQ23" s="191"/>
      <c r="BMA23" s="191"/>
      <c r="BMK23" s="191"/>
      <c r="BMU23" s="191"/>
      <c r="BNE23" s="191"/>
      <c r="BNO23" s="191"/>
      <c r="BNY23" s="191"/>
      <c r="BOI23" s="191"/>
      <c r="BOS23" s="191"/>
      <c r="BPC23" s="191"/>
      <c r="BPM23" s="191"/>
      <c r="BPW23" s="191"/>
      <c r="BQG23" s="191"/>
      <c r="BQQ23" s="191"/>
      <c r="BRA23" s="191"/>
      <c r="BRK23" s="191"/>
      <c r="BRU23" s="191"/>
      <c r="BSE23" s="191"/>
      <c r="BSO23" s="191"/>
      <c r="BSY23" s="191"/>
      <c r="BTI23" s="191"/>
      <c r="BTS23" s="191"/>
      <c r="BUC23" s="191"/>
      <c r="BUM23" s="191"/>
      <c r="BUW23" s="191"/>
      <c r="BVG23" s="191"/>
      <c r="BVQ23" s="191"/>
      <c r="BWA23" s="191"/>
      <c r="BWK23" s="191"/>
      <c r="BWU23" s="191"/>
      <c r="BXE23" s="191"/>
      <c r="BXO23" s="191"/>
      <c r="BXY23" s="191"/>
      <c r="BYI23" s="191"/>
      <c r="BYS23" s="191"/>
      <c r="BZC23" s="191"/>
      <c r="BZM23" s="191"/>
      <c r="BZW23" s="191"/>
      <c r="CAG23" s="191"/>
      <c r="CAQ23" s="191"/>
      <c r="CBA23" s="191"/>
      <c r="CBK23" s="191"/>
      <c r="CBU23" s="191"/>
      <c r="CCE23" s="191"/>
      <c r="CCO23" s="191"/>
      <c r="CCY23" s="191"/>
      <c r="CDI23" s="191"/>
      <c r="CDS23" s="191"/>
      <c r="CEC23" s="191"/>
      <c r="CEM23" s="191"/>
      <c r="CEW23" s="191"/>
      <c r="CFG23" s="191"/>
      <c r="CFQ23" s="191"/>
      <c r="CGA23" s="191"/>
      <c r="CGK23" s="191"/>
      <c r="CGU23" s="191"/>
      <c r="CHE23" s="191"/>
      <c r="CHO23" s="191"/>
      <c r="CHY23" s="191"/>
      <c r="CII23" s="191"/>
      <c r="CIS23" s="191"/>
      <c r="CJC23" s="191"/>
      <c r="CJM23" s="191"/>
      <c r="CJW23" s="191"/>
      <c r="CKG23" s="191"/>
      <c r="CKQ23" s="191"/>
      <c r="CLA23" s="191"/>
      <c r="CLK23" s="191"/>
      <c r="CLU23" s="191"/>
      <c r="CME23" s="191"/>
      <c r="CMO23" s="191"/>
      <c r="CMY23" s="191"/>
      <c r="CNI23" s="191"/>
      <c r="CNS23" s="191"/>
      <c r="COC23" s="191"/>
      <c r="COM23" s="191"/>
      <c r="COW23" s="191"/>
      <c r="CPG23" s="191"/>
      <c r="CPQ23" s="191"/>
      <c r="CQA23" s="191"/>
      <c r="CQK23" s="191"/>
      <c r="CQU23" s="191"/>
      <c r="CRE23" s="191"/>
      <c r="CRO23" s="191"/>
      <c r="CRY23" s="191"/>
      <c r="CSI23" s="191"/>
      <c r="CSS23" s="191"/>
      <c r="CTC23" s="191"/>
      <c r="CTM23" s="191"/>
      <c r="CTW23" s="191"/>
      <c r="CUG23" s="191"/>
      <c r="CUQ23" s="191"/>
      <c r="CVA23" s="191"/>
      <c r="CVK23" s="191"/>
      <c r="CVU23" s="191"/>
      <c r="CWE23" s="191"/>
      <c r="CWO23" s="191"/>
      <c r="CWY23" s="191"/>
      <c r="CXI23" s="191"/>
      <c r="CXS23" s="191"/>
      <c r="CYC23" s="191"/>
      <c r="CYM23" s="191"/>
      <c r="CYW23" s="191"/>
      <c r="CZG23" s="191"/>
      <c r="CZQ23" s="191"/>
      <c r="DAA23" s="191"/>
      <c r="DAK23" s="191"/>
      <c r="DAU23" s="191"/>
      <c r="DBE23" s="191"/>
      <c r="DBO23" s="191"/>
      <c r="DBY23" s="191"/>
      <c r="DCI23" s="191"/>
      <c r="DCS23" s="191"/>
      <c r="DDC23" s="191"/>
      <c r="DDM23" s="191"/>
      <c r="DDW23" s="191"/>
      <c r="DEG23" s="191"/>
      <c r="DEQ23" s="191"/>
      <c r="DFA23" s="191"/>
      <c r="DFK23" s="191"/>
      <c r="DFU23" s="191"/>
      <c r="DGE23" s="191"/>
      <c r="DGO23" s="191"/>
      <c r="DGY23" s="191"/>
      <c r="DHI23" s="191"/>
      <c r="DHS23" s="191"/>
      <c r="DIC23" s="191"/>
      <c r="DIM23" s="191"/>
      <c r="DIW23" s="191"/>
      <c r="DJG23" s="191"/>
      <c r="DJQ23" s="191"/>
      <c r="DKA23" s="191"/>
      <c r="DKK23" s="191"/>
      <c r="DKU23" s="191"/>
      <c r="DLE23" s="191"/>
      <c r="DLO23" s="191"/>
      <c r="DLY23" s="191"/>
      <c r="DMI23" s="191"/>
      <c r="DMS23" s="191"/>
      <c r="DNC23" s="191"/>
      <c r="DNM23" s="191"/>
      <c r="DNW23" s="191"/>
      <c r="DOG23" s="191"/>
      <c r="DOQ23" s="191"/>
      <c r="DPA23" s="191"/>
      <c r="DPK23" s="191"/>
      <c r="DPU23" s="191"/>
      <c r="DQE23" s="191"/>
      <c r="DQO23" s="191"/>
      <c r="DQY23" s="191"/>
      <c r="DRI23" s="191"/>
      <c r="DRS23" s="191"/>
      <c r="DSC23" s="191"/>
      <c r="DSM23" s="191"/>
      <c r="DSW23" s="191"/>
      <c r="DTG23" s="191"/>
      <c r="DTQ23" s="191"/>
      <c r="DUA23" s="191"/>
      <c r="DUK23" s="191"/>
      <c r="DUU23" s="191"/>
      <c r="DVE23" s="191"/>
      <c r="DVO23" s="191"/>
      <c r="DVY23" s="191"/>
      <c r="DWI23" s="191"/>
      <c r="DWS23" s="191"/>
      <c r="DXC23" s="191"/>
      <c r="DXM23" s="191"/>
      <c r="DXW23" s="191"/>
      <c r="DYG23" s="191"/>
      <c r="DYQ23" s="191"/>
      <c r="DZA23" s="191"/>
      <c r="DZK23" s="191"/>
      <c r="DZU23" s="191"/>
      <c r="EAE23" s="191"/>
      <c r="EAO23" s="191"/>
      <c r="EAY23" s="191"/>
      <c r="EBI23" s="191"/>
      <c r="EBS23" s="191"/>
      <c r="ECC23" s="191"/>
      <c r="ECM23" s="191"/>
      <c r="ECW23" s="191"/>
      <c r="EDG23" s="191"/>
      <c r="EDQ23" s="191"/>
      <c r="EEA23" s="191"/>
      <c r="EEK23" s="191"/>
      <c r="EEU23" s="191"/>
      <c r="EFE23" s="191"/>
      <c r="EFO23" s="191"/>
      <c r="EFY23" s="191"/>
      <c r="EGI23" s="191"/>
      <c r="EGS23" s="191"/>
      <c r="EHC23" s="191"/>
      <c r="EHM23" s="191"/>
      <c r="EHW23" s="191"/>
      <c r="EIG23" s="191"/>
      <c r="EIQ23" s="191"/>
      <c r="EJA23" s="191"/>
      <c r="EJK23" s="191"/>
      <c r="EJU23" s="191"/>
      <c r="EKE23" s="191"/>
      <c r="EKO23" s="191"/>
      <c r="EKY23" s="191"/>
      <c r="ELI23" s="191"/>
      <c r="ELS23" s="191"/>
      <c r="EMC23" s="191"/>
      <c r="EMM23" s="191"/>
      <c r="EMW23" s="191"/>
      <c r="ENG23" s="191"/>
      <c r="ENQ23" s="191"/>
      <c r="EOA23" s="191"/>
      <c r="EOK23" s="191"/>
      <c r="EOU23" s="191"/>
      <c r="EPE23" s="191"/>
      <c r="EPO23" s="191"/>
      <c r="EPY23" s="191"/>
      <c r="EQI23" s="191"/>
      <c r="EQS23" s="191"/>
      <c r="ERC23" s="191"/>
      <c r="ERM23" s="191"/>
      <c r="ERW23" s="191"/>
      <c r="ESG23" s="191"/>
      <c r="ESQ23" s="191"/>
      <c r="ETA23" s="191"/>
      <c r="ETK23" s="191"/>
      <c r="ETU23" s="191"/>
      <c r="EUE23" s="191"/>
      <c r="EUO23" s="191"/>
      <c r="EUY23" s="191"/>
      <c r="EVI23" s="191"/>
      <c r="EVS23" s="191"/>
      <c r="EWC23" s="191"/>
      <c r="EWM23" s="191"/>
      <c r="EWW23" s="191"/>
      <c r="EXG23" s="191"/>
      <c r="EXQ23" s="191"/>
      <c r="EYA23" s="191"/>
      <c r="EYK23" s="191"/>
      <c r="EYU23" s="191"/>
      <c r="EZE23" s="191"/>
      <c r="EZO23" s="191"/>
      <c r="EZY23" s="191"/>
      <c r="FAI23" s="191"/>
      <c r="FAS23" s="191"/>
      <c r="FBC23" s="191"/>
      <c r="FBM23" s="191"/>
      <c r="FBW23" s="191"/>
      <c r="FCG23" s="191"/>
      <c r="FCQ23" s="191"/>
      <c r="FDA23" s="191"/>
      <c r="FDK23" s="191"/>
      <c r="FDU23" s="191"/>
      <c r="FEE23" s="191"/>
      <c r="FEO23" s="191"/>
      <c r="FEY23" s="191"/>
      <c r="FFI23" s="191"/>
      <c r="FFS23" s="191"/>
      <c r="FGC23" s="191"/>
      <c r="FGM23" s="191"/>
      <c r="FGW23" s="191"/>
      <c r="FHG23" s="191"/>
      <c r="FHQ23" s="191"/>
      <c r="FIA23" s="191"/>
      <c r="FIK23" s="191"/>
      <c r="FIU23" s="191"/>
      <c r="FJE23" s="191"/>
      <c r="FJO23" s="191"/>
      <c r="FJY23" s="191"/>
      <c r="FKI23" s="191"/>
      <c r="FKS23" s="191"/>
      <c r="FLC23" s="191"/>
      <c r="FLM23" s="191"/>
      <c r="FLW23" s="191"/>
      <c r="FMG23" s="191"/>
      <c r="FMQ23" s="191"/>
      <c r="FNA23" s="191"/>
      <c r="FNK23" s="191"/>
      <c r="FNU23" s="191"/>
      <c r="FOE23" s="191"/>
      <c r="FOO23" s="191"/>
      <c r="FOY23" s="191"/>
      <c r="FPI23" s="191"/>
      <c r="FPS23" s="191"/>
      <c r="FQC23" s="191"/>
      <c r="FQM23" s="191"/>
      <c r="FQW23" s="191"/>
      <c r="FRG23" s="191"/>
      <c r="FRQ23" s="191"/>
      <c r="FSA23" s="191"/>
      <c r="FSK23" s="191"/>
      <c r="FSU23" s="191"/>
      <c r="FTE23" s="191"/>
      <c r="FTO23" s="191"/>
      <c r="FTY23" s="191"/>
      <c r="FUI23" s="191"/>
      <c r="FUS23" s="191"/>
      <c r="FVC23" s="191"/>
      <c r="FVM23" s="191"/>
      <c r="FVW23" s="191"/>
      <c r="FWG23" s="191"/>
      <c r="FWQ23" s="191"/>
      <c r="FXA23" s="191"/>
      <c r="FXK23" s="191"/>
      <c r="FXU23" s="191"/>
      <c r="FYE23" s="191"/>
      <c r="FYO23" s="191"/>
      <c r="FYY23" s="191"/>
      <c r="FZI23" s="191"/>
      <c r="FZS23" s="191"/>
      <c r="GAC23" s="191"/>
      <c r="GAM23" s="191"/>
      <c r="GAW23" s="191"/>
      <c r="GBG23" s="191"/>
      <c r="GBQ23" s="191"/>
      <c r="GCA23" s="191"/>
      <c r="GCK23" s="191"/>
      <c r="GCU23" s="191"/>
      <c r="GDE23" s="191"/>
      <c r="GDO23" s="191"/>
      <c r="GDY23" s="191"/>
      <c r="GEI23" s="191"/>
      <c r="GES23" s="191"/>
      <c r="GFC23" s="191"/>
      <c r="GFM23" s="191"/>
      <c r="GFW23" s="191"/>
      <c r="GGG23" s="191"/>
      <c r="GGQ23" s="191"/>
      <c r="GHA23" s="191"/>
      <c r="GHK23" s="191"/>
      <c r="GHU23" s="191"/>
      <c r="GIE23" s="191"/>
      <c r="GIO23" s="191"/>
      <c r="GIY23" s="191"/>
      <c r="GJI23" s="191"/>
      <c r="GJS23" s="191"/>
      <c r="GKC23" s="191"/>
      <c r="GKM23" s="191"/>
      <c r="GKW23" s="191"/>
      <c r="GLG23" s="191"/>
      <c r="GLQ23" s="191"/>
      <c r="GMA23" s="191"/>
      <c r="GMK23" s="191"/>
      <c r="GMU23" s="191"/>
      <c r="GNE23" s="191"/>
      <c r="GNO23" s="191"/>
      <c r="GNY23" s="191"/>
      <c r="GOI23" s="191"/>
      <c r="GOS23" s="191"/>
      <c r="GPC23" s="191"/>
      <c r="GPM23" s="191"/>
      <c r="GPW23" s="191"/>
      <c r="GQG23" s="191"/>
      <c r="GQQ23" s="191"/>
      <c r="GRA23" s="191"/>
      <c r="GRK23" s="191"/>
      <c r="GRU23" s="191"/>
      <c r="GSE23" s="191"/>
      <c r="GSO23" s="191"/>
      <c r="GSY23" s="191"/>
      <c r="GTI23" s="191"/>
      <c r="GTS23" s="191"/>
      <c r="GUC23" s="191"/>
      <c r="GUM23" s="191"/>
      <c r="GUW23" s="191"/>
      <c r="GVG23" s="191"/>
      <c r="GVQ23" s="191"/>
      <c r="GWA23" s="191"/>
      <c r="GWK23" s="191"/>
      <c r="GWU23" s="191"/>
      <c r="GXE23" s="191"/>
      <c r="GXO23" s="191"/>
      <c r="GXY23" s="191"/>
      <c r="GYI23" s="191"/>
      <c r="GYS23" s="191"/>
      <c r="GZC23" s="191"/>
      <c r="GZM23" s="191"/>
      <c r="GZW23" s="191"/>
      <c r="HAG23" s="191"/>
      <c r="HAQ23" s="191"/>
      <c r="HBA23" s="191"/>
      <c r="HBK23" s="191"/>
      <c r="HBU23" s="191"/>
      <c r="HCE23" s="191"/>
      <c r="HCO23" s="191"/>
      <c r="HCY23" s="191"/>
      <c r="HDI23" s="191"/>
      <c r="HDS23" s="191"/>
      <c r="HEC23" s="191"/>
      <c r="HEM23" s="191"/>
      <c r="HEW23" s="191"/>
      <c r="HFG23" s="191"/>
      <c r="HFQ23" s="191"/>
      <c r="HGA23" s="191"/>
      <c r="HGK23" s="191"/>
      <c r="HGU23" s="191"/>
      <c r="HHE23" s="191"/>
      <c r="HHO23" s="191"/>
      <c r="HHY23" s="191"/>
      <c r="HII23" s="191"/>
      <c r="HIS23" s="191"/>
      <c r="HJC23" s="191"/>
      <c r="HJM23" s="191"/>
      <c r="HJW23" s="191"/>
      <c r="HKG23" s="191"/>
      <c r="HKQ23" s="191"/>
      <c r="HLA23" s="191"/>
      <c r="HLK23" s="191"/>
      <c r="HLU23" s="191"/>
      <c r="HME23" s="191"/>
      <c r="HMO23" s="191"/>
      <c r="HMY23" s="191"/>
      <c r="HNI23" s="191"/>
      <c r="HNS23" s="191"/>
      <c r="HOC23" s="191"/>
      <c r="HOM23" s="191"/>
      <c r="HOW23" s="191"/>
      <c r="HPG23" s="191"/>
      <c r="HPQ23" s="191"/>
      <c r="HQA23" s="191"/>
      <c r="HQK23" s="191"/>
      <c r="HQU23" s="191"/>
      <c r="HRE23" s="191"/>
      <c r="HRO23" s="191"/>
      <c r="HRY23" s="191"/>
      <c r="HSI23" s="191"/>
      <c r="HSS23" s="191"/>
      <c r="HTC23" s="191"/>
      <c r="HTM23" s="191"/>
      <c r="HTW23" s="191"/>
      <c r="HUG23" s="191"/>
      <c r="HUQ23" s="191"/>
      <c r="HVA23" s="191"/>
      <c r="HVK23" s="191"/>
      <c r="HVU23" s="191"/>
      <c r="HWE23" s="191"/>
      <c r="HWO23" s="191"/>
      <c r="HWY23" s="191"/>
      <c r="HXI23" s="191"/>
      <c r="HXS23" s="191"/>
      <c r="HYC23" s="191"/>
      <c r="HYM23" s="191"/>
      <c r="HYW23" s="191"/>
      <c r="HZG23" s="191"/>
      <c r="HZQ23" s="191"/>
      <c r="IAA23" s="191"/>
      <c r="IAK23" s="191"/>
      <c r="IAU23" s="191"/>
      <c r="IBE23" s="191"/>
      <c r="IBO23" s="191"/>
      <c r="IBY23" s="191"/>
      <c r="ICI23" s="191"/>
      <c r="ICS23" s="191"/>
      <c r="IDC23" s="191"/>
      <c r="IDM23" s="191"/>
      <c r="IDW23" s="191"/>
      <c r="IEG23" s="191"/>
      <c r="IEQ23" s="191"/>
      <c r="IFA23" s="191"/>
      <c r="IFK23" s="191"/>
      <c r="IFU23" s="191"/>
      <c r="IGE23" s="191"/>
      <c r="IGO23" s="191"/>
      <c r="IGY23" s="191"/>
      <c r="IHI23" s="191"/>
      <c r="IHS23" s="191"/>
      <c r="IIC23" s="191"/>
      <c r="IIM23" s="191"/>
      <c r="IIW23" s="191"/>
      <c r="IJG23" s="191"/>
      <c r="IJQ23" s="191"/>
      <c r="IKA23" s="191"/>
      <c r="IKK23" s="191"/>
      <c r="IKU23" s="191"/>
      <c r="ILE23" s="191"/>
      <c r="ILO23" s="191"/>
      <c r="ILY23" s="191"/>
      <c r="IMI23" s="191"/>
      <c r="IMS23" s="191"/>
      <c r="INC23" s="191"/>
      <c r="INM23" s="191"/>
      <c r="INW23" s="191"/>
      <c r="IOG23" s="191"/>
      <c r="IOQ23" s="191"/>
      <c r="IPA23" s="191"/>
      <c r="IPK23" s="191"/>
      <c r="IPU23" s="191"/>
      <c r="IQE23" s="191"/>
      <c r="IQO23" s="191"/>
      <c r="IQY23" s="191"/>
      <c r="IRI23" s="191"/>
      <c r="IRS23" s="191"/>
      <c r="ISC23" s="191"/>
      <c r="ISM23" s="191"/>
      <c r="ISW23" s="191"/>
      <c r="ITG23" s="191"/>
      <c r="ITQ23" s="191"/>
      <c r="IUA23" s="191"/>
      <c r="IUK23" s="191"/>
      <c r="IUU23" s="191"/>
      <c r="IVE23" s="191"/>
      <c r="IVO23" s="191"/>
      <c r="IVY23" s="191"/>
      <c r="IWI23" s="191"/>
      <c r="IWS23" s="191"/>
      <c r="IXC23" s="191"/>
      <c r="IXM23" s="191"/>
      <c r="IXW23" s="191"/>
      <c r="IYG23" s="191"/>
      <c r="IYQ23" s="191"/>
      <c r="IZA23" s="191"/>
      <c r="IZK23" s="191"/>
      <c r="IZU23" s="191"/>
      <c r="JAE23" s="191"/>
      <c r="JAO23" s="191"/>
      <c r="JAY23" s="191"/>
      <c r="JBI23" s="191"/>
      <c r="JBS23" s="191"/>
      <c r="JCC23" s="191"/>
      <c r="JCM23" s="191"/>
      <c r="JCW23" s="191"/>
      <c r="JDG23" s="191"/>
      <c r="JDQ23" s="191"/>
      <c r="JEA23" s="191"/>
      <c r="JEK23" s="191"/>
      <c r="JEU23" s="191"/>
      <c r="JFE23" s="191"/>
      <c r="JFO23" s="191"/>
      <c r="JFY23" s="191"/>
      <c r="JGI23" s="191"/>
      <c r="JGS23" s="191"/>
      <c r="JHC23" s="191"/>
      <c r="JHM23" s="191"/>
      <c r="JHW23" s="191"/>
      <c r="JIG23" s="191"/>
      <c r="JIQ23" s="191"/>
      <c r="JJA23" s="191"/>
      <c r="JJK23" s="191"/>
      <c r="JJU23" s="191"/>
      <c r="JKE23" s="191"/>
      <c r="JKO23" s="191"/>
      <c r="JKY23" s="191"/>
      <c r="JLI23" s="191"/>
      <c r="JLS23" s="191"/>
      <c r="JMC23" s="191"/>
      <c r="JMM23" s="191"/>
      <c r="JMW23" s="191"/>
      <c r="JNG23" s="191"/>
      <c r="JNQ23" s="191"/>
      <c r="JOA23" s="191"/>
      <c r="JOK23" s="191"/>
      <c r="JOU23" s="191"/>
      <c r="JPE23" s="191"/>
      <c r="JPO23" s="191"/>
      <c r="JPY23" s="191"/>
      <c r="JQI23" s="191"/>
      <c r="JQS23" s="191"/>
      <c r="JRC23" s="191"/>
      <c r="JRM23" s="191"/>
      <c r="JRW23" s="191"/>
      <c r="JSG23" s="191"/>
      <c r="JSQ23" s="191"/>
      <c r="JTA23" s="191"/>
      <c r="JTK23" s="191"/>
      <c r="JTU23" s="191"/>
      <c r="JUE23" s="191"/>
      <c r="JUO23" s="191"/>
      <c r="JUY23" s="191"/>
      <c r="JVI23" s="191"/>
      <c r="JVS23" s="191"/>
      <c r="JWC23" s="191"/>
      <c r="JWM23" s="191"/>
      <c r="JWW23" s="191"/>
      <c r="JXG23" s="191"/>
      <c r="JXQ23" s="191"/>
      <c r="JYA23" s="191"/>
      <c r="JYK23" s="191"/>
      <c r="JYU23" s="191"/>
      <c r="JZE23" s="191"/>
      <c r="JZO23" s="191"/>
      <c r="JZY23" s="191"/>
      <c r="KAI23" s="191"/>
      <c r="KAS23" s="191"/>
      <c r="KBC23" s="191"/>
      <c r="KBM23" s="191"/>
      <c r="KBW23" s="191"/>
      <c r="KCG23" s="191"/>
      <c r="KCQ23" s="191"/>
      <c r="KDA23" s="191"/>
      <c r="KDK23" s="191"/>
      <c r="KDU23" s="191"/>
      <c r="KEE23" s="191"/>
      <c r="KEO23" s="191"/>
      <c r="KEY23" s="191"/>
      <c r="KFI23" s="191"/>
      <c r="KFS23" s="191"/>
      <c r="KGC23" s="191"/>
      <c r="KGM23" s="191"/>
      <c r="KGW23" s="191"/>
      <c r="KHG23" s="191"/>
      <c r="KHQ23" s="191"/>
      <c r="KIA23" s="191"/>
      <c r="KIK23" s="191"/>
      <c r="KIU23" s="191"/>
      <c r="KJE23" s="191"/>
      <c r="KJO23" s="191"/>
      <c r="KJY23" s="191"/>
      <c r="KKI23" s="191"/>
      <c r="KKS23" s="191"/>
      <c r="KLC23" s="191"/>
      <c r="KLM23" s="191"/>
      <c r="KLW23" s="191"/>
      <c r="KMG23" s="191"/>
      <c r="KMQ23" s="191"/>
      <c r="KNA23" s="191"/>
      <c r="KNK23" s="191"/>
      <c r="KNU23" s="191"/>
      <c r="KOE23" s="191"/>
      <c r="KOO23" s="191"/>
      <c r="KOY23" s="191"/>
      <c r="KPI23" s="191"/>
      <c r="KPS23" s="191"/>
      <c r="KQC23" s="191"/>
      <c r="KQM23" s="191"/>
      <c r="KQW23" s="191"/>
      <c r="KRG23" s="191"/>
      <c r="KRQ23" s="191"/>
      <c r="KSA23" s="191"/>
      <c r="KSK23" s="191"/>
      <c r="KSU23" s="191"/>
      <c r="KTE23" s="191"/>
      <c r="KTO23" s="191"/>
      <c r="KTY23" s="191"/>
      <c r="KUI23" s="191"/>
      <c r="KUS23" s="191"/>
      <c r="KVC23" s="191"/>
      <c r="KVM23" s="191"/>
      <c r="KVW23" s="191"/>
      <c r="KWG23" s="191"/>
      <c r="KWQ23" s="191"/>
      <c r="KXA23" s="191"/>
      <c r="KXK23" s="191"/>
      <c r="KXU23" s="191"/>
      <c r="KYE23" s="191"/>
      <c r="KYO23" s="191"/>
      <c r="KYY23" s="191"/>
      <c r="KZI23" s="191"/>
      <c r="KZS23" s="191"/>
      <c r="LAC23" s="191"/>
      <c r="LAM23" s="191"/>
      <c r="LAW23" s="191"/>
      <c r="LBG23" s="191"/>
      <c r="LBQ23" s="191"/>
      <c r="LCA23" s="191"/>
      <c r="LCK23" s="191"/>
      <c r="LCU23" s="191"/>
      <c r="LDE23" s="191"/>
      <c r="LDO23" s="191"/>
      <c r="LDY23" s="191"/>
      <c r="LEI23" s="191"/>
      <c r="LES23" s="191"/>
      <c r="LFC23" s="191"/>
      <c r="LFM23" s="191"/>
      <c r="LFW23" s="191"/>
      <c r="LGG23" s="191"/>
      <c r="LGQ23" s="191"/>
      <c r="LHA23" s="191"/>
      <c r="LHK23" s="191"/>
      <c r="LHU23" s="191"/>
      <c r="LIE23" s="191"/>
      <c r="LIO23" s="191"/>
      <c r="LIY23" s="191"/>
      <c r="LJI23" s="191"/>
      <c r="LJS23" s="191"/>
      <c r="LKC23" s="191"/>
      <c r="LKM23" s="191"/>
      <c r="LKW23" s="191"/>
      <c r="LLG23" s="191"/>
      <c r="LLQ23" s="191"/>
      <c r="LMA23" s="191"/>
      <c r="LMK23" s="191"/>
      <c r="LMU23" s="191"/>
      <c r="LNE23" s="191"/>
      <c r="LNO23" s="191"/>
      <c r="LNY23" s="191"/>
      <c r="LOI23" s="191"/>
      <c r="LOS23" s="191"/>
      <c r="LPC23" s="191"/>
      <c r="LPM23" s="191"/>
      <c r="LPW23" s="191"/>
      <c r="LQG23" s="191"/>
      <c r="LQQ23" s="191"/>
      <c r="LRA23" s="191"/>
      <c r="LRK23" s="191"/>
      <c r="LRU23" s="191"/>
      <c r="LSE23" s="191"/>
      <c r="LSO23" s="191"/>
      <c r="LSY23" s="191"/>
      <c r="LTI23" s="191"/>
      <c r="LTS23" s="191"/>
      <c r="LUC23" s="191"/>
      <c r="LUM23" s="191"/>
      <c r="LUW23" s="191"/>
      <c r="LVG23" s="191"/>
      <c r="LVQ23" s="191"/>
      <c r="LWA23" s="191"/>
      <c r="LWK23" s="191"/>
      <c r="LWU23" s="191"/>
      <c r="LXE23" s="191"/>
      <c r="LXO23" s="191"/>
      <c r="LXY23" s="191"/>
      <c r="LYI23" s="191"/>
      <c r="LYS23" s="191"/>
      <c r="LZC23" s="191"/>
      <c r="LZM23" s="191"/>
      <c r="LZW23" s="191"/>
      <c r="MAG23" s="191"/>
      <c r="MAQ23" s="191"/>
      <c r="MBA23" s="191"/>
      <c r="MBK23" s="191"/>
      <c r="MBU23" s="191"/>
      <c r="MCE23" s="191"/>
      <c r="MCO23" s="191"/>
      <c r="MCY23" s="191"/>
      <c r="MDI23" s="191"/>
      <c r="MDS23" s="191"/>
      <c r="MEC23" s="191"/>
      <c r="MEM23" s="191"/>
      <c r="MEW23" s="191"/>
      <c r="MFG23" s="191"/>
      <c r="MFQ23" s="191"/>
      <c r="MGA23" s="191"/>
      <c r="MGK23" s="191"/>
      <c r="MGU23" s="191"/>
      <c r="MHE23" s="191"/>
      <c r="MHO23" s="191"/>
      <c r="MHY23" s="191"/>
      <c r="MII23" s="191"/>
      <c r="MIS23" s="191"/>
      <c r="MJC23" s="191"/>
      <c r="MJM23" s="191"/>
      <c r="MJW23" s="191"/>
      <c r="MKG23" s="191"/>
      <c r="MKQ23" s="191"/>
      <c r="MLA23" s="191"/>
      <c r="MLK23" s="191"/>
      <c r="MLU23" s="191"/>
      <c r="MME23" s="191"/>
      <c r="MMO23" s="191"/>
      <c r="MMY23" s="191"/>
      <c r="MNI23" s="191"/>
      <c r="MNS23" s="191"/>
      <c r="MOC23" s="191"/>
      <c r="MOM23" s="191"/>
      <c r="MOW23" s="191"/>
      <c r="MPG23" s="191"/>
      <c r="MPQ23" s="191"/>
      <c r="MQA23" s="191"/>
      <c r="MQK23" s="191"/>
      <c r="MQU23" s="191"/>
      <c r="MRE23" s="191"/>
      <c r="MRO23" s="191"/>
      <c r="MRY23" s="191"/>
      <c r="MSI23" s="191"/>
      <c r="MSS23" s="191"/>
      <c r="MTC23" s="191"/>
      <c r="MTM23" s="191"/>
      <c r="MTW23" s="191"/>
      <c r="MUG23" s="191"/>
      <c r="MUQ23" s="191"/>
      <c r="MVA23" s="191"/>
      <c r="MVK23" s="191"/>
      <c r="MVU23" s="191"/>
      <c r="MWE23" s="191"/>
      <c r="MWO23" s="191"/>
      <c r="MWY23" s="191"/>
      <c r="MXI23" s="191"/>
      <c r="MXS23" s="191"/>
      <c r="MYC23" s="191"/>
      <c r="MYM23" s="191"/>
      <c r="MYW23" s="191"/>
      <c r="MZG23" s="191"/>
      <c r="MZQ23" s="191"/>
      <c r="NAA23" s="191"/>
      <c r="NAK23" s="191"/>
      <c r="NAU23" s="191"/>
      <c r="NBE23" s="191"/>
      <c r="NBO23" s="191"/>
      <c r="NBY23" s="191"/>
      <c r="NCI23" s="191"/>
      <c r="NCS23" s="191"/>
      <c r="NDC23" s="191"/>
      <c r="NDM23" s="191"/>
      <c r="NDW23" s="191"/>
      <c r="NEG23" s="191"/>
      <c r="NEQ23" s="191"/>
      <c r="NFA23" s="191"/>
      <c r="NFK23" s="191"/>
      <c r="NFU23" s="191"/>
      <c r="NGE23" s="191"/>
      <c r="NGO23" s="191"/>
      <c r="NGY23" s="191"/>
      <c r="NHI23" s="191"/>
      <c r="NHS23" s="191"/>
      <c r="NIC23" s="191"/>
      <c r="NIM23" s="191"/>
      <c r="NIW23" s="191"/>
      <c r="NJG23" s="191"/>
      <c r="NJQ23" s="191"/>
      <c r="NKA23" s="191"/>
      <c r="NKK23" s="191"/>
      <c r="NKU23" s="191"/>
      <c r="NLE23" s="191"/>
      <c r="NLO23" s="191"/>
      <c r="NLY23" s="191"/>
      <c r="NMI23" s="191"/>
      <c r="NMS23" s="191"/>
      <c r="NNC23" s="191"/>
      <c r="NNM23" s="191"/>
      <c r="NNW23" s="191"/>
      <c r="NOG23" s="191"/>
      <c r="NOQ23" s="191"/>
      <c r="NPA23" s="191"/>
      <c r="NPK23" s="191"/>
      <c r="NPU23" s="191"/>
      <c r="NQE23" s="191"/>
      <c r="NQO23" s="191"/>
      <c r="NQY23" s="191"/>
      <c r="NRI23" s="191"/>
      <c r="NRS23" s="191"/>
      <c r="NSC23" s="191"/>
      <c r="NSM23" s="191"/>
      <c r="NSW23" s="191"/>
      <c r="NTG23" s="191"/>
      <c r="NTQ23" s="191"/>
      <c r="NUA23" s="191"/>
      <c r="NUK23" s="191"/>
      <c r="NUU23" s="191"/>
      <c r="NVE23" s="191"/>
      <c r="NVO23" s="191"/>
      <c r="NVY23" s="191"/>
      <c r="NWI23" s="191"/>
      <c r="NWS23" s="191"/>
      <c r="NXC23" s="191"/>
      <c r="NXM23" s="191"/>
      <c r="NXW23" s="191"/>
      <c r="NYG23" s="191"/>
      <c r="NYQ23" s="191"/>
      <c r="NZA23" s="191"/>
      <c r="NZK23" s="191"/>
      <c r="NZU23" s="191"/>
      <c r="OAE23" s="191"/>
      <c r="OAO23" s="191"/>
      <c r="OAY23" s="191"/>
      <c r="OBI23" s="191"/>
      <c r="OBS23" s="191"/>
      <c r="OCC23" s="191"/>
      <c r="OCM23" s="191"/>
      <c r="OCW23" s="191"/>
      <c r="ODG23" s="191"/>
      <c r="ODQ23" s="191"/>
      <c r="OEA23" s="191"/>
      <c r="OEK23" s="191"/>
      <c r="OEU23" s="191"/>
      <c r="OFE23" s="191"/>
      <c r="OFO23" s="191"/>
      <c r="OFY23" s="191"/>
      <c r="OGI23" s="191"/>
      <c r="OGS23" s="191"/>
      <c r="OHC23" s="191"/>
      <c r="OHM23" s="191"/>
      <c r="OHW23" s="191"/>
      <c r="OIG23" s="191"/>
      <c r="OIQ23" s="191"/>
      <c r="OJA23" s="191"/>
      <c r="OJK23" s="191"/>
      <c r="OJU23" s="191"/>
      <c r="OKE23" s="191"/>
      <c r="OKO23" s="191"/>
      <c r="OKY23" s="191"/>
      <c r="OLI23" s="191"/>
      <c r="OLS23" s="191"/>
      <c r="OMC23" s="191"/>
      <c r="OMM23" s="191"/>
      <c r="OMW23" s="191"/>
      <c r="ONG23" s="191"/>
      <c r="ONQ23" s="191"/>
      <c r="OOA23" s="191"/>
      <c r="OOK23" s="191"/>
      <c r="OOU23" s="191"/>
      <c r="OPE23" s="191"/>
      <c r="OPO23" s="191"/>
      <c r="OPY23" s="191"/>
      <c r="OQI23" s="191"/>
      <c r="OQS23" s="191"/>
      <c r="ORC23" s="191"/>
      <c r="ORM23" s="191"/>
      <c r="ORW23" s="191"/>
      <c r="OSG23" s="191"/>
      <c r="OSQ23" s="191"/>
      <c r="OTA23" s="191"/>
      <c r="OTK23" s="191"/>
      <c r="OTU23" s="191"/>
      <c r="OUE23" s="191"/>
      <c r="OUO23" s="191"/>
      <c r="OUY23" s="191"/>
      <c r="OVI23" s="191"/>
      <c r="OVS23" s="191"/>
      <c r="OWC23" s="191"/>
      <c r="OWM23" s="191"/>
      <c r="OWW23" s="191"/>
      <c r="OXG23" s="191"/>
      <c r="OXQ23" s="191"/>
      <c r="OYA23" s="191"/>
      <c r="OYK23" s="191"/>
      <c r="OYU23" s="191"/>
      <c r="OZE23" s="191"/>
      <c r="OZO23" s="191"/>
      <c r="OZY23" s="191"/>
      <c r="PAI23" s="191"/>
      <c r="PAS23" s="191"/>
      <c r="PBC23" s="191"/>
      <c r="PBM23" s="191"/>
      <c r="PBW23" s="191"/>
      <c r="PCG23" s="191"/>
      <c r="PCQ23" s="191"/>
      <c r="PDA23" s="191"/>
      <c r="PDK23" s="191"/>
      <c r="PDU23" s="191"/>
      <c r="PEE23" s="191"/>
      <c r="PEO23" s="191"/>
      <c r="PEY23" s="191"/>
      <c r="PFI23" s="191"/>
      <c r="PFS23" s="191"/>
      <c r="PGC23" s="191"/>
      <c r="PGM23" s="191"/>
      <c r="PGW23" s="191"/>
      <c r="PHG23" s="191"/>
      <c r="PHQ23" s="191"/>
      <c r="PIA23" s="191"/>
      <c r="PIK23" s="191"/>
      <c r="PIU23" s="191"/>
      <c r="PJE23" s="191"/>
      <c r="PJO23" s="191"/>
      <c r="PJY23" s="191"/>
      <c r="PKI23" s="191"/>
      <c r="PKS23" s="191"/>
      <c r="PLC23" s="191"/>
      <c r="PLM23" s="191"/>
      <c r="PLW23" s="191"/>
      <c r="PMG23" s="191"/>
      <c r="PMQ23" s="191"/>
      <c r="PNA23" s="191"/>
      <c r="PNK23" s="191"/>
      <c r="PNU23" s="191"/>
      <c r="POE23" s="191"/>
      <c r="POO23" s="191"/>
      <c r="POY23" s="191"/>
      <c r="PPI23" s="191"/>
      <c r="PPS23" s="191"/>
      <c r="PQC23" s="191"/>
      <c r="PQM23" s="191"/>
      <c r="PQW23" s="191"/>
      <c r="PRG23" s="191"/>
      <c r="PRQ23" s="191"/>
      <c r="PSA23" s="191"/>
      <c r="PSK23" s="191"/>
      <c r="PSU23" s="191"/>
      <c r="PTE23" s="191"/>
      <c r="PTO23" s="191"/>
      <c r="PTY23" s="191"/>
      <c r="PUI23" s="191"/>
      <c r="PUS23" s="191"/>
      <c r="PVC23" s="191"/>
      <c r="PVM23" s="191"/>
      <c r="PVW23" s="191"/>
      <c r="PWG23" s="191"/>
      <c r="PWQ23" s="191"/>
      <c r="PXA23" s="191"/>
      <c r="PXK23" s="191"/>
      <c r="PXU23" s="191"/>
      <c r="PYE23" s="191"/>
      <c r="PYO23" s="191"/>
      <c r="PYY23" s="191"/>
      <c r="PZI23" s="191"/>
      <c r="PZS23" s="191"/>
      <c r="QAC23" s="191"/>
      <c r="QAM23" s="191"/>
      <c r="QAW23" s="191"/>
      <c r="QBG23" s="191"/>
      <c r="QBQ23" s="191"/>
      <c r="QCA23" s="191"/>
      <c r="QCK23" s="191"/>
      <c r="QCU23" s="191"/>
      <c r="QDE23" s="191"/>
      <c r="QDO23" s="191"/>
      <c r="QDY23" s="191"/>
      <c r="QEI23" s="191"/>
      <c r="QES23" s="191"/>
      <c r="QFC23" s="191"/>
      <c r="QFM23" s="191"/>
      <c r="QFW23" s="191"/>
      <c r="QGG23" s="191"/>
      <c r="QGQ23" s="191"/>
      <c r="QHA23" s="191"/>
      <c r="QHK23" s="191"/>
      <c r="QHU23" s="191"/>
      <c r="QIE23" s="191"/>
      <c r="QIO23" s="191"/>
      <c r="QIY23" s="191"/>
      <c r="QJI23" s="191"/>
      <c r="QJS23" s="191"/>
      <c r="QKC23" s="191"/>
      <c r="QKM23" s="191"/>
      <c r="QKW23" s="191"/>
      <c r="QLG23" s="191"/>
      <c r="QLQ23" s="191"/>
      <c r="QMA23" s="191"/>
      <c r="QMK23" s="191"/>
      <c r="QMU23" s="191"/>
      <c r="QNE23" s="191"/>
      <c r="QNO23" s="191"/>
      <c r="QNY23" s="191"/>
      <c r="QOI23" s="191"/>
      <c r="QOS23" s="191"/>
      <c r="QPC23" s="191"/>
      <c r="QPM23" s="191"/>
      <c r="QPW23" s="191"/>
      <c r="QQG23" s="191"/>
      <c r="QQQ23" s="191"/>
      <c r="QRA23" s="191"/>
      <c r="QRK23" s="191"/>
      <c r="QRU23" s="191"/>
      <c r="QSE23" s="191"/>
      <c r="QSO23" s="191"/>
      <c r="QSY23" s="191"/>
      <c r="QTI23" s="191"/>
      <c r="QTS23" s="191"/>
      <c r="QUC23" s="191"/>
      <c r="QUM23" s="191"/>
      <c r="QUW23" s="191"/>
      <c r="QVG23" s="191"/>
      <c r="QVQ23" s="191"/>
      <c r="QWA23" s="191"/>
      <c r="QWK23" s="191"/>
      <c r="QWU23" s="191"/>
      <c r="QXE23" s="191"/>
      <c r="QXO23" s="191"/>
      <c r="QXY23" s="191"/>
      <c r="QYI23" s="191"/>
      <c r="QYS23" s="191"/>
      <c r="QZC23" s="191"/>
      <c r="QZM23" s="191"/>
      <c r="QZW23" s="191"/>
      <c r="RAG23" s="191"/>
      <c r="RAQ23" s="191"/>
      <c r="RBA23" s="191"/>
      <c r="RBK23" s="191"/>
      <c r="RBU23" s="191"/>
      <c r="RCE23" s="191"/>
      <c r="RCO23" s="191"/>
      <c r="RCY23" s="191"/>
      <c r="RDI23" s="191"/>
      <c r="RDS23" s="191"/>
      <c r="REC23" s="191"/>
      <c r="REM23" s="191"/>
      <c r="REW23" s="191"/>
      <c r="RFG23" s="191"/>
      <c r="RFQ23" s="191"/>
      <c r="RGA23" s="191"/>
      <c r="RGK23" s="191"/>
      <c r="RGU23" s="191"/>
      <c r="RHE23" s="191"/>
      <c r="RHO23" s="191"/>
      <c r="RHY23" s="191"/>
      <c r="RII23" s="191"/>
      <c r="RIS23" s="191"/>
      <c r="RJC23" s="191"/>
      <c r="RJM23" s="191"/>
      <c r="RJW23" s="191"/>
      <c r="RKG23" s="191"/>
      <c r="RKQ23" s="191"/>
      <c r="RLA23" s="191"/>
      <c r="RLK23" s="191"/>
      <c r="RLU23" s="191"/>
      <c r="RME23" s="191"/>
      <c r="RMO23" s="191"/>
      <c r="RMY23" s="191"/>
      <c r="RNI23" s="191"/>
      <c r="RNS23" s="191"/>
      <c r="ROC23" s="191"/>
      <c r="ROM23" s="191"/>
      <c r="ROW23" s="191"/>
      <c r="RPG23" s="191"/>
      <c r="RPQ23" s="191"/>
      <c r="RQA23" s="191"/>
      <c r="RQK23" s="191"/>
      <c r="RQU23" s="191"/>
      <c r="RRE23" s="191"/>
      <c r="RRO23" s="191"/>
      <c r="RRY23" s="191"/>
      <c r="RSI23" s="191"/>
      <c r="RSS23" s="191"/>
      <c r="RTC23" s="191"/>
      <c r="RTM23" s="191"/>
      <c r="RTW23" s="191"/>
      <c r="RUG23" s="191"/>
      <c r="RUQ23" s="191"/>
      <c r="RVA23" s="191"/>
      <c r="RVK23" s="191"/>
      <c r="RVU23" s="191"/>
      <c r="RWE23" s="191"/>
      <c r="RWO23" s="191"/>
      <c r="RWY23" s="191"/>
      <c r="RXI23" s="191"/>
      <c r="RXS23" s="191"/>
      <c r="RYC23" s="191"/>
      <c r="RYM23" s="191"/>
      <c r="RYW23" s="191"/>
      <c r="RZG23" s="191"/>
      <c r="RZQ23" s="191"/>
      <c r="SAA23" s="191"/>
      <c r="SAK23" s="191"/>
      <c r="SAU23" s="191"/>
      <c r="SBE23" s="191"/>
      <c r="SBO23" s="191"/>
      <c r="SBY23" s="191"/>
      <c r="SCI23" s="191"/>
      <c r="SCS23" s="191"/>
      <c r="SDC23" s="191"/>
      <c r="SDM23" s="191"/>
      <c r="SDW23" s="191"/>
      <c r="SEG23" s="191"/>
      <c r="SEQ23" s="191"/>
      <c r="SFA23" s="191"/>
      <c r="SFK23" s="191"/>
      <c r="SFU23" s="191"/>
      <c r="SGE23" s="191"/>
      <c r="SGO23" s="191"/>
      <c r="SGY23" s="191"/>
      <c r="SHI23" s="191"/>
      <c r="SHS23" s="191"/>
      <c r="SIC23" s="191"/>
      <c r="SIM23" s="191"/>
      <c r="SIW23" s="191"/>
      <c r="SJG23" s="191"/>
      <c r="SJQ23" s="191"/>
      <c r="SKA23" s="191"/>
      <c r="SKK23" s="191"/>
      <c r="SKU23" s="191"/>
      <c r="SLE23" s="191"/>
      <c r="SLO23" s="191"/>
      <c r="SLY23" s="191"/>
      <c r="SMI23" s="191"/>
      <c r="SMS23" s="191"/>
      <c r="SNC23" s="191"/>
      <c r="SNM23" s="191"/>
      <c r="SNW23" s="191"/>
      <c r="SOG23" s="191"/>
      <c r="SOQ23" s="191"/>
      <c r="SPA23" s="191"/>
      <c r="SPK23" s="191"/>
      <c r="SPU23" s="191"/>
      <c r="SQE23" s="191"/>
      <c r="SQO23" s="191"/>
      <c r="SQY23" s="191"/>
      <c r="SRI23" s="191"/>
      <c r="SRS23" s="191"/>
      <c r="SSC23" s="191"/>
      <c r="SSM23" s="191"/>
      <c r="SSW23" s="191"/>
      <c r="STG23" s="191"/>
      <c r="STQ23" s="191"/>
      <c r="SUA23" s="191"/>
      <c r="SUK23" s="191"/>
      <c r="SUU23" s="191"/>
      <c r="SVE23" s="191"/>
      <c r="SVO23" s="191"/>
      <c r="SVY23" s="191"/>
      <c r="SWI23" s="191"/>
      <c r="SWS23" s="191"/>
      <c r="SXC23" s="191"/>
      <c r="SXM23" s="191"/>
      <c r="SXW23" s="191"/>
      <c r="SYG23" s="191"/>
      <c r="SYQ23" s="191"/>
      <c r="SZA23" s="191"/>
      <c r="SZK23" s="191"/>
      <c r="SZU23" s="191"/>
      <c r="TAE23" s="191"/>
      <c r="TAO23" s="191"/>
      <c r="TAY23" s="191"/>
      <c r="TBI23" s="191"/>
      <c r="TBS23" s="191"/>
      <c r="TCC23" s="191"/>
      <c r="TCM23" s="191"/>
      <c r="TCW23" s="191"/>
      <c r="TDG23" s="191"/>
      <c r="TDQ23" s="191"/>
      <c r="TEA23" s="191"/>
      <c r="TEK23" s="191"/>
      <c r="TEU23" s="191"/>
      <c r="TFE23" s="191"/>
      <c r="TFO23" s="191"/>
      <c r="TFY23" s="191"/>
      <c r="TGI23" s="191"/>
      <c r="TGS23" s="191"/>
      <c r="THC23" s="191"/>
      <c r="THM23" s="191"/>
      <c r="THW23" s="191"/>
      <c r="TIG23" s="191"/>
      <c r="TIQ23" s="191"/>
      <c r="TJA23" s="191"/>
      <c r="TJK23" s="191"/>
      <c r="TJU23" s="191"/>
      <c r="TKE23" s="191"/>
      <c r="TKO23" s="191"/>
      <c r="TKY23" s="191"/>
      <c r="TLI23" s="191"/>
      <c r="TLS23" s="191"/>
      <c r="TMC23" s="191"/>
      <c r="TMM23" s="191"/>
      <c r="TMW23" s="191"/>
      <c r="TNG23" s="191"/>
      <c r="TNQ23" s="191"/>
      <c r="TOA23" s="191"/>
      <c r="TOK23" s="191"/>
      <c r="TOU23" s="191"/>
      <c r="TPE23" s="191"/>
      <c r="TPO23" s="191"/>
      <c r="TPY23" s="191"/>
      <c r="TQI23" s="191"/>
      <c r="TQS23" s="191"/>
      <c r="TRC23" s="191"/>
      <c r="TRM23" s="191"/>
      <c r="TRW23" s="191"/>
      <c r="TSG23" s="191"/>
      <c r="TSQ23" s="191"/>
      <c r="TTA23" s="191"/>
      <c r="TTK23" s="191"/>
      <c r="TTU23" s="191"/>
      <c r="TUE23" s="191"/>
      <c r="TUO23" s="191"/>
      <c r="TUY23" s="191"/>
      <c r="TVI23" s="191"/>
      <c r="TVS23" s="191"/>
      <c r="TWC23" s="191"/>
      <c r="TWM23" s="191"/>
      <c r="TWW23" s="191"/>
      <c r="TXG23" s="191"/>
      <c r="TXQ23" s="191"/>
      <c r="TYA23" s="191"/>
      <c r="TYK23" s="191"/>
      <c r="TYU23" s="191"/>
      <c r="TZE23" s="191"/>
      <c r="TZO23" s="191"/>
      <c r="TZY23" s="191"/>
      <c r="UAI23" s="191"/>
      <c r="UAS23" s="191"/>
      <c r="UBC23" s="191"/>
      <c r="UBM23" s="191"/>
      <c r="UBW23" s="191"/>
      <c r="UCG23" s="191"/>
      <c r="UCQ23" s="191"/>
      <c r="UDA23" s="191"/>
      <c r="UDK23" s="191"/>
      <c r="UDU23" s="191"/>
      <c r="UEE23" s="191"/>
      <c r="UEO23" s="191"/>
      <c r="UEY23" s="191"/>
      <c r="UFI23" s="191"/>
      <c r="UFS23" s="191"/>
      <c r="UGC23" s="191"/>
      <c r="UGM23" s="191"/>
      <c r="UGW23" s="191"/>
      <c r="UHG23" s="191"/>
      <c r="UHQ23" s="191"/>
      <c r="UIA23" s="191"/>
      <c r="UIK23" s="191"/>
      <c r="UIU23" s="191"/>
      <c r="UJE23" s="191"/>
      <c r="UJO23" s="191"/>
      <c r="UJY23" s="191"/>
      <c r="UKI23" s="191"/>
      <c r="UKS23" s="191"/>
      <c r="ULC23" s="191"/>
      <c r="ULM23" s="191"/>
      <c r="ULW23" s="191"/>
      <c r="UMG23" s="191"/>
      <c r="UMQ23" s="191"/>
      <c r="UNA23" s="191"/>
      <c r="UNK23" s="191"/>
      <c r="UNU23" s="191"/>
      <c r="UOE23" s="191"/>
      <c r="UOO23" s="191"/>
      <c r="UOY23" s="191"/>
      <c r="UPI23" s="191"/>
      <c r="UPS23" s="191"/>
      <c r="UQC23" s="191"/>
      <c r="UQM23" s="191"/>
      <c r="UQW23" s="191"/>
      <c r="URG23" s="191"/>
      <c r="URQ23" s="191"/>
      <c r="USA23" s="191"/>
      <c r="USK23" s="191"/>
      <c r="USU23" s="191"/>
      <c r="UTE23" s="191"/>
      <c r="UTO23" s="191"/>
      <c r="UTY23" s="191"/>
      <c r="UUI23" s="191"/>
      <c r="UUS23" s="191"/>
      <c r="UVC23" s="191"/>
      <c r="UVM23" s="191"/>
      <c r="UVW23" s="191"/>
      <c r="UWG23" s="191"/>
      <c r="UWQ23" s="191"/>
      <c r="UXA23" s="191"/>
      <c r="UXK23" s="191"/>
      <c r="UXU23" s="191"/>
      <c r="UYE23" s="191"/>
      <c r="UYO23" s="191"/>
      <c r="UYY23" s="191"/>
      <c r="UZI23" s="191"/>
      <c r="UZS23" s="191"/>
      <c r="VAC23" s="191"/>
      <c r="VAM23" s="191"/>
      <c r="VAW23" s="191"/>
      <c r="VBG23" s="191"/>
      <c r="VBQ23" s="191"/>
      <c r="VCA23" s="191"/>
      <c r="VCK23" s="191"/>
      <c r="VCU23" s="191"/>
      <c r="VDE23" s="191"/>
      <c r="VDO23" s="191"/>
      <c r="VDY23" s="191"/>
      <c r="VEI23" s="191"/>
      <c r="VES23" s="191"/>
      <c r="VFC23" s="191"/>
      <c r="VFM23" s="191"/>
      <c r="VFW23" s="191"/>
      <c r="VGG23" s="191"/>
      <c r="VGQ23" s="191"/>
      <c r="VHA23" s="191"/>
      <c r="VHK23" s="191"/>
      <c r="VHU23" s="191"/>
      <c r="VIE23" s="191"/>
      <c r="VIO23" s="191"/>
      <c r="VIY23" s="191"/>
      <c r="VJI23" s="191"/>
      <c r="VJS23" s="191"/>
      <c r="VKC23" s="191"/>
      <c r="VKM23" s="191"/>
      <c r="VKW23" s="191"/>
      <c r="VLG23" s="191"/>
      <c r="VLQ23" s="191"/>
      <c r="VMA23" s="191"/>
      <c r="VMK23" s="191"/>
      <c r="VMU23" s="191"/>
      <c r="VNE23" s="191"/>
      <c r="VNO23" s="191"/>
      <c r="VNY23" s="191"/>
      <c r="VOI23" s="191"/>
      <c r="VOS23" s="191"/>
      <c r="VPC23" s="191"/>
      <c r="VPM23" s="191"/>
      <c r="VPW23" s="191"/>
      <c r="VQG23" s="191"/>
      <c r="VQQ23" s="191"/>
      <c r="VRA23" s="191"/>
      <c r="VRK23" s="191"/>
      <c r="VRU23" s="191"/>
      <c r="VSE23" s="191"/>
      <c r="VSO23" s="191"/>
      <c r="VSY23" s="191"/>
      <c r="VTI23" s="191"/>
      <c r="VTS23" s="191"/>
      <c r="VUC23" s="191"/>
      <c r="VUM23" s="191"/>
      <c r="VUW23" s="191"/>
      <c r="VVG23" s="191"/>
      <c r="VVQ23" s="191"/>
      <c r="VWA23" s="191"/>
      <c r="VWK23" s="191"/>
      <c r="VWU23" s="191"/>
      <c r="VXE23" s="191"/>
      <c r="VXO23" s="191"/>
      <c r="VXY23" s="191"/>
      <c r="VYI23" s="191"/>
      <c r="VYS23" s="191"/>
      <c r="VZC23" s="191"/>
      <c r="VZM23" s="191"/>
      <c r="VZW23" s="191"/>
      <c r="WAG23" s="191"/>
      <c r="WAQ23" s="191"/>
      <c r="WBA23" s="191"/>
      <c r="WBK23" s="191"/>
      <c r="WBU23" s="191"/>
      <c r="WCE23" s="191"/>
      <c r="WCO23" s="191"/>
      <c r="WCY23" s="191"/>
      <c r="WDI23" s="191"/>
      <c r="WDS23" s="191"/>
      <c r="WEC23" s="191"/>
      <c r="WEM23" s="191"/>
      <c r="WEW23" s="191"/>
      <c r="WFG23" s="191"/>
      <c r="WFQ23" s="191"/>
      <c r="WGA23" s="191"/>
      <c r="WGK23" s="191"/>
      <c r="WGU23" s="191"/>
      <c r="WHE23" s="191"/>
      <c r="WHO23" s="191"/>
      <c r="WHY23" s="191"/>
      <c r="WII23" s="191"/>
      <c r="WIS23" s="191"/>
      <c r="WJC23" s="191"/>
      <c r="WJM23" s="191"/>
      <c r="WJW23" s="191"/>
      <c r="WKG23" s="191"/>
      <c r="WKQ23" s="191"/>
      <c r="WLA23" s="191"/>
      <c r="WLK23" s="191"/>
      <c r="WLU23" s="191"/>
      <c r="WME23" s="191"/>
      <c r="WMO23" s="191"/>
      <c r="WMY23" s="191"/>
      <c r="WNI23" s="191"/>
      <c r="WNS23" s="191"/>
      <c r="WOC23" s="191"/>
      <c r="WOM23" s="191"/>
      <c r="WOW23" s="191"/>
      <c r="WPG23" s="191"/>
      <c r="WPQ23" s="191"/>
      <c r="WQA23" s="191"/>
      <c r="WQK23" s="191"/>
      <c r="WQU23" s="191"/>
      <c r="WRE23" s="191"/>
      <c r="WRO23" s="191"/>
      <c r="WRY23" s="191"/>
      <c r="WSI23" s="191"/>
      <c r="WSS23" s="191"/>
      <c r="WTC23" s="191"/>
      <c r="WTM23" s="191"/>
      <c r="WTW23" s="191"/>
      <c r="WUG23" s="191"/>
      <c r="WUQ23" s="191"/>
      <c r="WVA23" s="191"/>
      <c r="WVK23" s="191"/>
      <c r="WVU23" s="191"/>
      <c r="WWE23" s="191"/>
      <c r="WWO23" s="191"/>
      <c r="WWY23" s="191"/>
      <c r="WXI23" s="191"/>
      <c r="WXS23" s="191"/>
      <c r="WYC23" s="191"/>
      <c r="WYM23" s="191"/>
      <c r="WYW23" s="191"/>
      <c r="WZG23" s="191"/>
      <c r="WZQ23" s="191"/>
      <c r="XAA23" s="191"/>
      <c r="XAK23" s="191"/>
      <c r="XAU23" s="191"/>
      <c r="XBE23" s="191"/>
      <c r="XBO23" s="191"/>
      <c r="XBY23" s="191"/>
      <c r="XCI23" s="191"/>
      <c r="XCS23" s="191"/>
      <c r="XDC23" s="191"/>
      <c r="XDM23" s="191"/>
      <c r="XDW23" s="191"/>
      <c r="XEG23" s="191"/>
      <c r="XEQ23" s="191"/>
      <c r="XFA23" s="191"/>
    </row>
    <row r="24" s="445" customFormat="1" ht="13.2" spans="1:16381">
      <c r="A24" s="191" t="s">
        <v>834</v>
      </c>
      <c r="B24" s="445">
        <v>2025</v>
      </c>
      <c r="C24" s="668" t="s">
        <v>833</v>
      </c>
      <c r="D24" s="445">
        <v>219.33</v>
      </c>
      <c r="E24" s="445">
        <v>5174.58</v>
      </c>
      <c r="F24" s="445">
        <v>68.86</v>
      </c>
      <c r="G24" s="445">
        <v>-199.22</v>
      </c>
      <c r="H24" s="445">
        <v>178.78</v>
      </c>
      <c r="I24" s="445">
        <v>0</v>
      </c>
      <c r="J24" s="445">
        <v>48.42</v>
      </c>
      <c r="K24" s="191"/>
      <c r="U24" s="191"/>
      <c r="AE24" s="191"/>
      <c r="AO24" s="191"/>
      <c r="AY24" s="191"/>
      <c r="BI24" s="191"/>
      <c r="BS24" s="191"/>
      <c r="CC24" s="191"/>
      <c r="CM24" s="191"/>
      <c r="CW24" s="191"/>
      <c r="DG24" s="191"/>
      <c r="DQ24" s="191"/>
      <c r="EA24" s="191"/>
      <c r="EK24" s="191"/>
      <c r="EU24" s="191"/>
      <c r="FE24" s="191"/>
      <c r="FO24" s="191"/>
      <c r="FY24" s="191"/>
      <c r="GI24" s="191"/>
      <c r="GS24" s="191"/>
      <c r="HC24" s="191"/>
      <c r="HM24" s="191"/>
      <c r="HW24" s="191"/>
      <c r="IG24" s="191"/>
      <c r="IQ24" s="191"/>
      <c r="JA24" s="191"/>
      <c r="JK24" s="191"/>
      <c r="JU24" s="191"/>
      <c r="KE24" s="191"/>
      <c r="KO24" s="191"/>
      <c r="KY24" s="191"/>
      <c r="LI24" s="191"/>
      <c r="LS24" s="191"/>
      <c r="MC24" s="191"/>
      <c r="MM24" s="191"/>
      <c r="MW24" s="191"/>
      <c r="NG24" s="191"/>
      <c r="NQ24" s="191"/>
      <c r="OA24" s="191"/>
      <c r="OK24" s="191"/>
      <c r="OU24" s="191"/>
      <c r="PE24" s="191"/>
      <c r="PO24" s="191"/>
      <c r="PY24" s="191"/>
      <c r="QI24" s="191"/>
      <c r="QS24" s="191"/>
      <c r="RC24" s="191"/>
      <c r="RM24" s="191"/>
      <c r="RW24" s="191"/>
      <c r="SG24" s="191"/>
      <c r="SQ24" s="191"/>
      <c r="TA24" s="191"/>
      <c r="TK24" s="191"/>
      <c r="TU24" s="191"/>
      <c r="UE24" s="191"/>
      <c r="UO24" s="191"/>
      <c r="UY24" s="191"/>
      <c r="VI24" s="191"/>
      <c r="VS24" s="191"/>
      <c r="WC24" s="191"/>
      <c r="WM24" s="191"/>
      <c r="WW24" s="191"/>
      <c r="XG24" s="191"/>
      <c r="XQ24" s="191"/>
      <c r="YA24" s="191"/>
      <c r="YK24" s="191"/>
      <c r="YU24" s="191"/>
      <c r="ZE24" s="191"/>
      <c r="ZO24" s="191"/>
      <c r="ZY24" s="191"/>
      <c r="AAI24" s="191"/>
      <c r="AAS24" s="191"/>
      <c r="ABC24" s="191"/>
      <c r="ABM24" s="191"/>
      <c r="ABW24" s="191"/>
      <c r="ACG24" s="191"/>
      <c r="ACQ24" s="191"/>
      <c r="ADA24" s="191"/>
      <c r="ADK24" s="191"/>
      <c r="ADU24" s="191"/>
      <c r="AEE24" s="191"/>
      <c r="AEO24" s="191"/>
      <c r="AEY24" s="191"/>
      <c r="AFI24" s="191"/>
      <c r="AFS24" s="191"/>
      <c r="AGC24" s="191"/>
      <c r="AGM24" s="191"/>
      <c r="AGW24" s="191"/>
      <c r="AHG24" s="191"/>
      <c r="AHQ24" s="191"/>
      <c r="AIA24" s="191"/>
      <c r="AIK24" s="191"/>
      <c r="AIU24" s="191"/>
      <c r="AJE24" s="191"/>
      <c r="AJO24" s="191"/>
      <c r="AJY24" s="191"/>
      <c r="AKI24" s="191"/>
      <c r="AKS24" s="191"/>
      <c r="ALC24" s="191"/>
      <c r="ALM24" s="191"/>
      <c r="ALW24" s="191"/>
      <c r="AMG24" s="191"/>
      <c r="AMQ24" s="191"/>
      <c r="ANA24" s="191"/>
      <c r="ANK24" s="191"/>
      <c r="ANU24" s="191"/>
      <c r="AOE24" s="191"/>
      <c r="AOO24" s="191"/>
      <c r="AOY24" s="191"/>
      <c r="API24" s="191"/>
      <c r="APS24" s="191"/>
      <c r="AQC24" s="191"/>
      <c r="AQM24" s="191"/>
      <c r="AQW24" s="191"/>
      <c r="ARG24" s="191"/>
      <c r="ARQ24" s="191"/>
      <c r="ASA24" s="191"/>
      <c r="ASK24" s="191"/>
      <c r="ASU24" s="191"/>
      <c r="ATE24" s="191"/>
      <c r="ATO24" s="191"/>
      <c r="ATY24" s="191"/>
      <c r="AUI24" s="191"/>
      <c r="AUS24" s="191"/>
      <c r="AVC24" s="191"/>
      <c r="AVM24" s="191"/>
      <c r="AVW24" s="191"/>
      <c r="AWG24" s="191"/>
      <c r="AWQ24" s="191"/>
      <c r="AXA24" s="191"/>
      <c r="AXK24" s="191"/>
      <c r="AXU24" s="191"/>
      <c r="AYE24" s="191"/>
      <c r="AYO24" s="191"/>
      <c r="AYY24" s="191"/>
      <c r="AZI24" s="191"/>
      <c r="AZS24" s="191"/>
      <c r="BAC24" s="191"/>
      <c r="BAM24" s="191"/>
      <c r="BAW24" s="191"/>
      <c r="BBG24" s="191"/>
      <c r="BBQ24" s="191"/>
      <c r="BCA24" s="191"/>
      <c r="BCK24" s="191"/>
      <c r="BCU24" s="191"/>
      <c r="BDE24" s="191"/>
      <c r="BDO24" s="191"/>
      <c r="BDY24" s="191"/>
      <c r="BEI24" s="191"/>
      <c r="BES24" s="191"/>
      <c r="BFC24" s="191"/>
      <c r="BFM24" s="191"/>
      <c r="BFW24" s="191"/>
      <c r="BGG24" s="191"/>
      <c r="BGQ24" s="191"/>
      <c r="BHA24" s="191"/>
      <c r="BHK24" s="191"/>
      <c r="BHU24" s="191"/>
      <c r="BIE24" s="191"/>
      <c r="BIO24" s="191"/>
      <c r="BIY24" s="191"/>
      <c r="BJI24" s="191"/>
      <c r="BJS24" s="191"/>
      <c r="BKC24" s="191"/>
      <c r="BKM24" s="191"/>
      <c r="BKW24" s="191"/>
      <c r="BLG24" s="191"/>
      <c r="BLQ24" s="191"/>
      <c r="BMA24" s="191"/>
      <c r="BMK24" s="191"/>
      <c r="BMU24" s="191"/>
      <c r="BNE24" s="191"/>
      <c r="BNO24" s="191"/>
      <c r="BNY24" s="191"/>
      <c r="BOI24" s="191"/>
      <c r="BOS24" s="191"/>
      <c r="BPC24" s="191"/>
      <c r="BPM24" s="191"/>
      <c r="BPW24" s="191"/>
      <c r="BQG24" s="191"/>
      <c r="BQQ24" s="191"/>
      <c r="BRA24" s="191"/>
      <c r="BRK24" s="191"/>
      <c r="BRU24" s="191"/>
      <c r="BSE24" s="191"/>
      <c r="BSO24" s="191"/>
      <c r="BSY24" s="191"/>
      <c r="BTI24" s="191"/>
      <c r="BTS24" s="191"/>
      <c r="BUC24" s="191"/>
      <c r="BUM24" s="191"/>
      <c r="BUW24" s="191"/>
      <c r="BVG24" s="191"/>
      <c r="BVQ24" s="191"/>
      <c r="BWA24" s="191"/>
      <c r="BWK24" s="191"/>
      <c r="BWU24" s="191"/>
      <c r="BXE24" s="191"/>
      <c r="BXO24" s="191"/>
      <c r="BXY24" s="191"/>
      <c r="BYI24" s="191"/>
      <c r="BYS24" s="191"/>
      <c r="BZC24" s="191"/>
      <c r="BZM24" s="191"/>
      <c r="BZW24" s="191"/>
      <c r="CAG24" s="191"/>
      <c r="CAQ24" s="191"/>
      <c r="CBA24" s="191"/>
      <c r="CBK24" s="191"/>
      <c r="CBU24" s="191"/>
      <c r="CCE24" s="191"/>
      <c r="CCO24" s="191"/>
      <c r="CCY24" s="191"/>
      <c r="CDI24" s="191"/>
      <c r="CDS24" s="191"/>
      <c r="CEC24" s="191"/>
      <c r="CEM24" s="191"/>
      <c r="CEW24" s="191"/>
      <c r="CFG24" s="191"/>
      <c r="CFQ24" s="191"/>
      <c r="CGA24" s="191"/>
      <c r="CGK24" s="191"/>
      <c r="CGU24" s="191"/>
      <c r="CHE24" s="191"/>
      <c r="CHO24" s="191"/>
      <c r="CHY24" s="191"/>
      <c r="CII24" s="191"/>
      <c r="CIS24" s="191"/>
      <c r="CJC24" s="191"/>
      <c r="CJM24" s="191"/>
      <c r="CJW24" s="191"/>
      <c r="CKG24" s="191"/>
      <c r="CKQ24" s="191"/>
      <c r="CLA24" s="191"/>
      <c r="CLK24" s="191"/>
      <c r="CLU24" s="191"/>
      <c r="CME24" s="191"/>
      <c r="CMO24" s="191"/>
      <c r="CMY24" s="191"/>
      <c r="CNI24" s="191"/>
      <c r="CNS24" s="191"/>
      <c r="COC24" s="191"/>
      <c r="COM24" s="191"/>
      <c r="COW24" s="191"/>
      <c r="CPG24" s="191"/>
      <c r="CPQ24" s="191"/>
      <c r="CQA24" s="191"/>
      <c r="CQK24" s="191"/>
      <c r="CQU24" s="191"/>
      <c r="CRE24" s="191"/>
      <c r="CRO24" s="191"/>
      <c r="CRY24" s="191"/>
      <c r="CSI24" s="191"/>
      <c r="CSS24" s="191"/>
      <c r="CTC24" s="191"/>
      <c r="CTM24" s="191"/>
      <c r="CTW24" s="191"/>
      <c r="CUG24" s="191"/>
      <c r="CUQ24" s="191"/>
      <c r="CVA24" s="191"/>
      <c r="CVK24" s="191"/>
      <c r="CVU24" s="191"/>
      <c r="CWE24" s="191"/>
      <c r="CWO24" s="191"/>
      <c r="CWY24" s="191"/>
      <c r="CXI24" s="191"/>
      <c r="CXS24" s="191"/>
      <c r="CYC24" s="191"/>
      <c r="CYM24" s="191"/>
      <c r="CYW24" s="191"/>
      <c r="CZG24" s="191"/>
      <c r="CZQ24" s="191"/>
      <c r="DAA24" s="191"/>
      <c r="DAK24" s="191"/>
      <c r="DAU24" s="191"/>
      <c r="DBE24" s="191"/>
      <c r="DBO24" s="191"/>
      <c r="DBY24" s="191"/>
      <c r="DCI24" s="191"/>
      <c r="DCS24" s="191"/>
      <c r="DDC24" s="191"/>
      <c r="DDM24" s="191"/>
      <c r="DDW24" s="191"/>
      <c r="DEG24" s="191"/>
      <c r="DEQ24" s="191"/>
      <c r="DFA24" s="191"/>
      <c r="DFK24" s="191"/>
      <c r="DFU24" s="191"/>
      <c r="DGE24" s="191"/>
      <c r="DGO24" s="191"/>
      <c r="DGY24" s="191"/>
      <c r="DHI24" s="191"/>
      <c r="DHS24" s="191"/>
      <c r="DIC24" s="191"/>
      <c r="DIM24" s="191"/>
      <c r="DIW24" s="191"/>
      <c r="DJG24" s="191"/>
      <c r="DJQ24" s="191"/>
      <c r="DKA24" s="191"/>
      <c r="DKK24" s="191"/>
      <c r="DKU24" s="191"/>
      <c r="DLE24" s="191"/>
      <c r="DLO24" s="191"/>
      <c r="DLY24" s="191"/>
      <c r="DMI24" s="191"/>
      <c r="DMS24" s="191"/>
      <c r="DNC24" s="191"/>
      <c r="DNM24" s="191"/>
      <c r="DNW24" s="191"/>
      <c r="DOG24" s="191"/>
      <c r="DOQ24" s="191"/>
      <c r="DPA24" s="191"/>
      <c r="DPK24" s="191"/>
      <c r="DPU24" s="191"/>
      <c r="DQE24" s="191"/>
      <c r="DQO24" s="191"/>
      <c r="DQY24" s="191"/>
      <c r="DRI24" s="191"/>
      <c r="DRS24" s="191"/>
      <c r="DSC24" s="191"/>
      <c r="DSM24" s="191"/>
      <c r="DSW24" s="191"/>
      <c r="DTG24" s="191"/>
      <c r="DTQ24" s="191"/>
      <c r="DUA24" s="191"/>
      <c r="DUK24" s="191"/>
      <c r="DUU24" s="191"/>
      <c r="DVE24" s="191"/>
      <c r="DVO24" s="191"/>
      <c r="DVY24" s="191"/>
      <c r="DWI24" s="191"/>
      <c r="DWS24" s="191"/>
      <c r="DXC24" s="191"/>
      <c r="DXM24" s="191"/>
      <c r="DXW24" s="191"/>
      <c r="DYG24" s="191"/>
      <c r="DYQ24" s="191"/>
      <c r="DZA24" s="191"/>
      <c r="DZK24" s="191"/>
      <c r="DZU24" s="191"/>
      <c r="EAE24" s="191"/>
      <c r="EAO24" s="191"/>
      <c r="EAY24" s="191"/>
      <c r="EBI24" s="191"/>
      <c r="EBS24" s="191"/>
      <c r="ECC24" s="191"/>
      <c r="ECM24" s="191"/>
      <c r="ECW24" s="191"/>
      <c r="EDG24" s="191"/>
      <c r="EDQ24" s="191"/>
      <c r="EEA24" s="191"/>
      <c r="EEK24" s="191"/>
      <c r="EEU24" s="191"/>
      <c r="EFE24" s="191"/>
      <c r="EFO24" s="191"/>
      <c r="EFY24" s="191"/>
      <c r="EGI24" s="191"/>
      <c r="EGS24" s="191"/>
      <c r="EHC24" s="191"/>
      <c r="EHM24" s="191"/>
      <c r="EHW24" s="191"/>
      <c r="EIG24" s="191"/>
      <c r="EIQ24" s="191"/>
      <c r="EJA24" s="191"/>
      <c r="EJK24" s="191"/>
      <c r="EJU24" s="191"/>
      <c r="EKE24" s="191"/>
      <c r="EKO24" s="191"/>
      <c r="EKY24" s="191"/>
      <c r="ELI24" s="191"/>
      <c r="ELS24" s="191"/>
      <c r="EMC24" s="191"/>
      <c r="EMM24" s="191"/>
      <c r="EMW24" s="191"/>
      <c r="ENG24" s="191"/>
      <c r="ENQ24" s="191"/>
      <c r="EOA24" s="191"/>
      <c r="EOK24" s="191"/>
      <c r="EOU24" s="191"/>
      <c r="EPE24" s="191"/>
      <c r="EPO24" s="191"/>
      <c r="EPY24" s="191"/>
      <c r="EQI24" s="191"/>
      <c r="EQS24" s="191"/>
      <c r="ERC24" s="191"/>
      <c r="ERM24" s="191"/>
      <c r="ERW24" s="191"/>
      <c r="ESG24" s="191"/>
      <c r="ESQ24" s="191"/>
      <c r="ETA24" s="191"/>
      <c r="ETK24" s="191"/>
      <c r="ETU24" s="191"/>
      <c r="EUE24" s="191"/>
      <c r="EUO24" s="191"/>
      <c r="EUY24" s="191"/>
      <c r="EVI24" s="191"/>
      <c r="EVS24" s="191"/>
      <c r="EWC24" s="191"/>
      <c r="EWM24" s="191"/>
      <c r="EWW24" s="191"/>
      <c r="EXG24" s="191"/>
      <c r="EXQ24" s="191"/>
      <c r="EYA24" s="191"/>
      <c r="EYK24" s="191"/>
      <c r="EYU24" s="191"/>
      <c r="EZE24" s="191"/>
      <c r="EZO24" s="191"/>
      <c r="EZY24" s="191"/>
      <c r="FAI24" s="191"/>
      <c r="FAS24" s="191"/>
      <c r="FBC24" s="191"/>
      <c r="FBM24" s="191"/>
      <c r="FBW24" s="191"/>
      <c r="FCG24" s="191"/>
      <c r="FCQ24" s="191"/>
      <c r="FDA24" s="191"/>
      <c r="FDK24" s="191"/>
      <c r="FDU24" s="191"/>
      <c r="FEE24" s="191"/>
      <c r="FEO24" s="191"/>
      <c r="FEY24" s="191"/>
      <c r="FFI24" s="191"/>
      <c r="FFS24" s="191"/>
      <c r="FGC24" s="191"/>
      <c r="FGM24" s="191"/>
      <c r="FGW24" s="191"/>
      <c r="FHG24" s="191"/>
      <c r="FHQ24" s="191"/>
      <c r="FIA24" s="191"/>
      <c r="FIK24" s="191"/>
      <c r="FIU24" s="191"/>
      <c r="FJE24" s="191"/>
      <c r="FJO24" s="191"/>
      <c r="FJY24" s="191"/>
      <c r="FKI24" s="191"/>
      <c r="FKS24" s="191"/>
      <c r="FLC24" s="191"/>
      <c r="FLM24" s="191"/>
      <c r="FLW24" s="191"/>
      <c r="FMG24" s="191"/>
      <c r="FMQ24" s="191"/>
      <c r="FNA24" s="191"/>
      <c r="FNK24" s="191"/>
      <c r="FNU24" s="191"/>
      <c r="FOE24" s="191"/>
      <c r="FOO24" s="191"/>
      <c r="FOY24" s="191"/>
      <c r="FPI24" s="191"/>
      <c r="FPS24" s="191"/>
      <c r="FQC24" s="191"/>
      <c r="FQM24" s="191"/>
      <c r="FQW24" s="191"/>
      <c r="FRG24" s="191"/>
      <c r="FRQ24" s="191"/>
      <c r="FSA24" s="191"/>
      <c r="FSK24" s="191"/>
      <c r="FSU24" s="191"/>
      <c r="FTE24" s="191"/>
      <c r="FTO24" s="191"/>
      <c r="FTY24" s="191"/>
      <c r="FUI24" s="191"/>
      <c r="FUS24" s="191"/>
      <c r="FVC24" s="191"/>
      <c r="FVM24" s="191"/>
      <c r="FVW24" s="191"/>
      <c r="FWG24" s="191"/>
      <c r="FWQ24" s="191"/>
      <c r="FXA24" s="191"/>
      <c r="FXK24" s="191"/>
      <c r="FXU24" s="191"/>
      <c r="FYE24" s="191"/>
      <c r="FYO24" s="191"/>
      <c r="FYY24" s="191"/>
      <c r="FZI24" s="191"/>
      <c r="FZS24" s="191"/>
      <c r="GAC24" s="191"/>
      <c r="GAM24" s="191"/>
      <c r="GAW24" s="191"/>
      <c r="GBG24" s="191"/>
      <c r="GBQ24" s="191"/>
      <c r="GCA24" s="191"/>
      <c r="GCK24" s="191"/>
      <c r="GCU24" s="191"/>
      <c r="GDE24" s="191"/>
      <c r="GDO24" s="191"/>
      <c r="GDY24" s="191"/>
      <c r="GEI24" s="191"/>
      <c r="GES24" s="191"/>
      <c r="GFC24" s="191"/>
      <c r="GFM24" s="191"/>
      <c r="GFW24" s="191"/>
      <c r="GGG24" s="191"/>
      <c r="GGQ24" s="191"/>
      <c r="GHA24" s="191"/>
      <c r="GHK24" s="191"/>
      <c r="GHU24" s="191"/>
      <c r="GIE24" s="191"/>
      <c r="GIO24" s="191"/>
      <c r="GIY24" s="191"/>
      <c r="GJI24" s="191"/>
      <c r="GJS24" s="191"/>
      <c r="GKC24" s="191"/>
      <c r="GKM24" s="191"/>
      <c r="GKW24" s="191"/>
      <c r="GLG24" s="191"/>
      <c r="GLQ24" s="191"/>
      <c r="GMA24" s="191"/>
      <c r="GMK24" s="191"/>
      <c r="GMU24" s="191"/>
      <c r="GNE24" s="191"/>
      <c r="GNO24" s="191"/>
      <c r="GNY24" s="191"/>
      <c r="GOI24" s="191"/>
      <c r="GOS24" s="191"/>
      <c r="GPC24" s="191"/>
      <c r="GPM24" s="191"/>
      <c r="GPW24" s="191"/>
      <c r="GQG24" s="191"/>
      <c r="GQQ24" s="191"/>
      <c r="GRA24" s="191"/>
      <c r="GRK24" s="191"/>
      <c r="GRU24" s="191"/>
      <c r="GSE24" s="191"/>
      <c r="GSO24" s="191"/>
      <c r="GSY24" s="191"/>
      <c r="GTI24" s="191"/>
      <c r="GTS24" s="191"/>
      <c r="GUC24" s="191"/>
      <c r="GUM24" s="191"/>
      <c r="GUW24" s="191"/>
      <c r="GVG24" s="191"/>
      <c r="GVQ24" s="191"/>
      <c r="GWA24" s="191"/>
      <c r="GWK24" s="191"/>
      <c r="GWU24" s="191"/>
      <c r="GXE24" s="191"/>
      <c r="GXO24" s="191"/>
      <c r="GXY24" s="191"/>
      <c r="GYI24" s="191"/>
      <c r="GYS24" s="191"/>
      <c r="GZC24" s="191"/>
      <c r="GZM24" s="191"/>
      <c r="GZW24" s="191"/>
      <c r="HAG24" s="191"/>
      <c r="HAQ24" s="191"/>
      <c r="HBA24" s="191"/>
      <c r="HBK24" s="191"/>
      <c r="HBU24" s="191"/>
      <c r="HCE24" s="191"/>
      <c r="HCO24" s="191"/>
      <c r="HCY24" s="191"/>
      <c r="HDI24" s="191"/>
      <c r="HDS24" s="191"/>
      <c r="HEC24" s="191"/>
      <c r="HEM24" s="191"/>
      <c r="HEW24" s="191"/>
      <c r="HFG24" s="191"/>
      <c r="HFQ24" s="191"/>
      <c r="HGA24" s="191"/>
      <c r="HGK24" s="191"/>
      <c r="HGU24" s="191"/>
      <c r="HHE24" s="191"/>
      <c r="HHO24" s="191"/>
      <c r="HHY24" s="191"/>
      <c r="HII24" s="191"/>
      <c r="HIS24" s="191"/>
      <c r="HJC24" s="191"/>
      <c r="HJM24" s="191"/>
      <c r="HJW24" s="191"/>
      <c r="HKG24" s="191"/>
      <c r="HKQ24" s="191"/>
      <c r="HLA24" s="191"/>
      <c r="HLK24" s="191"/>
      <c r="HLU24" s="191"/>
      <c r="HME24" s="191"/>
      <c r="HMO24" s="191"/>
      <c r="HMY24" s="191"/>
      <c r="HNI24" s="191"/>
      <c r="HNS24" s="191"/>
      <c r="HOC24" s="191"/>
      <c r="HOM24" s="191"/>
      <c r="HOW24" s="191"/>
      <c r="HPG24" s="191"/>
      <c r="HPQ24" s="191"/>
      <c r="HQA24" s="191"/>
      <c r="HQK24" s="191"/>
      <c r="HQU24" s="191"/>
      <c r="HRE24" s="191"/>
      <c r="HRO24" s="191"/>
      <c r="HRY24" s="191"/>
      <c r="HSI24" s="191"/>
      <c r="HSS24" s="191"/>
      <c r="HTC24" s="191"/>
      <c r="HTM24" s="191"/>
      <c r="HTW24" s="191"/>
      <c r="HUG24" s="191"/>
      <c r="HUQ24" s="191"/>
      <c r="HVA24" s="191"/>
      <c r="HVK24" s="191"/>
      <c r="HVU24" s="191"/>
      <c r="HWE24" s="191"/>
      <c r="HWO24" s="191"/>
      <c r="HWY24" s="191"/>
      <c r="HXI24" s="191"/>
      <c r="HXS24" s="191"/>
      <c r="HYC24" s="191"/>
      <c r="HYM24" s="191"/>
      <c r="HYW24" s="191"/>
      <c r="HZG24" s="191"/>
      <c r="HZQ24" s="191"/>
      <c r="IAA24" s="191"/>
      <c r="IAK24" s="191"/>
      <c r="IAU24" s="191"/>
      <c r="IBE24" s="191"/>
      <c r="IBO24" s="191"/>
      <c r="IBY24" s="191"/>
      <c r="ICI24" s="191"/>
      <c r="ICS24" s="191"/>
      <c r="IDC24" s="191"/>
      <c r="IDM24" s="191"/>
      <c r="IDW24" s="191"/>
      <c r="IEG24" s="191"/>
      <c r="IEQ24" s="191"/>
      <c r="IFA24" s="191"/>
      <c r="IFK24" s="191"/>
      <c r="IFU24" s="191"/>
      <c r="IGE24" s="191"/>
      <c r="IGO24" s="191"/>
      <c r="IGY24" s="191"/>
      <c r="IHI24" s="191"/>
      <c r="IHS24" s="191"/>
      <c r="IIC24" s="191"/>
      <c r="IIM24" s="191"/>
      <c r="IIW24" s="191"/>
      <c r="IJG24" s="191"/>
      <c r="IJQ24" s="191"/>
      <c r="IKA24" s="191"/>
      <c r="IKK24" s="191"/>
      <c r="IKU24" s="191"/>
      <c r="ILE24" s="191"/>
      <c r="ILO24" s="191"/>
      <c r="ILY24" s="191"/>
      <c r="IMI24" s="191"/>
      <c r="IMS24" s="191"/>
      <c r="INC24" s="191"/>
      <c r="INM24" s="191"/>
      <c r="INW24" s="191"/>
      <c r="IOG24" s="191"/>
      <c r="IOQ24" s="191"/>
      <c r="IPA24" s="191"/>
      <c r="IPK24" s="191"/>
      <c r="IPU24" s="191"/>
      <c r="IQE24" s="191"/>
      <c r="IQO24" s="191"/>
      <c r="IQY24" s="191"/>
      <c r="IRI24" s="191"/>
      <c r="IRS24" s="191"/>
      <c r="ISC24" s="191"/>
      <c r="ISM24" s="191"/>
      <c r="ISW24" s="191"/>
      <c r="ITG24" s="191"/>
      <c r="ITQ24" s="191"/>
      <c r="IUA24" s="191"/>
      <c r="IUK24" s="191"/>
      <c r="IUU24" s="191"/>
      <c r="IVE24" s="191"/>
      <c r="IVO24" s="191"/>
      <c r="IVY24" s="191"/>
      <c r="IWI24" s="191"/>
      <c r="IWS24" s="191"/>
      <c r="IXC24" s="191"/>
      <c r="IXM24" s="191"/>
      <c r="IXW24" s="191"/>
      <c r="IYG24" s="191"/>
      <c r="IYQ24" s="191"/>
      <c r="IZA24" s="191"/>
      <c r="IZK24" s="191"/>
      <c r="IZU24" s="191"/>
      <c r="JAE24" s="191"/>
      <c r="JAO24" s="191"/>
      <c r="JAY24" s="191"/>
      <c r="JBI24" s="191"/>
      <c r="JBS24" s="191"/>
      <c r="JCC24" s="191"/>
      <c r="JCM24" s="191"/>
      <c r="JCW24" s="191"/>
      <c r="JDG24" s="191"/>
      <c r="JDQ24" s="191"/>
      <c r="JEA24" s="191"/>
      <c r="JEK24" s="191"/>
      <c r="JEU24" s="191"/>
      <c r="JFE24" s="191"/>
      <c r="JFO24" s="191"/>
      <c r="JFY24" s="191"/>
      <c r="JGI24" s="191"/>
      <c r="JGS24" s="191"/>
      <c r="JHC24" s="191"/>
      <c r="JHM24" s="191"/>
      <c r="JHW24" s="191"/>
      <c r="JIG24" s="191"/>
      <c r="JIQ24" s="191"/>
      <c r="JJA24" s="191"/>
      <c r="JJK24" s="191"/>
      <c r="JJU24" s="191"/>
      <c r="JKE24" s="191"/>
      <c r="JKO24" s="191"/>
      <c r="JKY24" s="191"/>
      <c r="JLI24" s="191"/>
      <c r="JLS24" s="191"/>
      <c r="JMC24" s="191"/>
      <c r="JMM24" s="191"/>
      <c r="JMW24" s="191"/>
      <c r="JNG24" s="191"/>
      <c r="JNQ24" s="191"/>
      <c r="JOA24" s="191"/>
      <c r="JOK24" s="191"/>
      <c r="JOU24" s="191"/>
      <c r="JPE24" s="191"/>
      <c r="JPO24" s="191"/>
      <c r="JPY24" s="191"/>
      <c r="JQI24" s="191"/>
      <c r="JQS24" s="191"/>
      <c r="JRC24" s="191"/>
      <c r="JRM24" s="191"/>
      <c r="JRW24" s="191"/>
      <c r="JSG24" s="191"/>
      <c r="JSQ24" s="191"/>
      <c r="JTA24" s="191"/>
      <c r="JTK24" s="191"/>
      <c r="JTU24" s="191"/>
      <c r="JUE24" s="191"/>
      <c r="JUO24" s="191"/>
      <c r="JUY24" s="191"/>
      <c r="JVI24" s="191"/>
      <c r="JVS24" s="191"/>
      <c r="JWC24" s="191"/>
      <c r="JWM24" s="191"/>
      <c r="JWW24" s="191"/>
      <c r="JXG24" s="191"/>
      <c r="JXQ24" s="191"/>
      <c r="JYA24" s="191"/>
      <c r="JYK24" s="191"/>
      <c r="JYU24" s="191"/>
      <c r="JZE24" s="191"/>
      <c r="JZO24" s="191"/>
      <c r="JZY24" s="191"/>
      <c r="KAI24" s="191"/>
      <c r="KAS24" s="191"/>
      <c r="KBC24" s="191"/>
      <c r="KBM24" s="191"/>
      <c r="KBW24" s="191"/>
      <c r="KCG24" s="191"/>
      <c r="KCQ24" s="191"/>
      <c r="KDA24" s="191"/>
      <c r="KDK24" s="191"/>
      <c r="KDU24" s="191"/>
      <c r="KEE24" s="191"/>
      <c r="KEO24" s="191"/>
      <c r="KEY24" s="191"/>
      <c r="KFI24" s="191"/>
      <c r="KFS24" s="191"/>
      <c r="KGC24" s="191"/>
      <c r="KGM24" s="191"/>
      <c r="KGW24" s="191"/>
      <c r="KHG24" s="191"/>
      <c r="KHQ24" s="191"/>
      <c r="KIA24" s="191"/>
      <c r="KIK24" s="191"/>
      <c r="KIU24" s="191"/>
      <c r="KJE24" s="191"/>
      <c r="KJO24" s="191"/>
      <c r="KJY24" s="191"/>
      <c r="KKI24" s="191"/>
      <c r="KKS24" s="191"/>
      <c r="KLC24" s="191"/>
      <c r="KLM24" s="191"/>
      <c r="KLW24" s="191"/>
      <c r="KMG24" s="191"/>
      <c r="KMQ24" s="191"/>
      <c r="KNA24" s="191"/>
      <c r="KNK24" s="191"/>
      <c r="KNU24" s="191"/>
      <c r="KOE24" s="191"/>
      <c r="KOO24" s="191"/>
      <c r="KOY24" s="191"/>
      <c r="KPI24" s="191"/>
      <c r="KPS24" s="191"/>
      <c r="KQC24" s="191"/>
      <c r="KQM24" s="191"/>
      <c r="KQW24" s="191"/>
      <c r="KRG24" s="191"/>
      <c r="KRQ24" s="191"/>
      <c r="KSA24" s="191"/>
      <c r="KSK24" s="191"/>
      <c r="KSU24" s="191"/>
      <c r="KTE24" s="191"/>
      <c r="KTO24" s="191"/>
      <c r="KTY24" s="191"/>
      <c r="KUI24" s="191"/>
      <c r="KUS24" s="191"/>
      <c r="KVC24" s="191"/>
      <c r="KVM24" s="191"/>
      <c r="KVW24" s="191"/>
      <c r="KWG24" s="191"/>
      <c r="KWQ24" s="191"/>
      <c r="KXA24" s="191"/>
      <c r="KXK24" s="191"/>
      <c r="KXU24" s="191"/>
      <c r="KYE24" s="191"/>
      <c r="KYO24" s="191"/>
      <c r="KYY24" s="191"/>
      <c r="KZI24" s="191"/>
      <c r="KZS24" s="191"/>
      <c r="LAC24" s="191"/>
      <c r="LAM24" s="191"/>
      <c r="LAW24" s="191"/>
      <c r="LBG24" s="191"/>
      <c r="LBQ24" s="191"/>
      <c r="LCA24" s="191"/>
      <c r="LCK24" s="191"/>
      <c r="LCU24" s="191"/>
      <c r="LDE24" s="191"/>
      <c r="LDO24" s="191"/>
      <c r="LDY24" s="191"/>
      <c r="LEI24" s="191"/>
      <c r="LES24" s="191"/>
      <c r="LFC24" s="191"/>
      <c r="LFM24" s="191"/>
      <c r="LFW24" s="191"/>
      <c r="LGG24" s="191"/>
      <c r="LGQ24" s="191"/>
      <c r="LHA24" s="191"/>
      <c r="LHK24" s="191"/>
      <c r="LHU24" s="191"/>
      <c r="LIE24" s="191"/>
      <c r="LIO24" s="191"/>
      <c r="LIY24" s="191"/>
      <c r="LJI24" s="191"/>
      <c r="LJS24" s="191"/>
      <c r="LKC24" s="191"/>
      <c r="LKM24" s="191"/>
      <c r="LKW24" s="191"/>
      <c r="LLG24" s="191"/>
      <c r="LLQ24" s="191"/>
      <c r="LMA24" s="191"/>
      <c r="LMK24" s="191"/>
      <c r="LMU24" s="191"/>
      <c r="LNE24" s="191"/>
      <c r="LNO24" s="191"/>
      <c r="LNY24" s="191"/>
      <c r="LOI24" s="191"/>
      <c r="LOS24" s="191"/>
      <c r="LPC24" s="191"/>
      <c r="LPM24" s="191"/>
      <c r="LPW24" s="191"/>
      <c r="LQG24" s="191"/>
      <c r="LQQ24" s="191"/>
      <c r="LRA24" s="191"/>
      <c r="LRK24" s="191"/>
      <c r="LRU24" s="191"/>
      <c r="LSE24" s="191"/>
      <c r="LSO24" s="191"/>
      <c r="LSY24" s="191"/>
      <c r="LTI24" s="191"/>
      <c r="LTS24" s="191"/>
      <c r="LUC24" s="191"/>
      <c r="LUM24" s="191"/>
      <c r="LUW24" s="191"/>
      <c r="LVG24" s="191"/>
      <c r="LVQ24" s="191"/>
      <c r="LWA24" s="191"/>
      <c r="LWK24" s="191"/>
      <c r="LWU24" s="191"/>
      <c r="LXE24" s="191"/>
      <c r="LXO24" s="191"/>
      <c r="LXY24" s="191"/>
      <c r="LYI24" s="191"/>
      <c r="LYS24" s="191"/>
      <c r="LZC24" s="191"/>
      <c r="LZM24" s="191"/>
      <c r="LZW24" s="191"/>
      <c r="MAG24" s="191"/>
      <c r="MAQ24" s="191"/>
      <c r="MBA24" s="191"/>
      <c r="MBK24" s="191"/>
      <c r="MBU24" s="191"/>
      <c r="MCE24" s="191"/>
      <c r="MCO24" s="191"/>
      <c r="MCY24" s="191"/>
      <c r="MDI24" s="191"/>
      <c r="MDS24" s="191"/>
      <c r="MEC24" s="191"/>
      <c r="MEM24" s="191"/>
      <c r="MEW24" s="191"/>
      <c r="MFG24" s="191"/>
      <c r="MFQ24" s="191"/>
      <c r="MGA24" s="191"/>
      <c r="MGK24" s="191"/>
      <c r="MGU24" s="191"/>
      <c r="MHE24" s="191"/>
      <c r="MHO24" s="191"/>
      <c r="MHY24" s="191"/>
      <c r="MII24" s="191"/>
      <c r="MIS24" s="191"/>
      <c r="MJC24" s="191"/>
      <c r="MJM24" s="191"/>
      <c r="MJW24" s="191"/>
      <c r="MKG24" s="191"/>
      <c r="MKQ24" s="191"/>
      <c r="MLA24" s="191"/>
      <c r="MLK24" s="191"/>
      <c r="MLU24" s="191"/>
      <c r="MME24" s="191"/>
      <c r="MMO24" s="191"/>
      <c r="MMY24" s="191"/>
      <c r="MNI24" s="191"/>
      <c r="MNS24" s="191"/>
      <c r="MOC24" s="191"/>
      <c r="MOM24" s="191"/>
      <c r="MOW24" s="191"/>
      <c r="MPG24" s="191"/>
      <c r="MPQ24" s="191"/>
      <c r="MQA24" s="191"/>
      <c r="MQK24" s="191"/>
      <c r="MQU24" s="191"/>
      <c r="MRE24" s="191"/>
      <c r="MRO24" s="191"/>
      <c r="MRY24" s="191"/>
      <c r="MSI24" s="191"/>
      <c r="MSS24" s="191"/>
      <c r="MTC24" s="191"/>
      <c r="MTM24" s="191"/>
      <c r="MTW24" s="191"/>
      <c r="MUG24" s="191"/>
      <c r="MUQ24" s="191"/>
      <c r="MVA24" s="191"/>
      <c r="MVK24" s="191"/>
      <c r="MVU24" s="191"/>
      <c r="MWE24" s="191"/>
      <c r="MWO24" s="191"/>
      <c r="MWY24" s="191"/>
      <c r="MXI24" s="191"/>
      <c r="MXS24" s="191"/>
      <c r="MYC24" s="191"/>
      <c r="MYM24" s="191"/>
      <c r="MYW24" s="191"/>
      <c r="MZG24" s="191"/>
      <c r="MZQ24" s="191"/>
      <c r="NAA24" s="191"/>
      <c r="NAK24" s="191"/>
      <c r="NAU24" s="191"/>
      <c r="NBE24" s="191"/>
      <c r="NBO24" s="191"/>
      <c r="NBY24" s="191"/>
      <c r="NCI24" s="191"/>
      <c r="NCS24" s="191"/>
      <c r="NDC24" s="191"/>
      <c r="NDM24" s="191"/>
      <c r="NDW24" s="191"/>
      <c r="NEG24" s="191"/>
      <c r="NEQ24" s="191"/>
      <c r="NFA24" s="191"/>
      <c r="NFK24" s="191"/>
      <c r="NFU24" s="191"/>
      <c r="NGE24" s="191"/>
      <c r="NGO24" s="191"/>
      <c r="NGY24" s="191"/>
      <c r="NHI24" s="191"/>
      <c r="NHS24" s="191"/>
      <c r="NIC24" s="191"/>
      <c r="NIM24" s="191"/>
      <c r="NIW24" s="191"/>
      <c r="NJG24" s="191"/>
      <c r="NJQ24" s="191"/>
      <c r="NKA24" s="191"/>
      <c r="NKK24" s="191"/>
      <c r="NKU24" s="191"/>
      <c r="NLE24" s="191"/>
      <c r="NLO24" s="191"/>
      <c r="NLY24" s="191"/>
      <c r="NMI24" s="191"/>
      <c r="NMS24" s="191"/>
      <c r="NNC24" s="191"/>
      <c r="NNM24" s="191"/>
      <c r="NNW24" s="191"/>
      <c r="NOG24" s="191"/>
      <c r="NOQ24" s="191"/>
      <c r="NPA24" s="191"/>
      <c r="NPK24" s="191"/>
      <c r="NPU24" s="191"/>
      <c r="NQE24" s="191"/>
      <c r="NQO24" s="191"/>
      <c r="NQY24" s="191"/>
      <c r="NRI24" s="191"/>
      <c r="NRS24" s="191"/>
      <c r="NSC24" s="191"/>
      <c r="NSM24" s="191"/>
      <c r="NSW24" s="191"/>
      <c r="NTG24" s="191"/>
      <c r="NTQ24" s="191"/>
      <c r="NUA24" s="191"/>
      <c r="NUK24" s="191"/>
      <c r="NUU24" s="191"/>
      <c r="NVE24" s="191"/>
      <c r="NVO24" s="191"/>
      <c r="NVY24" s="191"/>
      <c r="NWI24" s="191"/>
      <c r="NWS24" s="191"/>
      <c r="NXC24" s="191"/>
      <c r="NXM24" s="191"/>
      <c r="NXW24" s="191"/>
      <c r="NYG24" s="191"/>
      <c r="NYQ24" s="191"/>
      <c r="NZA24" s="191"/>
      <c r="NZK24" s="191"/>
      <c r="NZU24" s="191"/>
      <c r="OAE24" s="191"/>
      <c r="OAO24" s="191"/>
      <c r="OAY24" s="191"/>
      <c r="OBI24" s="191"/>
      <c r="OBS24" s="191"/>
      <c r="OCC24" s="191"/>
      <c r="OCM24" s="191"/>
      <c r="OCW24" s="191"/>
      <c r="ODG24" s="191"/>
      <c r="ODQ24" s="191"/>
      <c r="OEA24" s="191"/>
      <c r="OEK24" s="191"/>
      <c r="OEU24" s="191"/>
      <c r="OFE24" s="191"/>
      <c r="OFO24" s="191"/>
      <c r="OFY24" s="191"/>
      <c r="OGI24" s="191"/>
      <c r="OGS24" s="191"/>
      <c r="OHC24" s="191"/>
      <c r="OHM24" s="191"/>
      <c r="OHW24" s="191"/>
      <c r="OIG24" s="191"/>
      <c r="OIQ24" s="191"/>
      <c r="OJA24" s="191"/>
      <c r="OJK24" s="191"/>
      <c r="OJU24" s="191"/>
      <c r="OKE24" s="191"/>
      <c r="OKO24" s="191"/>
      <c r="OKY24" s="191"/>
      <c r="OLI24" s="191"/>
      <c r="OLS24" s="191"/>
      <c r="OMC24" s="191"/>
      <c r="OMM24" s="191"/>
      <c r="OMW24" s="191"/>
      <c r="ONG24" s="191"/>
      <c r="ONQ24" s="191"/>
      <c r="OOA24" s="191"/>
      <c r="OOK24" s="191"/>
      <c r="OOU24" s="191"/>
      <c r="OPE24" s="191"/>
      <c r="OPO24" s="191"/>
      <c r="OPY24" s="191"/>
      <c r="OQI24" s="191"/>
      <c r="OQS24" s="191"/>
      <c r="ORC24" s="191"/>
      <c r="ORM24" s="191"/>
      <c r="ORW24" s="191"/>
      <c r="OSG24" s="191"/>
      <c r="OSQ24" s="191"/>
      <c r="OTA24" s="191"/>
      <c r="OTK24" s="191"/>
      <c r="OTU24" s="191"/>
      <c r="OUE24" s="191"/>
      <c r="OUO24" s="191"/>
      <c r="OUY24" s="191"/>
      <c r="OVI24" s="191"/>
      <c r="OVS24" s="191"/>
      <c r="OWC24" s="191"/>
      <c r="OWM24" s="191"/>
      <c r="OWW24" s="191"/>
      <c r="OXG24" s="191"/>
      <c r="OXQ24" s="191"/>
      <c r="OYA24" s="191"/>
      <c r="OYK24" s="191"/>
      <c r="OYU24" s="191"/>
      <c r="OZE24" s="191"/>
      <c r="OZO24" s="191"/>
      <c r="OZY24" s="191"/>
      <c r="PAI24" s="191"/>
      <c r="PAS24" s="191"/>
      <c r="PBC24" s="191"/>
      <c r="PBM24" s="191"/>
      <c r="PBW24" s="191"/>
      <c r="PCG24" s="191"/>
      <c r="PCQ24" s="191"/>
      <c r="PDA24" s="191"/>
      <c r="PDK24" s="191"/>
      <c r="PDU24" s="191"/>
      <c r="PEE24" s="191"/>
      <c r="PEO24" s="191"/>
      <c r="PEY24" s="191"/>
      <c r="PFI24" s="191"/>
      <c r="PFS24" s="191"/>
      <c r="PGC24" s="191"/>
      <c r="PGM24" s="191"/>
      <c r="PGW24" s="191"/>
      <c r="PHG24" s="191"/>
      <c r="PHQ24" s="191"/>
      <c r="PIA24" s="191"/>
      <c r="PIK24" s="191"/>
      <c r="PIU24" s="191"/>
      <c r="PJE24" s="191"/>
      <c r="PJO24" s="191"/>
      <c r="PJY24" s="191"/>
      <c r="PKI24" s="191"/>
      <c r="PKS24" s="191"/>
      <c r="PLC24" s="191"/>
      <c r="PLM24" s="191"/>
      <c r="PLW24" s="191"/>
      <c r="PMG24" s="191"/>
      <c r="PMQ24" s="191"/>
      <c r="PNA24" s="191"/>
      <c r="PNK24" s="191"/>
      <c r="PNU24" s="191"/>
      <c r="POE24" s="191"/>
      <c r="POO24" s="191"/>
      <c r="POY24" s="191"/>
      <c r="PPI24" s="191"/>
      <c r="PPS24" s="191"/>
      <c r="PQC24" s="191"/>
      <c r="PQM24" s="191"/>
      <c r="PQW24" s="191"/>
      <c r="PRG24" s="191"/>
      <c r="PRQ24" s="191"/>
      <c r="PSA24" s="191"/>
      <c r="PSK24" s="191"/>
      <c r="PSU24" s="191"/>
      <c r="PTE24" s="191"/>
      <c r="PTO24" s="191"/>
      <c r="PTY24" s="191"/>
      <c r="PUI24" s="191"/>
      <c r="PUS24" s="191"/>
      <c r="PVC24" s="191"/>
      <c r="PVM24" s="191"/>
      <c r="PVW24" s="191"/>
      <c r="PWG24" s="191"/>
      <c r="PWQ24" s="191"/>
      <c r="PXA24" s="191"/>
      <c r="PXK24" s="191"/>
      <c r="PXU24" s="191"/>
      <c r="PYE24" s="191"/>
      <c r="PYO24" s="191"/>
      <c r="PYY24" s="191"/>
      <c r="PZI24" s="191"/>
      <c r="PZS24" s="191"/>
      <c r="QAC24" s="191"/>
      <c r="QAM24" s="191"/>
      <c r="QAW24" s="191"/>
      <c r="QBG24" s="191"/>
      <c r="QBQ24" s="191"/>
      <c r="QCA24" s="191"/>
      <c r="QCK24" s="191"/>
      <c r="QCU24" s="191"/>
      <c r="QDE24" s="191"/>
      <c r="QDO24" s="191"/>
      <c r="QDY24" s="191"/>
      <c r="QEI24" s="191"/>
      <c r="QES24" s="191"/>
      <c r="QFC24" s="191"/>
      <c r="QFM24" s="191"/>
      <c r="QFW24" s="191"/>
      <c r="QGG24" s="191"/>
      <c r="QGQ24" s="191"/>
      <c r="QHA24" s="191"/>
      <c r="QHK24" s="191"/>
      <c r="QHU24" s="191"/>
      <c r="QIE24" s="191"/>
      <c r="QIO24" s="191"/>
      <c r="QIY24" s="191"/>
      <c r="QJI24" s="191"/>
      <c r="QJS24" s="191"/>
      <c r="QKC24" s="191"/>
      <c r="QKM24" s="191"/>
      <c r="QKW24" s="191"/>
      <c r="QLG24" s="191"/>
      <c r="QLQ24" s="191"/>
      <c r="QMA24" s="191"/>
      <c r="QMK24" s="191"/>
      <c r="QMU24" s="191"/>
      <c r="QNE24" s="191"/>
      <c r="QNO24" s="191"/>
      <c r="QNY24" s="191"/>
      <c r="QOI24" s="191"/>
      <c r="QOS24" s="191"/>
      <c r="QPC24" s="191"/>
      <c r="QPM24" s="191"/>
      <c r="QPW24" s="191"/>
      <c r="QQG24" s="191"/>
      <c r="QQQ24" s="191"/>
      <c r="QRA24" s="191"/>
      <c r="QRK24" s="191"/>
      <c r="QRU24" s="191"/>
      <c r="QSE24" s="191"/>
      <c r="QSO24" s="191"/>
      <c r="QSY24" s="191"/>
      <c r="QTI24" s="191"/>
      <c r="QTS24" s="191"/>
      <c r="QUC24" s="191"/>
      <c r="QUM24" s="191"/>
      <c r="QUW24" s="191"/>
      <c r="QVG24" s="191"/>
      <c r="QVQ24" s="191"/>
      <c r="QWA24" s="191"/>
      <c r="QWK24" s="191"/>
      <c r="QWU24" s="191"/>
      <c r="QXE24" s="191"/>
      <c r="QXO24" s="191"/>
      <c r="QXY24" s="191"/>
      <c r="QYI24" s="191"/>
      <c r="QYS24" s="191"/>
      <c r="QZC24" s="191"/>
      <c r="QZM24" s="191"/>
      <c r="QZW24" s="191"/>
      <c r="RAG24" s="191"/>
      <c r="RAQ24" s="191"/>
      <c r="RBA24" s="191"/>
      <c r="RBK24" s="191"/>
      <c r="RBU24" s="191"/>
      <c r="RCE24" s="191"/>
      <c r="RCO24" s="191"/>
      <c r="RCY24" s="191"/>
      <c r="RDI24" s="191"/>
      <c r="RDS24" s="191"/>
      <c r="REC24" s="191"/>
      <c r="REM24" s="191"/>
      <c r="REW24" s="191"/>
      <c r="RFG24" s="191"/>
      <c r="RFQ24" s="191"/>
      <c r="RGA24" s="191"/>
      <c r="RGK24" s="191"/>
      <c r="RGU24" s="191"/>
      <c r="RHE24" s="191"/>
      <c r="RHO24" s="191"/>
      <c r="RHY24" s="191"/>
      <c r="RII24" s="191"/>
      <c r="RIS24" s="191"/>
      <c r="RJC24" s="191"/>
      <c r="RJM24" s="191"/>
      <c r="RJW24" s="191"/>
      <c r="RKG24" s="191"/>
      <c r="RKQ24" s="191"/>
      <c r="RLA24" s="191"/>
      <c r="RLK24" s="191"/>
      <c r="RLU24" s="191"/>
      <c r="RME24" s="191"/>
      <c r="RMO24" s="191"/>
      <c r="RMY24" s="191"/>
      <c r="RNI24" s="191"/>
      <c r="RNS24" s="191"/>
      <c r="ROC24" s="191"/>
      <c r="ROM24" s="191"/>
      <c r="ROW24" s="191"/>
      <c r="RPG24" s="191"/>
      <c r="RPQ24" s="191"/>
      <c r="RQA24" s="191"/>
      <c r="RQK24" s="191"/>
      <c r="RQU24" s="191"/>
      <c r="RRE24" s="191"/>
      <c r="RRO24" s="191"/>
      <c r="RRY24" s="191"/>
      <c r="RSI24" s="191"/>
      <c r="RSS24" s="191"/>
      <c r="RTC24" s="191"/>
      <c r="RTM24" s="191"/>
      <c r="RTW24" s="191"/>
      <c r="RUG24" s="191"/>
      <c r="RUQ24" s="191"/>
      <c r="RVA24" s="191"/>
      <c r="RVK24" s="191"/>
      <c r="RVU24" s="191"/>
      <c r="RWE24" s="191"/>
      <c r="RWO24" s="191"/>
      <c r="RWY24" s="191"/>
      <c r="RXI24" s="191"/>
      <c r="RXS24" s="191"/>
      <c r="RYC24" s="191"/>
      <c r="RYM24" s="191"/>
      <c r="RYW24" s="191"/>
      <c r="RZG24" s="191"/>
      <c r="RZQ24" s="191"/>
      <c r="SAA24" s="191"/>
      <c r="SAK24" s="191"/>
      <c r="SAU24" s="191"/>
      <c r="SBE24" s="191"/>
      <c r="SBO24" s="191"/>
      <c r="SBY24" s="191"/>
      <c r="SCI24" s="191"/>
      <c r="SCS24" s="191"/>
      <c r="SDC24" s="191"/>
      <c r="SDM24" s="191"/>
      <c r="SDW24" s="191"/>
      <c r="SEG24" s="191"/>
      <c r="SEQ24" s="191"/>
      <c r="SFA24" s="191"/>
      <c r="SFK24" s="191"/>
      <c r="SFU24" s="191"/>
      <c r="SGE24" s="191"/>
      <c r="SGO24" s="191"/>
      <c r="SGY24" s="191"/>
      <c r="SHI24" s="191"/>
      <c r="SHS24" s="191"/>
      <c r="SIC24" s="191"/>
      <c r="SIM24" s="191"/>
      <c r="SIW24" s="191"/>
      <c r="SJG24" s="191"/>
      <c r="SJQ24" s="191"/>
      <c r="SKA24" s="191"/>
      <c r="SKK24" s="191"/>
      <c r="SKU24" s="191"/>
      <c r="SLE24" s="191"/>
      <c r="SLO24" s="191"/>
      <c r="SLY24" s="191"/>
      <c r="SMI24" s="191"/>
      <c r="SMS24" s="191"/>
      <c r="SNC24" s="191"/>
      <c r="SNM24" s="191"/>
      <c r="SNW24" s="191"/>
      <c r="SOG24" s="191"/>
      <c r="SOQ24" s="191"/>
      <c r="SPA24" s="191"/>
      <c r="SPK24" s="191"/>
      <c r="SPU24" s="191"/>
      <c r="SQE24" s="191"/>
      <c r="SQO24" s="191"/>
      <c r="SQY24" s="191"/>
      <c r="SRI24" s="191"/>
      <c r="SRS24" s="191"/>
      <c r="SSC24" s="191"/>
      <c r="SSM24" s="191"/>
      <c r="SSW24" s="191"/>
      <c r="STG24" s="191"/>
      <c r="STQ24" s="191"/>
      <c r="SUA24" s="191"/>
      <c r="SUK24" s="191"/>
      <c r="SUU24" s="191"/>
      <c r="SVE24" s="191"/>
      <c r="SVO24" s="191"/>
      <c r="SVY24" s="191"/>
      <c r="SWI24" s="191"/>
      <c r="SWS24" s="191"/>
      <c r="SXC24" s="191"/>
      <c r="SXM24" s="191"/>
      <c r="SXW24" s="191"/>
      <c r="SYG24" s="191"/>
      <c r="SYQ24" s="191"/>
      <c r="SZA24" s="191"/>
      <c r="SZK24" s="191"/>
      <c r="SZU24" s="191"/>
      <c r="TAE24" s="191"/>
      <c r="TAO24" s="191"/>
      <c r="TAY24" s="191"/>
      <c r="TBI24" s="191"/>
      <c r="TBS24" s="191"/>
      <c r="TCC24" s="191"/>
      <c r="TCM24" s="191"/>
      <c r="TCW24" s="191"/>
      <c r="TDG24" s="191"/>
      <c r="TDQ24" s="191"/>
      <c r="TEA24" s="191"/>
      <c r="TEK24" s="191"/>
      <c r="TEU24" s="191"/>
      <c r="TFE24" s="191"/>
      <c r="TFO24" s="191"/>
      <c r="TFY24" s="191"/>
      <c r="TGI24" s="191"/>
      <c r="TGS24" s="191"/>
      <c r="THC24" s="191"/>
      <c r="THM24" s="191"/>
      <c r="THW24" s="191"/>
      <c r="TIG24" s="191"/>
      <c r="TIQ24" s="191"/>
      <c r="TJA24" s="191"/>
      <c r="TJK24" s="191"/>
      <c r="TJU24" s="191"/>
      <c r="TKE24" s="191"/>
      <c r="TKO24" s="191"/>
      <c r="TKY24" s="191"/>
      <c r="TLI24" s="191"/>
      <c r="TLS24" s="191"/>
      <c r="TMC24" s="191"/>
      <c r="TMM24" s="191"/>
      <c r="TMW24" s="191"/>
      <c r="TNG24" s="191"/>
      <c r="TNQ24" s="191"/>
      <c r="TOA24" s="191"/>
      <c r="TOK24" s="191"/>
      <c r="TOU24" s="191"/>
      <c r="TPE24" s="191"/>
      <c r="TPO24" s="191"/>
      <c r="TPY24" s="191"/>
      <c r="TQI24" s="191"/>
      <c r="TQS24" s="191"/>
      <c r="TRC24" s="191"/>
      <c r="TRM24" s="191"/>
      <c r="TRW24" s="191"/>
      <c r="TSG24" s="191"/>
      <c r="TSQ24" s="191"/>
      <c r="TTA24" s="191"/>
      <c r="TTK24" s="191"/>
      <c r="TTU24" s="191"/>
      <c r="TUE24" s="191"/>
      <c r="TUO24" s="191"/>
      <c r="TUY24" s="191"/>
      <c r="TVI24" s="191"/>
      <c r="TVS24" s="191"/>
      <c r="TWC24" s="191"/>
      <c r="TWM24" s="191"/>
      <c r="TWW24" s="191"/>
      <c r="TXG24" s="191"/>
      <c r="TXQ24" s="191"/>
      <c r="TYA24" s="191"/>
      <c r="TYK24" s="191"/>
      <c r="TYU24" s="191"/>
      <c r="TZE24" s="191"/>
      <c r="TZO24" s="191"/>
      <c r="TZY24" s="191"/>
      <c r="UAI24" s="191"/>
      <c r="UAS24" s="191"/>
      <c r="UBC24" s="191"/>
      <c r="UBM24" s="191"/>
      <c r="UBW24" s="191"/>
      <c r="UCG24" s="191"/>
      <c r="UCQ24" s="191"/>
      <c r="UDA24" s="191"/>
      <c r="UDK24" s="191"/>
      <c r="UDU24" s="191"/>
      <c r="UEE24" s="191"/>
      <c r="UEO24" s="191"/>
      <c r="UEY24" s="191"/>
      <c r="UFI24" s="191"/>
      <c r="UFS24" s="191"/>
      <c r="UGC24" s="191"/>
      <c r="UGM24" s="191"/>
      <c r="UGW24" s="191"/>
      <c r="UHG24" s="191"/>
      <c r="UHQ24" s="191"/>
      <c r="UIA24" s="191"/>
      <c r="UIK24" s="191"/>
      <c r="UIU24" s="191"/>
      <c r="UJE24" s="191"/>
      <c r="UJO24" s="191"/>
      <c r="UJY24" s="191"/>
      <c r="UKI24" s="191"/>
      <c r="UKS24" s="191"/>
      <c r="ULC24" s="191"/>
      <c r="ULM24" s="191"/>
      <c r="ULW24" s="191"/>
      <c r="UMG24" s="191"/>
      <c r="UMQ24" s="191"/>
      <c r="UNA24" s="191"/>
      <c r="UNK24" s="191"/>
      <c r="UNU24" s="191"/>
      <c r="UOE24" s="191"/>
      <c r="UOO24" s="191"/>
      <c r="UOY24" s="191"/>
      <c r="UPI24" s="191"/>
      <c r="UPS24" s="191"/>
      <c r="UQC24" s="191"/>
      <c r="UQM24" s="191"/>
      <c r="UQW24" s="191"/>
      <c r="URG24" s="191"/>
      <c r="URQ24" s="191"/>
      <c r="USA24" s="191"/>
      <c r="USK24" s="191"/>
      <c r="USU24" s="191"/>
      <c r="UTE24" s="191"/>
      <c r="UTO24" s="191"/>
      <c r="UTY24" s="191"/>
      <c r="UUI24" s="191"/>
      <c r="UUS24" s="191"/>
      <c r="UVC24" s="191"/>
      <c r="UVM24" s="191"/>
      <c r="UVW24" s="191"/>
      <c r="UWG24" s="191"/>
      <c r="UWQ24" s="191"/>
      <c r="UXA24" s="191"/>
      <c r="UXK24" s="191"/>
      <c r="UXU24" s="191"/>
      <c r="UYE24" s="191"/>
      <c r="UYO24" s="191"/>
      <c r="UYY24" s="191"/>
      <c r="UZI24" s="191"/>
      <c r="UZS24" s="191"/>
      <c r="VAC24" s="191"/>
      <c r="VAM24" s="191"/>
      <c r="VAW24" s="191"/>
      <c r="VBG24" s="191"/>
      <c r="VBQ24" s="191"/>
      <c r="VCA24" s="191"/>
      <c r="VCK24" s="191"/>
      <c r="VCU24" s="191"/>
      <c r="VDE24" s="191"/>
      <c r="VDO24" s="191"/>
      <c r="VDY24" s="191"/>
      <c r="VEI24" s="191"/>
      <c r="VES24" s="191"/>
      <c r="VFC24" s="191"/>
      <c r="VFM24" s="191"/>
      <c r="VFW24" s="191"/>
      <c r="VGG24" s="191"/>
      <c r="VGQ24" s="191"/>
      <c r="VHA24" s="191"/>
      <c r="VHK24" s="191"/>
      <c r="VHU24" s="191"/>
      <c r="VIE24" s="191"/>
      <c r="VIO24" s="191"/>
      <c r="VIY24" s="191"/>
      <c r="VJI24" s="191"/>
      <c r="VJS24" s="191"/>
      <c r="VKC24" s="191"/>
      <c r="VKM24" s="191"/>
      <c r="VKW24" s="191"/>
      <c r="VLG24" s="191"/>
      <c r="VLQ24" s="191"/>
      <c r="VMA24" s="191"/>
      <c r="VMK24" s="191"/>
      <c r="VMU24" s="191"/>
      <c r="VNE24" s="191"/>
      <c r="VNO24" s="191"/>
      <c r="VNY24" s="191"/>
      <c r="VOI24" s="191"/>
      <c r="VOS24" s="191"/>
      <c r="VPC24" s="191"/>
      <c r="VPM24" s="191"/>
      <c r="VPW24" s="191"/>
      <c r="VQG24" s="191"/>
      <c r="VQQ24" s="191"/>
      <c r="VRA24" s="191"/>
      <c r="VRK24" s="191"/>
      <c r="VRU24" s="191"/>
      <c r="VSE24" s="191"/>
      <c r="VSO24" s="191"/>
      <c r="VSY24" s="191"/>
      <c r="VTI24" s="191"/>
      <c r="VTS24" s="191"/>
      <c r="VUC24" s="191"/>
      <c r="VUM24" s="191"/>
      <c r="VUW24" s="191"/>
      <c r="VVG24" s="191"/>
      <c r="VVQ24" s="191"/>
      <c r="VWA24" s="191"/>
      <c r="VWK24" s="191"/>
      <c r="VWU24" s="191"/>
      <c r="VXE24" s="191"/>
      <c r="VXO24" s="191"/>
      <c r="VXY24" s="191"/>
      <c r="VYI24" s="191"/>
      <c r="VYS24" s="191"/>
      <c r="VZC24" s="191"/>
      <c r="VZM24" s="191"/>
      <c r="VZW24" s="191"/>
      <c r="WAG24" s="191"/>
      <c r="WAQ24" s="191"/>
      <c r="WBA24" s="191"/>
      <c r="WBK24" s="191"/>
      <c r="WBU24" s="191"/>
      <c r="WCE24" s="191"/>
      <c r="WCO24" s="191"/>
      <c r="WCY24" s="191"/>
      <c r="WDI24" s="191"/>
      <c r="WDS24" s="191"/>
      <c r="WEC24" s="191"/>
      <c r="WEM24" s="191"/>
      <c r="WEW24" s="191"/>
      <c r="WFG24" s="191"/>
      <c r="WFQ24" s="191"/>
      <c r="WGA24" s="191"/>
      <c r="WGK24" s="191"/>
      <c r="WGU24" s="191"/>
      <c r="WHE24" s="191"/>
      <c r="WHO24" s="191"/>
      <c r="WHY24" s="191"/>
      <c r="WII24" s="191"/>
      <c r="WIS24" s="191"/>
      <c r="WJC24" s="191"/>
      <c r="WJM24" s="191"/>
      <c r="WJW24" s="191"/>
      <c r="WKG24" s="191"/>
      <c r="WKQ24" s="191"/>
      <c r="WLA24" s="191"/>
      <c r="WLK24" s="191"/>
      <c r="WLU24" s="191"/>
      <c r="WME24" s="191"/>
      <c r="WMO24" s="191"/>
      <c r="WMY24" s="191"/>
      <c r="WNI24" s="191"/>
      <c r="WNS24" s="191"/>
      <c r="WOC24" s="191"/>
      <c r="WOM24" s="191"/>
      <c r="WOW24" s="191"/>
      <c r="WPG24" s="191"/>
      <c r="WPQ24" s="191"/>
      <c r="WQA24" s="191"/>
      <c r="WQK24" s="191"/>
      <c r="WQU24" s="191"/>
      <c r="WRE24" s="191"/>
      <c r="WRO24" s="191"/>
      <c r="WRY24" s="191"/>
      <c r="WSI24" s="191"/>
      <c r="WSS24" s="191"/>
      <c r="WTC24" s="191"/>
      <c r="WTM24" s="191"/>
      <c r="WTW24" s="191"/>
      <c r="WUG24" s="191"/>
      <c r="WUQ24" s="191"/>
      <c r="WVA24" s="191"/>
      <c r="WVK24" s="191"/>
      <c r="WVU24" s="191"/>
      <c r="WWE24" s="191"/>
      <c r="WWO24" s="191"/>
      <c r="WWY24" s="191"/>
      <c r="WXI24" s="191"/>
      <c r="WXS24" s="191"/>
      <c r="WYC24" s="191"/>
      <c r="WYM24" s="191"/>
      <c r="WYW24" s="191"/>
      <c r="WZG24" s="191"/>
      <c r="WZQ24" s="191"/>
      <c r="XAA24" s="191"/>
      <c r="XAK24" s="191"/>
      <c r="XAU24" s="191"/>
      <c r="XBE24" s="191"/>
      <c r="XBO24" s="191"/>
      <c r="XBY24" s="191"/>
      <c r="XCI24" s="191"/>
      <c r="XCS24" s="191"/>
      <c r="XDC24" s="191"/>
      <c r="XDM24" s="191"/>
      <c r="XDW24" s="191"/>
      <c r="XEG24" s="191"/>
      <c r="XEQ24" s="191"/>
      <c r="XFA24" s="191"/>
    </row>
  </sheetData>
  <conditionalFormatting sqref="F1:J1">
    <cfRule type="cellIs" dxfId="36" priority="1" operator="lessThan">
      <formula>0</formula>
    </cfRule>
  </conditionalFormatting>
  <pageMargins left="0.7" right="0.7" top="0.75" bottom="0.75" header="0.3" footer="0.3"/>
  <pageSetup paperSize="9"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K191"/>
  <sheetViews>
    <sheetView zoomScale="85" zoomScaleNormal="85" workbookViewId="0">
      <pane xSplit="1" topLeftCell="B1" activePane="topRight" state="frozen"/>
      <selection/>
      <selection pane="topRight" activeCell="L2" sqref="L2"/>
    </sheetView>
  </sheetViews>
  <sheetFormatPr defaultColWidth="11" defaultRowHeight="15"/>
  <cols>
    <col min="1" max="1" width="6.5" style="447" customWidth="1"/>
    <col min="2" max="2" width="10.8" style="448"/>
    <col min="3" max="3" width="18.7" style="448" customWidth="1"/>
    <col min="4" max="4" width="19" customWidth="1"/>
    <col min="5" max="6" width="13.5" customWidth="1"/>
    <col min="7" max="7" width="13.2" customWidth="1"/>
    <col min="8" max="8" width="13.5" customWidth="1"/>
    <col min="9" max="9" width="13.3" customWidth="1"/>
    <col min="10" max="11" width="11" customWidth="1"/>
  </cols>
  <sheetData>
    <row r="1" ht="13.8" spans="1:11">
      <c r="A1" t="s">
        <v>190</v>
      </c>
      <c r="B1" t="s">
        <v>191</v>
      </c>
      <c r="C1" t="s">
        <v>192</v>
      </c>
      <c r="D1" t="s">
        <v>835</v>
      </c>
      <c r="E1" t="s">
        <v>836</v>
      </c>
      <c r="F1" t="s">
        <v>837</v>
      </c>
      <c r="G1" t="s">
        <v>838</v>
      </c>
      <c r="H1" t="s">
        <v>839</v>
      </c>
      <c r="I1" t="s">
        <v>840</v>
      </c>
      <c r="J1" t="s">
        <v>841</v>
      </c>
      <c r="K1" s="462" t="s">
        <v>842</v>
      </c>
    </row>
    <row r="2" ht="17.4" hidden="1" spans="1:11">
      <c r="A2" s="449">
        <v>1</v>
      </c>
      <c r="B2" s="450" t="s">
        <v>44</v>
      </c>
      <c r="C2" s="451">
        <v>50002845</v>
      </c>
      <c r="D2" s="452">
        <v>0</v>
      </c>
      <c r="E2" s="452">
        <v>0</v>
      </c>
      <c r="F2" s="453">
        <v>0</v>
      </c>
      <c r="G2" s="453"/>
      <c r="H2" s="454">
        <v>0</v>
      </c>
      <c r="I2" s="454">
        <v>5</v>
      </c>
      <c r="J2" s="454">
        <v>12</v>
      </c>
      <c r="K2" s="454">
        <v>31</v>
      </c>
    </row>
    <row r="3" ht="17.4" hidden="1" spans="1:11">
      <c r="A3" s="449">
        <v>2</v>
      </c>
      <c r="B3" s="450" t="s">
        <v>44</v>
      </c>
      <c r="C3" s="451">
        <v>50002862</v>
      </c>
      <c r="D3" s="452">
        <v>154</v>
      </c>
      <c r="E3" s="452">
        <v>193</v>
      </c>
      <c r="F3" s="453">
        <v>200</v>
      </c>
      <c r="G3" s="453"/>
      <c r="H3" s="454">
        <v>217</v>
      </c>
      <c r="I3" s="454">
        <v>252</v>
      </c>
      <c r="J3" s="454">
        <v>302</v>
      </c>
      <c r="K3" s="454">
        <v>342</v>
      </c>
    </row>
    <row r="4" ht="17.4" hidden="1" spans="1:11">
      <c r="A4" s="449">
        <v>3</v>
      </c>
      <c r="B4" s="450" t="s">
        <v>44</v>
      </c>
      <c r="C4" s="451">
        <v>50002872</v>
      </c>
      <c r="D4" s="452">
        <v>3330</v>
      </c>
      <c r="E4" s="452">
        <v>4152</v>
      </c>
      <c r="F4" s="453">
        <v>5885</v>
      </c>
      <c r="G4" s="453">
        <v>7147</v>
      </c>
      <c r="H4" s="454"/>
      <c r="I4" s="454">
        <v>8271</v>
      </c>
      <c r="J4" s="454">
        <v>8830</v>
      </c>
      <c r="K4" s="454">
        <v>9141</v>
      </c>
    </row>
    <row r="5" ht="17.4" hidden="1" spans="1:11">
      <c r="A5" s="449">
        <v>4</v>
      </c>
      <c r="B5" s="450" t="s">
        <v>44</v>
      </c>
      <c r="C5" s="451">
        <v>50002869</v>
      </c>
      <c r="D5" s="452">
        <v>1658.51</v>
      </c>
      <c r="E5" s="452">
        <v>2242</v>
      </c>
      <c r="F5" s="453">
        <v>3297.66</v>
      </c>
      <c r="G5" s="453">
        <v>4012</v>
      </c>
      <c r="H5" s="454"/>
      <c r="I5" s="454">
        <v>4542</v>
      </c>
      <c r="J5" s="454">
        <v>4855</v>
      </c>
      <c r="K5" s="454">
        <v>5037</v>
      </c>
    </row>
    <row r="6" ht="17.4" hidden="1" spans="1:11">
      <c r="A6" s="449">
        <v>5</v>
      </c>
      <c r="B6" s="450" t="s">
        <v>44</v>
      </c>
      <c r="C6" s="451">
        <v>50002879</v>
      </c>
      <c r="D6" s="452">
        <v>2500</v>
      </c>
      <c r="E6" s="452">
        <v>2698</v>
      </c>
      <c r="F6" s="453">
        <v>3033.57</v>
      </c>
      <c r="G6" s="453">
        <v>3287</v>
      </c>
      <c r="H6" s="454"/>
      <c r="I6" s="454">
        <v>3545</v>
      </c>
      <c r="J6" s="454">
        <v>3673</v>
      </c>
      <c r="K6" s="454">
        <v>3743</v>
      </c>
    </row>
    <row r="7" ht="17.4" hidden="1" spans="1:11">
      <c r="A7" s="449">
        <v>6</v>
      </c>
      <c r="B7" s="450" t="s">
        <v>44</v>
      </c>
      <c r="C7" s="451">
        <v>50002865</v>
      </c>
      <c r="D7" s="452">
        <v>4614</v>
      </c>
      <c r="E7" s="452">
        <v>5036</v>
      </c>
      <c r="F7" s="453">
        <v>6545.69</v>
      </c>
      <c r="G7" s="453">
        <v>7860</v>
      </c>
      <c r="H7" s="454"/>
      <c r="I7" s="454">
        <v>8639</v>
      </c>
      <c r="J7" s="454">
        <v>8918</v>
      </c>
      <c r="K7" s="454">
        <v>9246</v>
      </c>
    </row>
    <row r="8" ht="17.4" hidden="1" spans="1:11">
      <c r="A8" s="449">
        <v>7</v>
      </c>
      <c r="B8" s="450" t="s">
        <v>44</v>
      </c>
      <c r="C8" s="451">
        <v>50002887</v>
      </c>
      <c r="D8" s="452">
        <v>5556</v>
      </c>
      <c r="E8" s="452">
        <v>6178</v>
      </c>
      <c r="F8" s="453">
        <v>7086</v>
      </c>
      <c r="G8" s="453"/>
      <c r="H8" s="454">
        <v>7678</v>
      </c>
      <c r="I8" s="454">
        <v>8272</v>
      </c>
      <c r="J8" s="454">
        <v>8725</v>
      </c>
      <c r="K8" s="454">
        <v>8864</v>
      </c>
    </row>
    <row r="9" ht="17.4" hidden="1" spans="1:11">
      <c r="A9" s="449">
        <v>8</v>
      </c>
      <c r="B9" s="450" t="s">
        <v>44</v>
      </c>
      <c r="C9" s="451">
        <v>50002846</v>
      </c>
      <c r="D9" s="452">
        <v>17</v>
      </c>
      <c r="E9" s="452">
        <v>62</v>
      </c>
      <c r="F9" s="453">
        <v>1347</v>
      </c>
      <c r="G9" s="453">
        <v>2312</v>
      </c>
      <c r="H9" s="454"/>
      <c r="I9" s="454">
        <v>3006</v>
      </c>
      <c r="J9" s="454">
        <v>3404</v>
      </c>
      <c r="K9" s="454">
        <v>3589</v>
      </c>
    </row>
    <row r="10" ht="17.4" hidden="1" spans="1:11">
      <c r="A10" s="449">
        <v>9</v>
      </c>
      <c r="B10" s="450" t="s">
        <v>44</v>
      </c>
      <c r="C10" s="451">
        <v>50002885</v>
      </c>
      <c r="D10" s="452">
        <v>9455</v>
      </c>
      <c r="E10" s="452">
        <v>10505</v>
      </c>
      <c r="F10" s="453">
        <v>11763</v>
      </c>
      <c r="G10" s="453"/>
      <c r="H10" s="454">
        <v>12689</v>
      </c>
      <c r="I10" s="454">
        <v>13606</v>
      </c>
      <c r="J10" s="454">
        <v>14226</v>
      </c>
      <c r="K10" s="454">
        <v>14595</v>
      </c>
    </row>
    <row r="11" ht="17.4" hidden="1" spans="1:11">
      <c r="A11" s="449">
        <v>10</v>
      </c>
      <c r="B11" s="450" t="s">
        <v>44</v>
      </c>
      <c r="C11" s="451">
        <v>50002850</v>
      </c>
      <c r="D11" s="452">
        <v>2297</v>
      </c>
      <c r="E11" s="452">
        <v>2548</v>
      </c>
      <c r="F11" s="453">
        <v>3196.09</v>
      </c>
      <c r="G11" s="453">
        <v>3549</v>
      </c>
      <c r="H11" s="454"/>
      <c r="I11" s="454">
        <v>3930</v>
      </c>
      <c r="J11" s="454">
        <v>4324</v>
      </c>
      <c r="K11" s="454">
        <v>4514</v>
      </c>
    </row>
    <row r="12" ht="17.4" hidden="1" spans="1:11">
      <c r="A12" s="449">
        <v>11</v>
      </c>
      <c r="B12" s="450" t="s">
        <v>44</v>
      </c>
      <c r="C12" s="451">
        <v>50002848</v>
      </c>
      <c r="D12" s="452">
        <v>1025</v>
      </c>
      <c r="E12" s="452">
        <v>1059</v>
      </c>
      <c r="F12" s="453">
        <v>1104.64</v>
      </c>
      <c r="G12" s="453">
        <v>1138</v>
      </c>
      <c r="H12" s="454"/>
      <c r="I12" s="454">
        <v>1173</v>
      </c>
      <c r="J12" s="463">
        <v>1194</v>
      </c>
      <c r="K12" s="454">
        <v>1203</v>
      </c>
    </row>
    <row r="13" ht="17.4" hidden="1" spans="1:11">
      <c r="A13" s="449">
        <v>12</v>
      </c>
      <c r="B13" s="450" t="s">
        <v>44</v>
      </c>
      <c r="C13" s="451">
        <v>50002847</v>
      </c>
      <c r="D13" s="452">
        <v>0</v>
      </c>
      <c r="E13" s="452">
        <v>0</v>
      </c>
      <c r="F13" s="453">
        <v>0</v>
      </c>
      <c r="G13" s="453"/>
      <c r="H13" s="454">
        <v>0</v>
      </c>
      <c r="I13" s="454">
        <v>34</v>
      </c>
      <c r="J13" s="454">
        <v>42</v>
      </c>
      <c r="K13" s="454">
        <v>43</v>
      </c>
    </row>
    <row r="14" ht="17.4" hidden="1" spans="1:11">
      <c r="A14" s="449">
        <v>13</v>
      </c>
      <c r="B14" s="450" t="s">
        <v>44</v>
      </c>
      <c r="C14" s="451">
        <v>50002739</v>
      </c>
      <c r="D14" s="452">
        <v>3754</v>
      </c>
      <c r="E14" s="452">
        <v>4117</v>
      </c>
      <c r="F14" s="453">
        <v>4598.5</v>
      </c>
      <c r="G14" s="453">
        <v>4840</v>
      </c>
      <c r="H14" s="454"/>
      <c r="I14" s="454">
        <v>5168</v>
      </c>
      <c r="J14" s="454">
        <v>5392</v>
      </c>
      <c r="K14" s="454">
        <v>5504</v>
      </c>
    </row>
    <row r="15" ht="17.4" hidden="1" spans="1:11">
      <c r="A15" s="449">
        <v>14</v>
      </c>
      <c r="B15" s="450" t="s">
        <v>44</v>
      </c>
      <c r="C15" s="451">
        <v>50002709</v>
      </c>
      <c r="D15" s="452">
        <v>0</v>
      </c>
      <c r="E15" s="452">
        <v>2</v>
      </c>
      <c r="F15" s="453">
        <v>26</v>
      </c>
      <c r="G15" s="453"/>
      <c r="H15" s="454">
        <v>95</v>
      </c>
      <c r="I15" s="454">
        <v>213</v>
      </c>
      <c r="J15" s="454">
        <v>501</v>
      </c>
      <c r="K15" s="454">
        <v>667</v>
      </c>
    </row>
    <row r="16" ht="17.4" hidden="1" spans="1:11">
      <c r="A16" s="449">
        <v>15</v>
      </c>
      <c r="B16" s="450" t="s">
        <v>44</v>
      </c>
      <c r="C16" s="451">
        <v>50002714</v>
      </c>
      <c r="D16" s="452">
        <v>426</v>
      </c>
      <c r="E16" s="452">
        <v>570</v>
      </c>
      <c r="F16" s="453">
        <v>570</v>
      </c>
      <c r="G16" s="453"/>
      <c r="H16" s="454">
        <v>571</v>
      </c>
      <c r="I16" s="454">
        <v>571</v>
      </c>
      <c r="J16" s="454">
        <v>571</v>
      </c>
      <c r="K16" s="454">
        <v>571</v>
      </c>
    </row>
    <row r="17" ht="17.4" hidden="1" spans="1:11">
      <c r="A17" s="449">
        <v>16</v>
      </c>
      <c r="B17" s="450" t="s">
        <v>44</v>
      </c>
      <c r="C17" s="451">
        <v>50002855</v>
      </c>
      <c r="D17" s="452">
        <v>455</v>
      </c>
      <c r="E17" s="452">
        <v>907</v>
      </c>
      <c r="F17" s="453">
        <v>1537.61</v>
      </c>
      <c r="G17" s="453">
        <v>2060</v>
      </c>
      <c r="H17" s="454"/>
      <c r="I17" s="454">
        <v>2536</v>
      </c>
      <c r="J17" s="454">
        <v>2846</v>
      </c>
      <c r="K17" s="454">
        <v>3048</v>
      </c>
    </row>
    <row r="18" ht="17.4" hidden="1" spans="1:11">
      <c r="A18" s="449">
        <v>17</v>
      </c>
      <c r="B18" s="450" t="s">
        <v>44</v>
      </c>
      <c r="C18" s="451">
        <v>50002877</v>
      </c>
      <c r="D18" s="452">
        <v>11075</v>
      </c>
      <c r="E18" s="452">
        <v>12991</v>
      </c>
      <c r="F18" s="453">
        <v>16647.34</v>
      </c>
      <c r="G18" s="453">
        <v>18767</v>
      </c>
      <c r="H18" s="454"/>
      <c r="I18" s="454">
        <v>20977</v>
      </c>
      <c r="J18" s="454">
        <v>22060</v>
      </c>
      <c r="K18" s="454">
        <v>22723</v>
      </c>
    </row>
    <row r="19" ht="17.4" hidden="1" spans="1:11">
      <c r="A19" s="449">
        <v>18</v>
      </c>
      <c r="B19" s="450" t="s">
        <v>44</v>
      </c>
      <c r="C19" s="455"/>
      <c r="D19" s="452">
        <v>0</v>
      </c>
      <c r="E19" s="452">
        <v>0</v>
      </c>
      <c r="F19" s="453">
        <v>0</v>
      </c>
      <c r="G19" s="453"/>
      <c r="H19" s="454">
        <v>0</v>
      </c>
      <c r="I19" s="454">
        <v>0</v>
      </c>
      <c r="J19" s="454">
        <v>0</v>
      </c>
      <c r="K19" s="454"/>
    </row>
    <row r="20" ht="17.4" hidden="1" spans="1:11">
      <c r="A20" s="449">
        <v>19</v>
      </c>
      <c r="B20" s="450" t="s">
        <v>44</v>
      </c>
      <c r="C20" s="451">
        <v>50002864</v>
      </c>
      <c r="D20" s="452">
        <v>2270</v>
      </c>
      <c r="E20" s="452">
        <v>2483</v>
      </c>
      <c r="F20" s="453">
        <v>2819.8</v>
      </c>
      <c r="G20" s="453">
        <v>3000</v>
      </c>
      <c r="H20" s="454"/>
      <c r="I20" s="454">
        <v>3203</v>
      </c>
      <c r="J20" s="454">
        <v>3327</v>
      </c>
      <c r="K20" s="454">
        <v>3415</v>
      </c>
    </row>
    <row r="21" ht="17.4" hidden="1" spans="1:11">
      <c r="A21" s="449">
        <v>20</v>
      </c>
      <c r="B21" s="450" t="s">
        <v>44</v>
      </c>
      <c r="C21" s="451">
        <v>50002710</v>
      </c>
      <c r="D21" s="452">
        <v>2601</v>
      </c>
      <c r="E21" s="452">
        <v>2781</v>
      </c>
      <c r="F21" s="453">
        <v>3120.21</v>
      </c>
      <c r="G21" s="453">
        <v>3389</v>
      </c>
      <c r="H21" s="454"/>
      <c r="I21" s="454">
        <v>3644</v>
      </c>
      <c r="J21" s="454">
        <v>3772</v>
      </c>
      <c r="K21" s="454">
        <v>3852</v>
      </c>
    </row>
    <row r="22" ht="17.4" hidden="1" spans="1:11">
      <c r="A22" s="449">
        <v>21</v>
      </c>
      <c r="B22" s="450" t="s">
        <v>44</v>
      </c>
      <c r="C22" s="451">
        <v>50002719</v>
      </c>
      <c r="D22" s="452">
        <v>1225</v>
      </c>
      <c r="E22" s="452">
        <v>1316</v>
      </c>
      <c r="F22" s="453">
        <v>1471.61</v>
      </c>
      <c r="G22" s="453">
        <v>1590</v>
      </c>
      <c r="H22" s="454"/>
      <c r="I22" s="454">
        <v>1682</v>
      </c>
      <c r="J22" s="454">
        <v>1735</v>
      </c>
      <c r="K22" s="454">
        <v>1774</v>
      </c>
    </row>
    <row r="23" ht="17.4" hidden="1" spans="1:11">
      <c r="A23" s="449">
        <v>22</v>
      </c>
      <c r="B23" s="450" t="s">
        <v>44</v>
      </c>
      <c r="C23" s="451">
        <v>50002876</v>
      </c>
      <c r="D23" s="452">
        <v>4040</v>
      </c>
      <c r="E23" s="452">
        <v>4239</v>
      </c>
      <c r="F23" s="453">
        <v>4589.33</v>
      </c>
      <c r="G23" s="453">
        <v>4843</v>
      </c>
      <c r="H23" s="454"/>
      <c r="I23" s="454">
        <v>5052</v>
      </c>
      <c r="J23" s="454">
        <v>5169</v>
      </c>
      <c r="K23" s="454">
        <v>5246</v>
      </c>
    </row>
    <row r="24" ht="17.4" hidden="1" spans="1:11">
      <c r="A24" s="449">
        <v>23</v>
      </c>
      <c r="B24" s="450" t="s">
        <v>44</v>
      </c>
      <c r="C24" s="451">
        <v>50002860</v>
      </c>
      <c r="D24" s="452">
        <v>2297</v>
      </c>
      <c r="E24" s="452">
        <v>2429</v>
      </c>
      <c r="F24" s="453">
        <v>2786.87</v>
      </c>
      <c r="G24" s="453">
        <v>3041</v>
      </c>
      <c r="H24" s="454"/>
      <c r="I24" s="454">
        <v>3181</v>
      </c>
      <c r="J24" s="454">
        <v>3257</v>
      </c>
      <c r="K24" s="454">
        <v>3312</v>
      </c>
    </row>
    <row r="25" ht="17.4" hidden="1" spans="1:11">
      <c r="A25" s="449">
        <v>24</v>
      </c>
      <c r="B25" s="450" t="s">
        <v>44</v>
      </c>
      <c r="C25" s="451">
        <v>50002649</v>
      </c>
      <c r="D25" s="452">
        <v>0</v>
      </c>
      <c r="E25" s="452">
        <v>0</v>
      </c>
      <c r="F25" s="453">
        <v>0</v>
      </c>
      <c r="G25" s="453"/>
      <c r="H25" s="454">
        <v>18</v>
      </c>
      <c r="I25" s="454">
        <v>27</v>
      </c>
      <c r="J25" s="454">
        <v>38</v>
      </c>
      <c r="K25" s="454">
        <v>41</v>
      </c>
    </row>
    <row r="26" ht="18" hidden="1" spans="1:11">
      <c r="A26" s="456" t="s">
        <v>334</v>
      </c>
      <c r="B26" s="450" t="s">
        <v>44</v>
      </c>
      <c r="C26" s="451">
        <v>40002686</v>
      </c>
      <c r="D26" s="452">
        <v>2686.84</v>
      </c>
      <c r="E26" s="452">
        <v>14090.38</v>
      </c>
      <c r="F26" s="452">
        <v>32077.16</v>
      </c>
      <c r="G26" s="453">
        <v>44721</v>
      </c>
      <c r="H26" s="452"/>
      <c r="I26" s="452">
        <v>59297</v>
      </c>
      <c r="J26" s="454">
        <v>67826</v>
      </c>
      <c r="K26" s="454">
        <v>73298</v>
      </c>
    </row>
    <row r="27" ht="17.4" hidden="1" spans="1:11">
      <c r="A27" s="449" t="s">
        <v>336</v>
      </c>
      <c r="B27" s="450" t="s">
        <v>44</v>
      </c>
      <c r="C27" s="451">
        <v>40002693</v>
      </c>
      <c r="D27" s="452">
        <v>0</v>
      </c>
      <c r="E27" s="452">
        <v>209.39</v>
      </c>
      <c r="F27" s="453">
        <v>1646.88</v>
      </c>
      <c r="G27" s="453">
        <v>2831</v>
      </c>
      <c r="H27" s="454"/>
      <c r="I27" s="454">
        <v>4535</v>
      </c>
      <c r="J27" s="454">
        <v>6152</v>
      </c>
      <c r="K27" s="454">
        <v>7172</v>
      </c>
    </row>
    <row r="28" ht="17.4" hidden="1" spans="1:11">
      <c r="A28" s="449" t="s">
        <v>339</v>
      </c>
      <c r="B28" s="450" t="s">
        <v>44</v>
      </c>
      <c r="C28" s="451">
        <v>50002858</v>
      </c>
      <c r="D28" s="452">
        <v>2819.46</v>
      </c>
      <c r="E28" s="452">
        <v>3565.94</v>
      </c>
      <c r="F28" s="453">
        <v>4127.37</v>
      </c>
      <c r="G28" s="453">
        <v>4326</v>
      </c>
      <c r="H28" s="454"/>
      <c r="I28" s="454">
        <v>4913</v>
      </c>
      <c r="J28" s="454">
        <v>5343</v>
      </c>
      <c r="K28" s="454">
        <v>5527</v>
      </c>
    </row>
    <row r="29" ht="18" hidden="1" spans="1:11">
      <c r="A29" s="457" t="s">
        <v>341</v>
      </c>
      <c r="B29" s="450" t="s">
        <v>44</v>
      </c>
      <c r="C29" s="451">
        <v>40002852</v>
      </c>
      <c r="D29" s="452"/>
      <c r="E29" s="452"/>
      <c r="F29" s="453"/>
      <c r="G29" s="453"/>
      <c r="H29" s="458"/>
      <c r="I29" s="458">
        <v>157</v>
      </c>
      <c r="J29" s="454">
        <v>166</v>
      </c>
      <c r="K29" s="454">
        <v>171</v>
      </c>
    </row>
    <row r="30" ht="18" hidden="1" spans="1:11">
      <c r="A30" s="459" t="s">
        <v>342</v>
      </c>
      <c r="B30" s="450" t="s">
        <v>44</v>
      </c>
      <c r="C30" s="451">
        <v>40002693</v>
      </c>
      <c r="D30" s="452"/>
      <c r="E30" s="452"/>
      <c r="F30" s="453"/>
      <c r="G30" s="453"/>
      <c r="H30" s="458"/>
      <c r="I30" s="458">
        <v>232</v>
      </c>
      <c r="J30" s="454">
        <v>251</v>
      </c>
      <c r="K30" s="454">
        <v>262</v>
      </c>
    </row>
    <row r="31" ht="17.4" hidden="1" spans="1:11">
      <c r="A31" s="449">
        <v>1</v>
      </c>
      <c r="B31" s="450" t="s">
        <v>48</v>
      </c>
      <c r="C31" s="460">
        <v>50003409</v>
      </c>
      <c r="D31" s="452">
        <v>4530</v>
      </c>
      <c r="E31" s="452">
        <v>4701</v>
      </c>
      <c r="F31" s="452">
        <v>5443.32</v>
      </c>
      <c r="G31" s="452"/>
      <c r="H31" s="458">
        <v>5990.04</v>
      </c>
      <c r="I31" s="458">
        <v>6200</v>
      </c>
      <c r="J31" s="458">
        <v>6302</v>
      </c>
      <c r="K31" s="454">
        <v>6361</v>
      </c>
    </row>
    <row r="32" ht="17.4" hidden="1" spans="1:11">
      <c r="A32" s="449">
        <v>2</v>
      </c>
      <c r="B32" s="450" t="s">
        <v>48</v>
      </c>
      <c r="C32" s="460">
        <v>50003436</v>
      </c>
      <c r="D32" s="452">
        <v>1679</v>
      </c>
      <c r="E32" s="452">
        <v>2331</v>
      </c>
      <c r="F32" s="452">
        <v>3416.3</v>
      </c>
      <c r="G32" s="452"/>
      <c r="H32" s="458">
        <v>3923.86</v>
      </c>
      <c r="I32" s="458">
        <v>4133</v>
      </c>
      <c r="J32" s="458">
        <v>4305</v>
      </c>
      <c r="K32" s="458">
        <v>4403</v>
      </c>
    </row>
    <row r="33" ht="17.4" hidden="1" spans="1:11">
      <c r="A33" s="449">
        <v>3</v>
      </c>
      <c r="B33" s="450" t="s">
        <v>48</v>
      </c>
      <c r="C33" s="460">
        <v>50004064</v>
      </c>
      <c r="D33" s="452">
        <v>594</v>
      </c>
      <c r="E33" s="452">
        <v>1137</v>
      </c>
      <c r="F33" s="452">
        <v>1765.3</v>
      </c>
      <c r="G33" s="452"/>
      <c r="H33" s="458">
        <v>2232.7</v>
      </c>
      <c r="I33" s="458">
        <v>2521</v>
      </c>
      <c r="J33" s="458">
        <v>2701</v>
      </c>
      <c r="K33" s="458">
        <v>2809</v>
      </c>
    </row>
    <row r="34" ht="17.4" hidden="1" spans="1:11">
      <c r="A34" s="449">
        <v>4</v>
      </c>
      <c r="B34" s="450" t="s">
        <v>48</v>
      </c>
      <c r="C34" s="460">
        <v>50003414</v>
      </c>
      <c r="D34" s="452">
        <v>102</v>
      </c>
      <c r="E34" s="452">
        <v>114</v>
      </c>
      <c r="F34" s="452">
        <v>126</v>
      </c>
      <c r="G34" s="452"/>
      <c r="H34" s="458">
        <v>156</v>
      </c>
      <c r="I34" s="458">
        <v>188</v>
      </c>
      <c r="J34" s="458">
        <v>268</v>
      </c>
      <c r="K34" s="458">
        <v>330</v>
      </c>
    </row>
    <row r="35" ht="17.4" hidden="1" spans="1:11">
      <c r="A35" s="449">
        <v>5</v>
      </c>
      <c r="B35" s="450" t="s">
        <v>48</v>
      </c>
      <c r="C35" s="460">
        <v>50003389</v>
      </c>
      <c r="D35" s="452">
        <v>10220</v>
      </c>
      <c r="E35" s="452">
        <v>10700</v>
      </c>
      <c r="F35" s="452">
        <v>11494.07</v>
      </c>
      <c r="G35" s="452"/>
      <c r="H35" s="458">
        <v>12012.6</v>
      </c>
      <c r="I35" s="458">
        <v>12384</v>
      </c>
      <c r="J35" s="458">
        <v>12657</v>
      </c>
      <c r="K35" s="458">
        <v>12840</v>
      </c>
    </row>
    <row r="36" ht="17.4" hidden="1" spans="1:11">
      <c r="A36" s="449">
        <v>6</v>
      </c>
      <c r="B36" s="450" t="s">
        <v>48</v>
      </c>
      <c r="C36" s="460">
        <v>50002969</v>
      </c>
      <c r="D36" s="452">
        <v>3937</v>
      </c>
      <c r="E36" s="452">
        <v>4341</v>
      </c>
      <c r="F36" s="452">
        <v>5453.28</v>
      </c>
      <c r="G36" s="452"/>
      <c r="H36" s="458">
        <v>6621.05</v>
      </c>
      <c r="I36" s="458">
        <v>7108</v>
      </c>
      <c r="J36" s="458">
        <v>7388</v>
      </c>
      <c r="K36" s="458">
        <v>7527</v>
      </c>
    </row>
    <row r="37" ht="17.4" hidden="1" spans="1:11">
      <c r="A37" s="449">
        <v>7</v>
      </c>
      <c r="B37" s="450" t="s">
        <v>48</v>
      </c>
      <c r="C37" s="460">
        <v>50002951</v>
      </c>
      <c r="D37" s="452">
        <v>6063</v>
      </c>
      <c r="E37" s="452">
        <v>6514</v>
      </c>
      <c r="F37" s="452">
        <v>7105.58</v>
      </c>
      <c r="G37" s="452"/>
      <c r="H37" s="458">
        <v>8010.78</v>
      </c>
      <c r="I37" s="458">
        <v>8532</v>
      </c>
      <c r="J37" s="458">
        <v>8816</v>
      </c>
      <c r="K37" s="458">
        <v>8960</v>
      </c>
    </row>
    <row r="38" ht="17.4" hidden="1" spans="1:11">
      <c r="A38" s="449">
        <v>8</v>
      </c>
      <c r="B38" s="450" t="s">
        <v>48</v>
      </c>
      <c r="C38" s="460">
        <v>50002959</v>
      </c>
      <c r="D38" s="452">
        <v>2378</v>
      </c>
      <c r="E38" s="452">
        <v>3049</v>
      </c>
      <c r="F38" s="452">
        <v>3644.67</v>
      </c>
      <c r="G38" s="452"/>
      <c r="H38" s="458">
        <v>4022.29</v>
      </c>
      <c r="I38" s="458">
        <v>4410</v>
      </c>
      <c r="J38" s="458">
        <v>4764</v>
      </c>
      <c r="K38" s="458">
        <v>5114</v>
      </c>
    </row>
    <row r="39" ht="17.4" hidden="1" spans="1:11">
      <c r="A39" s="449">
        <v>9</v>
      </c>
      <c r="B39" s="450" t="s">
        <v>48</v>
      </c>
      <c r="C39" s="455"/>
      <c r="D39" s="452">
        <v>0</v>
      </c>
      <c r="E39" s="452">
        <v>0</v>
      </c>
      <c r="F39" s="452">
        <v>0</v>
      </c>
      <c r="G39" s="452"/>
      <c r="H39" s="458"/>
      <c r="I39" s="458"/>
      <c r="J39" s="458"/>
      <c r="K39" s="458"/>
    </row>
    <row r="40" ht="17.4" hidden="1" spans="1:11">
      <c r="A40" s="449">
        <v>10</v>
      </c>
      <c r="B40" s="450" t="s">
        <v>48</v>
      </c>
      <c r="C40" s="460">
        <v>50003420</v>
      </c>
      <c r="D40" s="452">
        <v>4776</v>
      </c>
      <c r="E40" s="452">
        <v>5124</v>
      </c>
      <c r="F40" s="452">
        <v>5898.31</v>
      </c>
      <c r="G40" s="452"/>
      <c r="H40" s="458">
        <v>6484.91</v>
      </c>
      <c r="I40" s="458">
        <v>6876</v>
      </c>
      <c r="J40" s="458">
        <v>7104</v>
      </c>
      <c r="K40" s="458">
        <v>7203</v>
      </c>
    </row>
    <row r="41" ht="17.4" hidden="1" spans="1:11">
      <c r="A41" s="449">
        <v>11</v>
      </c>
      <c r="B41" s="450" t="s">
        <v>48</v>
      </c>
      <c r="C41" s="461">
        <v>50003410</v>
      </c>
      <c r="D41" s="452">
        <v>14777</v>
      </c>
      <c r="E41" s="452">
        <v>15333</v>
      </c>
      <c r="F41" s="452">
        <v>17203.61</v>
      </c>
      <c r="G41" s="452"/>
      <c r="H41" s="458">
        <v>19213.57</v>
      </c>
      <c r="I41" s="458">
        <v>20006</v>
      </c>
      <c r="J41" s="458">
        <v>20313</v>
      </c>
      <c r="K41" s="458">
        <v>20514</v>
      </c>
    </row>
    <row r="42" ht="17.4" hidden="1" spans="1:11">
      <c r="A42" s="449">
        <v>12</v>
      </c>
      <c r="B42" s="450" t="s">
        <v>48</v>
      </c>
      <c r="C42" s="460">
        <v>50003418</v>
      </c>
      <c r="D42" s="452">
        <v>4054</v>
      </c>
      <c r="E42" s="452">
        <v>4380</v>
      </c>
      <c r="F42" s="452">
        <v>4732.36</v>
      </c>
      <c r="G42" s="452"/>
      <c r="H42" s="458">
        <v>5001.61</v>
      </c>
      <c r="I42" s="458">
        <v>5260</v>
      </c>
      <c r="J42" s="458">
        <v>5448</v>
      </c>
      <c r="K42" s="458">
        <v>5560</v>
      </c>
    </row>
    <row r="43" ht="17.4" hidden="1" spans="1:11">
      <c r="A43" s="449">
        <v>13</v>
      </c>
      <c r="B43" s="450" t="s">
        <v>48</v>
      </c>
      <c r="C43" s="460">
        <v>50002859</v>
      </c>
      <c r="D43" s="452">
        <v>7149</v>
      </c>
      <c r="E43" s="452">
        <v>7632</v>
      </c>
      <c r="F43" s="452">
        <v>8977</v>
      </c>
      <c r="G43" s="452"/>
      <c r="H43" s="458">
        <v>10306.98</v>
      </c>
      <c r="I43" s="458">
        <v>10946</v>
      </c>
      <c r="J43" s="458">
        <v>11250</v>
      </c>
      <c r="K43" s="458">
        <v>11518</v>
      </c>
    </row>
    <row r="44" ht="17.4" hidden="1" spans="1:11">
      <c r="A44" s="449">
        <v>14</v>
      </c>
      <c r="B44" s="450" t="s">
        <v>48</v>
      </c>
      <c r="C44" s="460">
        <v>50003396</v>
      </c>
      <c r="D44" s="452">
        <v>183</v>
      </c>
      <c r="E44" s="452">
        <v>1359</v>
      </c>
      <c r="F44" s="452">
        <v>3065.4</v>
      </c>
      <c r="G44" s="452"/>
      <c r="H44" s="458">
        <v>4143.62</v>
      </c>
      <c r="I44" s="458">
        <v>4820</v>
      </c>
      <c r="J44" s="458">
        <v>5206</v>
      </c>
      <c r="K44" s="458">
        <v>5473</v>
      </c>
    </row>
    <row r="45" ht="17.4" hidden="1" spans="1:11">
      <c r="A45" s="449">
        <v>15</v>
      </c>
      <c r="B45" s="450" t="s">
        <v>48</v>
      </c>
      <c r="C45" s="460">
        <v>50003401</v>
      </c>
      <c r="D45" s="452">
        <v>3807</v>
      </c>
      <c r="E45" s="452">
        <v>4051</v>
      </c>
      <c r="F45" s="452">
        <v>4461.85</v>
      </c>
      <c r="G45" s="452"/>
      <c r="H45" s="458">
        <v>4721.91</v>
      </c>
      <c r="I45" s="458">
        <v>4892</v>
      </c>
      <c r="J45" s="458">
        <v>5040</v>
      </c>
      <c r="K45" s="458">
        <v>5128</v>
      </c>
    </row>
    <row r="46" ht="17.4" hidden="1" spans="1:11">
      <c r="A46" s="449">
        <v>16</v>
      </c>
      <c r="B46" s="450" t="s">
        <v>48</v>
      </c>
      <c r="C46" s="460">
        <v>50003430</v>
      </c>
      <c r="D46" s="452">
        <v>5421</v>
      </c>
      <c r="E46" s="452">
        <v>5869</v>
      </c>
      <c r="F46" s="452">
        <v>6394.51</v>
      </c>
      <c r="G46" s="452"/>
      <c r="H46" s="458">
        <v>6882.04</v>
      </c>
      <c r="I46" s="458">
        <v>7246</v>
      </c>
      <c r="J46" s="458">
        <v>7493</v>
      </c>
      <c r="K46" s="458">
        <v>7636</v>
      </c>
    </row>
    <row r="47" ht="17.4" hidden="1" spans="1:11">
      <c r="A47" s="449">
        <v>17</v>
      </c>
      <c r="B47" s="450" t="s">
        <v>48</v>
      </c>
      <c r="C47" s="460">
        <v>50003415</v>
      </c>
      <c r="D47" s="452">
        <v>4584</v>
      </c>
      <c r="E47" s="452">
        <v>4804</v>
      </c>
      <c r="F47" s="452">
        <v>5098</v>
      </c>
      <c r="G47" s="452"/>
      <c r="H47" s="458">
        <v>5177</v>
      </c>
      <c r="I47" s="458">
        <v>5345</v>
      </c>
      <c r="J47" s="458">
        <v>5548</v>
      </c>
      <c r="K47" s="458">
        <v>5629</v>
      </c>
    </row>
    <row r="48" ht="17.4" hidden="1" spans="1:11">
      <c r="A48" s="449">
        <v>18</v>
      </c>
      <c r="B48" s="450" t="s">
        <v>48</v>
      </c>
      <c r="C48" s="460">
        <v>50002895</v>
      </c>
      <c r="D48" s="452">
        <v>2598</v>
      </c>
      <c r="E48" s="452">
        <v>4059</v>
      </c>
      <c r="F48" s="452">
        <v>5447</v>
      </c>
      <c r="G48" s="452"/>
      <c r="H48" s="458">
        <v>6402</v>
      </c>
      <c r="I48" s="458">
        <v>7710</v>
      </c>
      <c r="J48" s="458">
        <v>8339</v>
      </c>
      <c r="K48" s="458">
        <v>8574</v>
      </c>
    </row>
    <row r="49" ht="17.4" hidden="1" spans="1:11">
      <c r="A49" s="449">
        <v>19</v>
      </c>
      <c r="B49" s="450" t="s">
        <v>48</v>
      </c>
      <c r="C49" s="460">
        <v>50003432</v>
      </c>
      <c r="D49" s="452">
        <v>2943</v>
      </c>
      <c r="E49" s="452">
        <v>3111</v>
      </c>
      <c r="F49" s="452">
        <v>3336.82</v>
      </c>
      <c r="G49" s="452"/>
      <c r="H49" s="458">
        <v>3477.55</v>
      </c>
      <c r="I49" s="458">
        <v>3621</v>
      </c>
      <c r="J49" s="458">
        <v>3734</v>
      </c>
      <c r="K49" s="458">
        <v>3797</v>
      </c>
    </row>
    <row r="50" ht="17.4" hidden="1" spans="1:11">
      <c r="A50" s="449">
        <v>20</v>
      </c>
      <c r="B50" s="450" t="s">
        <v>48</v>
      </c>
      <c r="C50" s="460">
        <v>50002972</v>
      </c>
      <c r="D50" s="452">
        <v>7692</v>
      </c>
      <c r="E50" s="452">
        <v>8257</v>
      </c>
      <c r="F50" s="452">
        <v>9309.98</v>
      </c>
      <c r="G50" s="452"/>
      <c r="H50" s="458">
        <v>10030.08</v>
      </c>
      <c r="I50" s="458">
        <v>10535</v>
      </c>
      <c r="J50" s="458">
        <v>10841</v>
      </c>
      <c r="K50" s="458">
        <v>11032</v>
      </c>
    </row>
    <row r="51" ht="17.4" hidden="1" spans="1:11">
      <c r="A51" s="449">
        <v>21</v>
      </c>
      <c r="B51" s="450" t="s">
        <v>48</v>
      </c>
      <c r="C51" s="460">
        <v>50002650</v>
      </c>
      <c r="D51" s="452">
        <v>8532</v>
      </c>
      <c r="E51" s="452">
        <v>9362</v>
      </c>
      <c r="F51" s="452">
        <v>10850.49</v>
      </c>
      <c r="G51" s="452"/>
      <c r="H51" s="458">
        <v>11951.93</v>
      </c>
      <c r="I51" s="458">
        <v>12589</v>
      </c>
      <c r="J51" s="458">
        <v>13063</v>
      </c>
      <c r="K51" s="458">
        <v>13391</v>
      </c>
    </row>
    <row r="52" ht="18" hidden="1" spans="1:11">
      <c r="A52" s="456" t="s">
        <v>334</v>
      </c>
      <c r="B52" s="450" t="s">
        <v>48</v>
      </c>
      <c r="C52" s="460">
        <v>40002670</v>
      </c>
      <c r="D52" s="452">
        <v>2994.53</v>
      </c>
      <c r="E52" s="452">
        <v>16774.87</v>
      </c>
      <c r="F52" s="452">
        <v>36287.57</v>
      </c>
      <c r="G52" s="452"/>
      <c r="H52" s="458">
        <v>53456</v>
      </c>
      <c r="I52" s="458">
        <v>65774</v>
      </c>
      <c r="J52" s="458">
        <v>73412</v>
      </c>
      <c r="K52" s="458">
        <v>78445</v>
      </c>
    </row>
    <row r="53" ht="17.4" hidden="1" spans="1:11">
      <c r="A53" s="449" t="s">
        <v>336</v>
      </c>
      <c r="B53" s="450" t="s">
        <v>48</v>
      </c>
      <c r="C53" s="460">
        <v>40002667</v>
      </c>
      <c r="D53" s="452">
        <v>0</v>
      </c>
      <c r="E53" s="452">
        <v>573.98</v>
      </c>
      <c r="F53" s="452">
        <v>2192.17</v>
      </c>
      <c r="G53" s="452"/>
      <c r="H53" s="458">
        <v>2917.32</v>
      </c>
      <c r="I53" s="458">
        <v>4038</v>
      </c>
      <c r="J53" s="458">
        <v>4645</v>
      </c>
      <c r="K53" s="458">
        <v>5054</v>
      </c>
    </row>
    <row r="54" ht="17.4" hidden="1" spans="1:11">
      <c r="A54" s="449" t="s">
        <v>339</v>
      </c>
      <c r="B54" s="450" t="s">
        <v>48</v>
      </c>
      <c r="C54" s="460">
        <v>50003399</v>
      </c>
      <c r="D54" s="452">
        <v>2962.64</v>
      </c>
      <c r="E54" s="452">
        <v>4507</v>
      </c>
      <c r="F54" s="452">
        <v>5116.63</v>
      </c>
      <c r="G54" s="452"/>
      <c r="H54" s="458">
        <v>5851.25</v>
      </c>
      <c r="I54" s="458">
        <v>7136</v>
      </c>
      <c r="J54" s="458">
        <v>8127</v>
      </c>
      <c r="K54" s="458">
        <v>8705</v>
      </c>
    </row>
    <row r="55" ht="18" hidden="1" spans="1:11">
      <c r="A55" s="457" t="s">
        <v>341</v>
      </c>
      <c r="B55" s="450" t="s">
        <v>48</v>
      </c>
      <c r="C55" s="460"/>
      <c r="D55" s="452"/>
      <c r="E55" s="452"/>
      <c r="F55" s="452"/>
      <c r="G55" s="452"/>
      <c r="H55" s="458"/>
      <c r="I55" s="458">
        <v>129</v>
      </c>
      <c r="J55" s="464">
        <v>129</v>
      </c>
      <c r="K55" s="464">
        <v>129</v>
      </c>
    </row>
    <row r="56" ht="18" hidden="1" spans="1:11">
      <c r="A56" s="459" t="s">
        <v>342</v>
      </c>
      <c r="B56" s="450" t="s">
        <v>48</v>
      </c>
      <c r="C56" s="460"/>
      <c r="D56" s="452"/>
      <c r="E56" s="452"/>
      <c r="F56" s="452"/>
      <c r="G56" s="452"/>
      <c r="H56" s="458"/>
      <c r="I56" s="458">
        <v>204</v>
      </c>
      <c r="J56" s="464">
        <v>204</v>
      </c>
      <c r="K56" s="464">
        <v>204</v>
      </c>
    </row>
    <row r="57" ht="17.4" spans="1:11">
      <c r="A57" s="449">
        <v>1</v>
      </c>
      <c r="B57" s="450" t="s">
        <v>52</v>
      </c>
      <c r="C57" s="460">
        <v>50003397</v>
      </c>
      <c r="D57" s="452">
        <v>6177</v>
      </c>
      <c r="E57" s="452">
        <v>6575</v>
      </c>
      <c r="F57" s="452">
        <v>7272.25</v>
      </c>
      <c r="G57" s="452"/>
      <c r="H57" s="458">
        <v>7838.17</v>
      </c>
      <c r="I57" s="458">
        <v>8252</v>
      </c>
      <c r="J57" s="458">
        <v>8549</v>
      </c>
      <c r="K57" s="458">
        <v>8745</v>
      </c>
    </row>
    <row r="58" ht="17.4" spans="1:11">
      <c r="A58" s="449">
        <v>2</v>
      </c>
      <c r="B58" s="450" t="s">
        <v>52</v>
      </c>
      <c r="C58" s="460">
        <v>50003402</v>
      </c>
      <c r="D58" s="452">
        <v>2694</v>
      </c>
      <c r="E58" s="452">
        <v>2919</v>
      </c>
      <c r="F58" s="452">
        <v>3307.24</v>
      </c>
      <c r="G58" s="452"/>
      <c r="H58" s="458">
        <v>3594.1</v>
      </c>
      <c r="I58" s="458">
        <v>3795</v>
      </c>
      <c r="J58" s="458">
        <v>3940</v>
      </c>
      <c r="K58" s="458">
        <v>4028</v>
      </c>
    </row>
    <row r="59" ht="17.4" spans="1:11">
      <c r="A59" s="449">
        <v>3</v>
      </c>
      <c r="B59" s="450" t="s">
        <v>52</v>
      </c>
      <c r="C59" s="460">
        <v>50003431</v>
      </c>
      <c r="D59" s="452">
        <v>1847</v>
      </c>
      <c r="E59" s="452">
        <v>2157</v>
      </c>
      <c r="F59" s="452">
        <v>2635.52</v>
      </c>
      <c r="G59" s="452"/>
      <c r="H59" s="458">
        <v>2961.07</v>
      </c>
      <c r="I59" s="458">
        <v>3227</v>
      </c>
      <c r="J59" s="458">
        <v>3414</v>
      </c>
      <c r="K59" s="458">
        <v>3513</v>
      </c>
    </row>
    <row r="60" ht="17.4" spans="1:11">
      <c r="A60" s="449">
        <v>4</v>
      </c>
      <c r="B60" s="450" t="s">
        <v>52</v>
      </c>
      <c r="C60" s="460">
        <v>50003394</v>
      </c>
      <c r="D60" s="452">
        <v>1137</v>
      </c>
      <c r="E60" s="452">
        <v>1399</v>
      </c>
      <c r="F60" s="452">
        <v>1985.58</v>
      </c>
      <c r="G60" s="452"/>
      <c r="H60" s="458">
        <v>2578.83</v>
      </c>
      <c r="I60" s="458">
        <v>2811</v>
      </c>
      <c r="J60" s="458">
        <v>2944</v>
      </c>
      <c r="K60" s="458">
        <v>3033</v>
      </c>
    </row>
    <row r="61" ht="17.4" spans="1:11">
      <c r="A61" s="449">
        <v>5</v>
      </c>
      <c r="B61" s="450" t="s">
        <v>52</v>
      </c>
      <c r="C61" s="460">
        <v>50003433</v>
      </c>
      <c r="D61" s="452">
        <v>3232</v>
      </c>
      <c r="E61" s="452">
        <v>4074</v>
      </c>
      <c r="F61" s="452">
        <v>4889.35</v>
      </c>
      <c r="G61" s="452"/>
      <c r="H61" s="458">
        <v>5089.98</v>
      </c>
      <c r="I61" s="458">
        <v>6084</v>
      </c>
      <c r="J61" s="458">
        <v>6727</v>
      </c>
      <c r="K61" s="458">
        <v>6998</v>
      </c>
    </row>
    <row r="62" ht="17.4" spans="1:11">
      <c r="A62" s="449">
        <v>6</v>
      </c>
      <c r="B62" s="449" t="s">
        <v>52</v>
      </c>
      <c r="C62" s="460">
        <v>50003421</v>
      </c>
      <c r="D62" s="452">
        <v>3268</v>
      </c>
      <c r="E62" s="452">
        <v>3601</v>
      </c>
      <c r="F62" s="452">
        <v>4367.83</v>
      </c>
      <c r="G62" s="452"/>
      <c r="H62" s="458">
        <v>5046.41</v>
      </c>
      <c r="I62" s="458">
        <v>5469</v>
      </c>
      <c r="J62" s="458">
        <v>5726</v>
      </c>
      <c r="K62" s="458">
        <v>5889</v>
      </c>
    </row>
    <row r="63" ht="17.4" spans="1:11">
      <c r="A63" s="449">
        <v>7</v>
      </c>
      <c r="B63" s="449" t="s">
        <v>52</v>
      </c>
      <c r="C63" s="460">
        <v>50002953</v>
      </c>
      <c r="D63" s="452">
        <v>119</v>
      </c>
      <c r="E63" s="452">
        <v>134</v>
      </c>
      <c r="F63" s="452">
        <v>144</v>
      </c>
      <c r="G63" s="452"/>
      <c r="H63" s="458">
        <v>160</v>
      </c>
      <c r="I63" s="458">
        <v>164</v>
      </c>
      <c r="J63" s="458">
        <v>164</v>
      </c>
      <c r="K63" s="458">
        <v>166</v>
      </c>
    </row>
    <row r="64" ht="17.4" spans="1:11">
      <c r="A64" s="449">
        <v>8</v>
      </c>
      <c r="B64" s="449" t="s">
        <v>52</v>
      </c>
      <c r="C64" s="460">
        <v>50003395</v>
      </c>
      <c r="D64" s="452">
        <v>9469</v>
      </c>
      <c r="E64" s="452">
        <v>9976</v>
      </c>
      <c r="F64" s="452">
        <v>10886</v>
      </c>
      <c r="G64" s="452"/>
      <c r="H64" s="458">
        <v>11948.49</v>
      </c>
      <c r="I64" s="458">
        <v>12726</v>
      </c>
      <c r="J64" s="458">
        <v>13095</v>
      </c>
      <c r="K64" s="458">
        <v>13279</v>
      </c>
    </row>
    <row r="65" ht="17.4" spans="1:11">
      <c r="A65" s="449">
        <v>9</v>
      </c>
      <c r="B65" s="449" t="s">
        <v>52</v>
      </c>
      <c r="C65" s="460">
        <v>50003435</v>
      </c>
      <c r="D65" s="452">
        <v>0</v>
      </c>
      <c r="E65" s="452"/>
      <c r="F65" s="452">
        <v>0</v>
      </c>
      <c r="G65" s="452"/>
      <c r="H65" s="458">
        <v>5</v>
      </c>
      <c r="I65" s="458">
        <v>76</v>
      </c>
      <c r="J65" s="458">
        <v>135</v>
      </c>
      <c r="K65" s="458">
        <v>158</v>
      </c>
    </row>
    <row r="66" ht="17.4" spans="1:11">
      <c r="A66" s="449">
        <v>10</v>
      </c>
      <c r="B66" s="449" t="s">
        <v>52</v>
      </c>
      <c r="C66" s="460">
        <v>50002952</v>
      </c>
      <c r="D66" s="452">
        <v>5326</v>
      </c>
      <c r="E66" s="452">
        <v>5685</v>
      </c>
      <c r="F66" s="452">
        <v>6174.26</v>
      </c>
      <c r="G66" s="452"/>
      <c r="H66" s="458">
        <v>6481.42</v>
      </c>
      <c r="I66" s="458">
        <v>6735</v>
      </c>
      <c r="J66" s="458">
        <v>6900</v>
      </c>
      <c r="K66" s="458">
        <v>6989</v>
      </c>
    </row>
    <row r="67" ht="17.4" spans="1:11">
      <c r="A67" s="449">
        <v>11</v>
      </c>
      <c r="B67" s="449" t="s">
        <v>52</v>
      </c>
      <c r="C67" s="460">
        <v>50002944</v>
      </c>
      <c r="D67" s="452">
        <v>0</v>
      </c>
      <c r="E67" s="452">
        <v>0</v>
      </c>
      <c r="F67" s="452">
        <v>7</v>
      </c>
      <c r="G67" s="452"/>
      <c r="H67" s="458">
        <v>24</v>
      </c>
      <c r="I67" s="458">
        <v>36</v>
      </c>
      <c r="J67" s="458">
        <v>149</v>
      </c>
      <c r="K67" s="458">
        <v>149</v>
      </c>
    </row>
    <row r="68" ht="17.4" spans="1:11">
      <c r="A68" s="449">
        <v>12</v>
      </c>
      <c r="B68" s="449" t="s">
        <v>52</v>
      </c>
      <c r="C68" s="460">
        <v>3308026898</v>
      </c>
      <c r="D68" s="452">
        <v>5</v>
      </c>
      <c r="E68" s="452">
        <v>145</v>
      </c>
      <c r="F68" s="452">
        <v>644</v>
      </c>
      <c r="G68" s="452"/>
      <c r="H68" s="458">
        <v>1411.81</v>
      </c>
      <c r="I68" s="458">
        <v>1704.76</v>
      </c>
      <c r="J68" s="458">
        <v>1835.49</v>
      </c>
      <c r="K68" s="458">
        <v>1900.16</v>
      </c>
    </row>
    <row r="69" ht="17.4" spans="1:11">
      <c r="A69" s="449">
        <v>13</v>
      </c>
      <c r="B69" s="449" t="s">
        <v>52</v>
      </c>
      <c r="C69" s="460">
        <v>50003424</v>
      </c>
      <c r="D69" s="452">
        <v>4602</v>
      </c>
      <c r="E69" s="452">
        <v>4723</v>
      </c>
      <c r="F69" s="452">
        <v>5053.76</v>
      </c>
      <c r="G69" s="452"/>
      <c r="H69" s="458">
        <v>5542.59</v>
      </c>
      <c r="I69" s="458">
        <v>6030</v>
      </c>
      <c r="J69" s="458">
        <v>6168</v>
      </c>
      <c r="K69" s="458">
        <v>6221</v>
      </c>
    </row>
    <row r="70" ht="17.4" spans="1:11">
      <c r="A70" s="449">
        <v>14</v>
      </c>
      <c r="B70" s="449" t="s">
        <v>52</v>
      </c>
      <c r="C70" s="460">
        <v>50003438</v>
      </c>
      <c r="D70" s="452">
        <v>10279</v>
      </c>
      <c r="E70" s="452">
        <v>10681</v>
      </c>
      <c r="F70" s="452">
        <v>11670.13</v>
      </c>
      <c r="G70" s="452"/>
      <c r="H70" s="458">
        <v>12371.82</v>
      </c>
      <c r="I70" s="458">
        <v>12736</v>
      </c>
      <c r="J70" s="458">
        <v>13010</v>
      </c>
      <c r="K70" s="458">
        <v>13164</v>
      </c>
    </row>
    <row r="71" ht="17.4" spans="1:11">
      <c r="A71" s="449">
        <v>15</v>
      </c>
      <c r="B71" s="449" t="s">
        <v>52</v>
      </c>
      <c r="C71" s="460">
        <v>50003404</v>
      </c>
      <c r="D71" s="452">
        <v>4850</v>
      </c>
      <c r="E71" s="452">
        <v>5295</v>
      </c>
      <c r="F71" s="452">
        <v>5967.28</v>
      </c>
      <c r="G71" s="452"/>
      <c r="H71" s="458">
        <v>6566.27</v>
      </c>
      <c r="I71" s="458">
        <v>7111</v>
      </c>
      <c r="J71" s="458">
        <v>7404</v>
      </c>
      <c r="K71" s="458">
        <v>7561</v>
      </c>
    </row>
    <row r="72" ht="17.4" spans="1:11">
      <c r="A72" s="449">
        <v>16</v>
      </c>
      <c r="B72" s="449" t="s">
        <v>52</v>
      </c>
      <c r="C72" s="460">
        <v>50003419</v>
      </c>
      <c r="D72" s="452">
        <v>4762</v>
      </c>
      <c r="E72" s="452">
        <v>5338</v>
      </c>
      <c r="F72" s="452">
        <v>6243.76</v>
      </c>
      <c r="G72" s="452"/>
      <c r="H72" s="458">
        <v>6963.45</v>
      </c>
      <c r="I72" s="458">
        <v>7360</v>
      </c>
      <c r="J72" s="458">
        <v>7627</v>
      </c>
      <c r="K72" s="458">
        <v>7763</v>
      </c>
    </row>
    <row r="73" ht="17.4" spans="1:11">
      <c r="A73" s="449">
        <v>17</v>
      </c>
      <c r="B73" s="449" t="s">
        <v>52</v>
      </c>
      <c r="C73" s="460">
        <v>50003428</v>
      </c>
      <c r="D73" s="452">
        <v>6</v>
      </c>
      <c r="E73" s="452">
        <v>14</v>
      </c>
      <c r="F73" s="452">
        <v>48</v>
      </c>
      <c r="G73" s="452"/>
      <c r="H73" s="458">
        <v>195</v>
      </c>
      <c r="I73" s="458">
        <v>227</v>
      </c>
      <c r="J73" s="458">
        <v>279</v>
      </c>
      <c r="K73" s="458">
        <v>586</v>
      </c>
    </row>
    <row r="74" ht="17.4" spans="1:11">
      <c r="A74" s="449">
        <v>18</v>
      </c>
      <c r="B74" s="449" t="s">
        <v>52</v>
      </c>
      <c r="C74" s="460">
        <v>50002935</v>
      </c>
      <c r="D74" s="452">
        <v>0</v>
      </c>
      <c r="E74" s="452"/>
      <c r="F74" s="452">
        <v>881.37</v>
      </c>
      <c r="G74" s="452"/>
      <c r="H74" s="458">
        <v>2710.92</v>
      </c>
      <c r="I74" s="458">
        <v>4379</v>
      </c>
      <c r="J74" s="458">
        <v>5697</v>
      </c>
      <c r="K74" s="458">
        <v>6007</v>
      </c>
    </row>
    <row r="75" ht="17.4" spans="1:11">
      <c r="A75" s="449">
        <v>19</v>
      </c>
      <c r="B75" s="449" t="s">
        <v>52</v>
      </c>
      <c r="C75" s="460">
        <v>50003417</v>
      </c>
      <c r="D75" s="452">
        <v>6873</v>
      </c>
      <c r="E75" s="452">
        <v>7464</v>
      </c>
      <c r="F75" s="452">
        <v>8646.84</v>
      </c>
      <c r="G75" s="452"/>
      <c r="H75" s="458">
        <v>9744.86</v>
      </c>
      <c r="I75" s="458">
        <v>10411</v>
      </c>
      <c r="J75" s="458">
        <v>10756</v>
      </c>
      <c r="K75" s="458">
        <v>10951</v>
      </c>
    </row>
    <row r="76" ht="17.4" spans="1:11">
      <c r="A76" s="449" t="s">
        <v>334</v>
      </c>
      <c r="B76" s="449" t="s">
        <v>52</v>
      </c>
      <c r="C76" s="460">
        <v>40002722</v>
      </c>
      <c r="D76" s="452">
        <v>1886.05</v>
      </c>
      <c r="E76" s="452">
        <v>11537.28</v>
      </c>
      <c r="F76" s="452">
        <v>24413.85</v>
      </c>
      <c r="G76" s="452"/>
      <c r="H76" s="458">
        <v>36340.52</v>
      </c>
      <c r="I76" s="458">
        <v>42252</v>
      </c>
      <c r="J76" s="458">
        <v>47738</v>
      </c>
      <c r="K76" s="458">
        <v>50626</v>
      </c>
    </row>
    <row r="77" ht="17.4" spans="1:11">
      <c r="A77" s="449" t="s">
        <v>336</v>
      </c>
      <c r="B77" s="449" t="s">
        <v>52</v>
      </c>
      <c r="C77" s="460">
        <v>40002728</v>
      </c>
      <c r="D77" s="452">
        <v>0</v>
      </c>
      <c r="E77" s="452">
        <v>0</v>
      </c>
      <c r="F77" s="452">
        <v>0</v>
      </c>
      <c r="G77" s="452"/>
      <c r="H77" s="458">
        <v>0</v>
      </c>
      <c r="I77" s="471">
        <v>7349</v>
      </c>
      <c r="J77" s="458">
        <v>9137</v>
      </c>
      <c r="K77" s="458">
        <v>10363</v>
      </c>
    </row>
    <row r="78" ht="17.4" spans="1:11">
      <c r="A78" s="449" t="s">
        <v>339</v>
      </c>
      <c r="B78" s="449" t="s">
        <v>52</v>
      </c>
      <c r="C78" s="460">
        <v>50003429</v>
      </c>
      <c r="D78" s="452">
        <v>1885.1</v>
      </c>
      <c r="E78" s="452">
        <v>2434.68</v>
      </c>
      <c r="F78" s="452">
        <v>2817.94</v>
      </c>
      <c r="G78" s="452"/>
      <c r="H78" s="458">
        <v>3213.91</v>
      </c>
      <c r="I78" s="458">
        <v>3640</v>
      </c>
      <c r="J78" s="458">
        <v>4070</v>
      </c>
      <c r="K78" s="458">
        <v>4295</v>
      </c>
    </row>
    <row r="79" ht="17.4" spans="1:11">
      <c r="A79" s="449" t="s">
        <v>341</v>
      </c>
      <c r="B79" s="449" t="s">
        <v>52</v>
      </c>
      <c r="C79" s="460">
        <v>50003406</v>
      </c>
      <c r="D79" s="452"/>
      <c r="E79" s="452"/>
      <c r="F79" s="452"/>
      <c r="G79" s="452"/>
      <c r="H79" s="458"/>
      <c r="I79" s="458">
        <v>149</v>
      </c>
      <c r="J79" s="458">
        <v>162</v>
      </c>
      <c r="K79" s="458">
        <v>168</v>
      </c>
    </row>
    <row r="80" ht="17.4" spans="1:11">
      <c r="A80" s="449" t="s">
        <v>342</v>
      </c>
      <c r="B80" s="449" t="s">
        <v>52</v>
      </c>
      <c r="C80" s="460">
        <v>50003408</v>
      </c>
      <c r="D80" s="452"/>
      <c r="E80" s="452"/>
      <c r="F80" s="452"/>
      <c r="G80" s="452"/>
      <c r="H80" s="458"/>
      <c r="I80" s="458">
        <v>128</v>
      </c>
      <c r="J80" s="458">
        <v>143</v>
      </c>
      <c r="K80" s="458">
        <v>151</v>
      </c>
    </row>
    <row r="81" ht="17.4" hidden="1" spans="1:11">
      <c r="A81" s="449">
        <v>1</v>
      </c>
      <c r="B81" s="450" t="s">
        <v>54</v>
      </c>
      <c r="C81" s="460">
        <v>50002920</v>
      </c>
      <c r="D81" s="452"/>
      <c r="E81" s="452">
        <v>0</v>
      </c>
      <c r="F81" s="452"/>
      <c r="G81" s="452">
        <v>7</v>
      </c>
      <c r="H81" s="458"/>
      <c r="I81" s="458">
        <v>17</v>
      </c>
      <c r="J81" s="458"/>
      <c r="K81" s="458">
        <v>42</v>
      </c>
    </row>
    <row r="82" ht="17.4" hidden="1" spans="1:11">
      <c r="A82" s="449">
        <v>2</v>
      </c>
      <c r="B82" s="450" t="s">
        <v>54</v>
      </c>
      <c r="C82" s="460">
        <v>50002903</v>
      </c>
      <c r="D82" s="452"/>
      <c r="E82" s="452">
        <v>3112</v>
      </c>
      <c r="F82" s="452"/>
      <c r="G82" s="452">
        <v>3903</v>
      </c>
      <c r="H82" s="458"/>
      <c r="I82" s="458">
        <v>4264</v>
      </c>
      <c r="J82" s="458">
        <v>4504</v>
      </c>
      <c r="K82" s="458">
        <v>4655</v>
      </c>
    </row>
    <row r="83" ht="17.4" hidden="1" spans="1:11">
      <c r="A83" s="449">
        <v>3</v>
      </c>
      <c r="B83" s="450" t="s">
        <v>54</v>
      </c>
      <c r="C83" s="460"/>
      <c r="D83" s="452"/>
      <c r="E83" s="452">
        <v>0</v>
      </c>
      <c r="F83" s="452"/>
      <c r="G83" s="452">
        <v>0</v>
      </c>
      <c r="H83" s="458"/>
      <c r="I83" s="458"/>
      <c r="J83" s="458"/>
      <c r="K83" s="458"/>
    </row>
    <row r="84" ht="17.4" hidden="1" spans="1:11">
      <c r="A84" s="449">
        <v>4</v>
      </c>
      <c r="B84" s="450" t="s">
        <v>54</v>
      </c>
      <c r="C84" s="460"/>
      <c r="D84" s="452"/>
      <c r="E84" s="452">
        <v>0</v>
      </c>
      <c r="F84" s="452"/>
      <c r="G84" s="452">
        <v>0</v>
      </c>
      <c r="H84" s="458"/>
      <c r="I84" s="458"/>
      <c r="J84" s="458"/>
      <c r="K84" s="458"/>
    </row>
    <row r="85" ht="17.4" hidden="1" spans="1:11">
      <c r="A85" s="449">
        <v>5</v>
      </c>
      <c r="B85" s="450" t="s">
        <v>54</v>
      </c>
      <c r="C85" s="460">
        <v>50002911</v>
      </c>
      <c r="D85" s="452"/>
      <c r="E85" s="452">
        <v>3539</v>
      </c>
      <c r="F85" s="452"/>
      <c r="G85" s="452">
        <v>6860</v>
      </c>
      <c r="H85" s="458"/>
      <c r="I85" s="458">
        <v>7368</v>
      </c>
      <c r="J85" s="458">
        <v>7592</v>
      </c>
      <c r="K85" s="458">
        <v>7728</v>
      </c>
    </row>
    <row r="86" ht="17.4" hidden="1" spans="1:11">
      <c r="A86" s="449">
        <v>6</v>
      </c>
      <c r="B86" s="450" t="s">
        <v>54</v>
      </c>
      <c r="C86" s="460"/>
      <c r="D86" s="452"/>
      <c r="E86" s="452">
        <v>0</v>
      </c>
      <c r="F86" s="452"/>
      <c r="G86" s="452">
        <v>0</v>
      </c>
      <c r="H86" s="458"/>
      <c r="I86" s="458"/>
      <c r="J86" s="458"/>
      <c r="K86" s="458"/>
    </row>
    <row r="87" ht="17.4" hidden="1" spans="1:11">
      <c r="A87" s="449">
        <v>7</v>
      </c>
      <c r="B87" s="450" t="s">
        <v>54</v>
      </c>
      <c r="C87" s="460"/>
      <c r="D87" s="452"/>
      <c r="E87" s="452">
        <v>0</v>
      </c>
      <c r="F87" s="452"/>
      <c r="G87" s="452">
        <v>0</v>
      </c>
      <c r="H87" s="458"/>
      <c r="I87" s="458"/>
      <c r="J87" s="458"/>
      <c r="K87" s="458">
        <v>0</v>
      </c>
    </row>
    <row r="88" ht="17.4" hidden="1" spans="1:11">
      <c r="A88" s="449">
        <v>8</v>
      </c>
      <c r="B88" s="450" t="s">
        <v>54</v>
      </c>
      <c r="C88" s="460"/>
      <c r="D88" s="452"/>
      <c r="E88" s="452">
        <v>0</v>
      </c>
      <c r="F88" s="452"/>
      <c r="G88" s="452">
        <v>0</v>
      </c>
      <c r="H88" s="458"/>
      <c r="I88" s="458"/>
      <c r="J88" s="458"/>
      <c r="K88" s="458"/>
    </row>
    <row r="89" ht="17.4" hidden="1" spans="1:11">
      <c r="A89" s="449">
        <v>9</v>
      </c>
      <c r="B89" s="450" t="s">
        <v>54</v>
      </c>
      <c r="C89" s="460">
        <v>50002909</v>
      </c>
      <c r="D89" s="452"/>
      <c r="E89" s="452">
        <v>11631</v>
      </c>
      <c r="F89" s="452"/>
      <c r="G89" s="452">
        <v>16215</v>
      </c>
      <c r="H89" s="458"/>
      <c r="I89" s="458">
        <v>18671</v>
      </c>
      <c r="J89" s="458">
        <v>20407</v>
      </c>
      <c r="K89" s="458">
        <v>21306</v>
      </c>
    </row>
    <row r="90" ht="17.4" hidden="1" spans="1:11">
      <c r="A90" s="449">
        <v>10</v>
      </c>
      <c r="B90" s="450" t="s">
        <v>54</v>
      </c>
      <c r="C90" s="460"/>
      <c r="D90" s="452"/>
      <c r="E90" s="452">
        <v>0</v>
      </c>
      <c r="F90" s="452"/>
      <c r="G90" s="452">
        <v>0</v>
      </c>
      <c r="H90" s="458"/>
      <c r="I90" s="458"/>
      <c r="J90" s="458"/>
      <c r="K90" s="458"/>
    </row>
    <row r="91" ht="17.4" hidden="1" spans="1:11">
      <c r="A91" s="449">
        <v>11</v>
      </c>
      <c r="B91" s="450" t="s">
        <v>54</v>
      </c>
      <c r="C91" s="460"/>
      <c r="D91" s="452"/>
      <c r="E91" s="452">
        <v>0</v>
      </c>
      <c r="F91" s="452"/>
      <c r="G91" s="452">
        <v>0</v>
      </c>
      <c r="H91" s="458"/>
      <c r="I91" s="458"/>
      <c r="J91" s="458"/>
      <c r="K91" s="458"/>
    </row>
    <row r="92" ht="17.4" hidden="1" spans="1:11">
      <c r="A92" s="449">
        <v>12</v>
      </c>
      <c r="B92" s="450" t="s">
        <v>54</v>
      </c>
      <c r="C92" s="460">
        <v>50002897</v>
      </c>
      <c r="D92" s="452"/>
      <c r="E92" s="452">
        <v>5181</v>
      </c>
      <c r="F92" s="452"/>
      <c r="G92" s="452">
        <v>6991</v>
      </c>
      <c r="H92" s="458"/>
      <c r="I92" s="458">
        <v>7897</v>
      </c>
      <c r="J92" s="458">
        <v>8462</v>
      </c>
      <c r="K92" s="458">
        <v>8807</v>
      </c>
    </row>
    <row r="93" ht="17.4" hidden="1" spans="1:11">
      <c r="A93" s="449">
        <v>13</v>
      </c>
      <c r="B93" s="450" t="s">
        <v>54</v>
      </c>
      <c r="C93" s="460">
        <v>50002839</v>
      </c>
      <c r="D93" s="452"/>
      <c r="E93" s="452">
        <v>1740</v>
      </c>
      <c r="F93" s="452"/>
      <c r="G93" s="452">
        <v>3194</v>
      </c>
      <c r="H93" s="458"/>
      <c r="I93" s="458">
        <v>3610</v>
      </c>
      <c r="J93" s="458">
        <v>3840</v>
      </c>
      <c r="K93" s="458">
        <v>3997</v>
      </c>
    </row>
    <row r="94" ht="17.4" hidden="1" spans="1:11">
      <c r="A94" s="449">
        <v>14</v>
      </c>
      <c r="B94" s="450" t="s">
        <v>54</v>
      </c>
      <c r="C94" s="460">
        <v>50002863</v>
      </c>
      <c r="D94" s="452"/>
      <c r="E94" s="452">
        <v>1157</v>
      </c>
      <c r="F94" s="452"/>
      <c r="G94" s="452">
        <v>2480</v>
      </c>
      <c r="H94" s="458"/>
      <c r="I94" s="458">
        <v>2707</v>
      </c>
      <c r="J94" s="458">
        <v>2843</v>
      </c>
      <c r="K94" s="458">
        <v>2927</v>
      </c>
    </row>
    <row r="95" ht="17.4" hidden="1" spans="1:11">
      <c r="A95" s="449">
        <v>15</v>
      </c>
      <c r="B95" s="450" t="s">
        <v>54</v>
      </c>
      <c r="C95" s="460">
        <v>50002947</v>
      </c>
      <c r="D95" s="452"/>
      <c r="E95" s="452">
        <v>131</v>
      </c>
      <c r="F95" s="452"/>
      <c r="G95" s="452">
        <v>1108</v>
      </c>
      <c r="H95" s="458"/>
      <c r="I95" s="458">
        <v>1489</v>
      </c>
      <c r="J95" s="458">
        <v>1726</v>
      </c>
      <c r="K95" s="458">
        <v>1885</v>
      </c>
    </row>
    <row r="96" ht="17.4" hidden="1" spans="1:11">
      <c r="A96" s="449">
        <v>16</v>
      </c>
      <c r="B96" s="450" t="s">
        <v>54</v>
      </c>
      <c r="C96" s="460"/>
      <c r="D96" s="452"/>
      <c r="E96" s="452">
        <v>0</v>
      </c>
      <c r="F96" s="452"/>
      <c r="G96" s="452">
        <v>0</v>
      </c>
      <c r="H96" s="458"/>
      <c r="I96" s="458"/>
      <c r="J96" s="458"/>
      <c r="K96" s="458"/>
    </row>
    <row r="97" ht="17.4" hidden="1" spans="1:11">
      <c r="A97" s="449">
        <v>17</v>
      </c>
      <c r="B97" s="450" t="s">
        <v>54</v>
      </c>
      <c r="C97" s="460">
        <v>50002902</v>
      </c>
      <c r="D97" s="452"/>
      <c r="E97" s="452">
        <v>1331</v>
      </c>
      <c r="F97" s="452"/>
      <c r="G97" s="452">
        <v>2233</v>
      </c>
      <c r="H97" s="458"/>
      <c r="I97" s="458">
        <v>2464</v>
      </c>
      <c r="J97" s="458">
        <v>2630</v>
      </c>
      <c r="K97" s="458">
        <v>2713</v>
      </c>
    </row>
    <row r="98" ht="17.4" hidden="1" spans="1:11">
      <c r="A98" s="449">
        <v>18</v>
      </c>
      <c r="B98" s="450" t="s">
        <v>54</v>
      </c>
      <c r="C98" s="460">
        <v>50002950</v>
      </c>
      <c r="D98" s="452"/>
      <c r="E98" s="452">
        <v>1201</v>
      </c>
      <c r="F98" s="452"/>
      <c r="G98" s="452">
        <v>2088</v>
      </c>
      <c r="H98" s="458"/>
      <c r="I98" s="458">
        <v>2302</v>
      </c>
      <c r="J98" s="458">
        <v>2449</v>
      </c>
      <c r="K98" s="458">
        <v>2527</v>
      </c>
    </row>
    <row r="99" ht="17.4" hidden="1" spans="1:11">
      <c r="A99" s="449">
        <v>19</v>
      </c>
      <c r="B99" s="450" t="s">
        <v>54</v>
      </c>
      <c r="C99" s="460">
        <v>50002936</v>
      </c>
      <c r="D99" s="452"/>
      <c r="E99" s="452">
        <v>1265</v>
      </c>
      <c r="F99" s="452"/>
      <c r="G99" s="452">
        <v>3040</v>
      </c>
      <c r="H99" s="458"/>
      <c r="I99" s="458">
        <v>3568</v>
      </c>
      <c r="J99" s="458">
        <v>3832</v>
      </c>
      <c r="K99" s="458">
        <v>4004</v>
      </c>
    </row>
    <row r="100" ht="17.4" hidden="1" spans="1:11">
      <c r="A100" s="449">
        <v>20</v>
      </c>
      <c r="B100" s="450" t="s">
        <v>54</v>
      </c>
      <c r="C100" s="460"/>
      <c r="D100" s="452"/>
      <c r="E100" s="452">
        <v>0</v>
      </c>
      <c r="F100" s="452"/>
      <c r="G100" s="452">
        <v>0</v>
      </c>
      <c r="H100" s="458"/>
      <c r="I100" s="458"/>
      <c r="J100" s="458"/>
      <c r="K100" s="458"/>
    </row>
    <row r="101" ht="17.4" hidden="1" spans="1:11">
      <c r="A101" s="449">
        <v>21</v>
      </c>
      <c r="B101" s="450" t="s">
        <v>54</v>
      </c>
      <c r="C101" s="460">
        <v>50002922</v>
      </c>
      <c r="D101" s="452"/>
      <c r="E101" s="452">
        <v>5446</v>
      </c>
      <c r="F101" s="452"/>
      <c r="G101" s="452">
        <v>6429</v>
      </c>
      <c r="H101" s="458"/>
      <c r="I101" s="458">
        <v>6720</v>
      </c>
      <c r="J101" s="458"/>
      <c r="K101" s="458">
        <v>6994</v>
      </c>
    </row>
    <row r="102" ht="17.4" hidden="1" spans="1:11">
      <c r="A102" s="449">
        <v>22</v>
      </c>
      <c r="B102" s="450" t="s">
        <v>54</v>
      </c>
      <c r="C102" s="460"/>
      <c r="D102" s="452"/>
      <c r="E102" s="452">
        <v>0</v>
      </c>
      <c r="F102" s="452"/>
      <c r="G102" s="452">
        <v>0</v>
      </c>
      <c r="H102" s="458"/>
      <c r="I102" s="458"/>
      <c r="J102" s="458"/>
      <c r="K102" s="458"/>
    </row>
    <row r="103" ht="17.4" hidden="1" spans="1:11">
      <c r="A103" s="449">
        <v>23</v>
      </c>
      <c r="B103" s="450" t="s">
        <v>54</v>
      </c>
      <c r="C103" s="460">
        <v>50002928</v>
      </c>
      <c r="D103" s="452"/>
      <c r="E103" s="452">
        <v>2659</v>
      </c>
      <c r="F103" s="452"/>
      <c r="G103" s="452">
        <v>4233</v>
      </c>
      <c r="H103" s="458"/>
      <c r="I103" s="458">
        <v>4923</v>
      </c>
      <c r="J103" s="458"/>
      <c r="K103" s="458">
        <v>5638</v>
      </c>
    </row>
    <row r="104" ht="18" hidden="1" spans="1:11">
      <c r="A104" s="456" t="s">
        <v>334</v>
      </c>
      <c r="B104" s="450" t="s">
        <v>54</v>
      </c>
      <c r="C104" s="460">
        <v>2902000692</v>
      </c>
      <c r="D104" s="452"/>
      <c r="E104" s="452">
        <v>0</v>
      </c>
      <c r="F104" s="452"/>
      <c r="G104" s="452">
        <v>1873.53</v>
      </c>
      <c r="H104" s="458"/>
      <c r="I104" s="458">
        <v>9894.16</v>
      </c>
      <c r="J104" s="458">
        <v>14827.34</v>
      </c>
      <c r="K104" s="458">
        <v>17768.15</v>
      </c>
    </row>
    <row r="105" ht="17.4" hidden="1" spans="1:11">
      <c r="A105" s="449" t="s">
        <v>336</v>
      </c>
      <c r="B105" s="450" t="s">
        <v>54</v>
      </c>
      <c r="C105" s="460">
        <v>2902000696</v>
      </c>
      <c r="D105" s="452"/>
      <c r="E105" s="452">
        <v>0</v>
      </c>
      <c r="F105" s="452"/>
      <c r="G105" s="452">
        <v>0</v>
      </c>
      <c r="H105" s="458"/>
      <c r="I105" s="458"/>
      <c r="J105" s="458"/>
      <c r="K105" s="458"/>
    </row>
    <row r="106" ht="17.4" hidden="1" spans="1:11">
      <c r="A106" s="449" t="s">
        <v>339</v>
      </c>
      <c r="B106" s="450" t="s">
        <v>54</v>
      </c>
      <c r="C106" s="460">
        <v>2912025475</v>
      </c>
      <c r="D106" s="452"/>
      <c r="E106" s="452">
        <v>5813.52</v>
      </c>
      <c r="F106" s="452"/>
      <c r="G106" s="452">
        <v>5953.22</v>
      </c>
      <c r="H106" s="458"/>
      <c r="I106" s="458">
        <v>6652.48</v>
      </c>
      <c r="J106" s="458">
        <v>7111.21</v>
      </c>
      <c r="K106" s="458">
        <v>7388.6</v>
      </c>
    </row>
    <row r="107" ht="18" hidden="1" spans="1:11">
      <c r="A107" s="457" t="s">
        <v>341</v>
      </c>
      <c r="B107" s="450" t="s">
        <v>54</v>
      </c>
      <c r="C107" s="460"/>
      <c r="D107" s="452"/>
      <c r="E107" s="452"/>
      <c r="F107" s="452"/>
      <c r="G107" s="452"/>
      <c r="H107" s="458"/>
      <c r="I107" s="458">
        <v>28.28</v>
      </c>
      <c r="J107" s="458"/>
      <c r="K107" s="458">
        <v>31.41</v>
      </c>
    </row>
    <row r="108" ht="18" hidden="1" spans="1:11">
      <c r="A108" s="459" t="s">
        <v>342</v>
      </c>
      <c r="B108" s="450" t="s">
        <v>54</v>
      </c>
      <c r="C108" s="460"/>
      <c r="D108" s="452"/>
      <c r="E108" s="452"/>
      <c r="F108" s="452"/>
      <c r="G108" s="452"/>
      <c r="H108" s="458"/>
      <c r="I108" s="458">
        <v>50.17</v>
      </c>
      <c r="J108" s="458"/>
      <c r="K108" s="458">
        <v>56</v>
      </c>
    </row>
    <row r="109" ht="17.4" hidden="1" spans="1:11">
      <c r="A109" s="449">
        <v>1</v>
      </c>
      <c r="B109" s="450" t="s">
        <v>58</v>
      </c>
      <c r="C109" s="451">
        <v>50003379</v>
      </c>
      <c r="D109" s="452"/>
      <c r="E109" s="452">
        <v>241</v>
      </c>
      <c r="F109" s="465">
        <f>(Reading_import[[#This Row],[9/10/2024]]-Reading_import[[#This Row],[1/5/2024]])/192*92+Reading_import[[#This Row],[1/5/2024]]</f>
        <v>739.572916666667</v>
      </c>
      <c r="G109" s="452"/>
      <c r="H109" s="458">
        <v>1281.5</v>
      </c>
      <c r="I109" s="458">
        <v>1514</v>
      </c>
      <c r="J109" s="458">
        <v>1680</v>
      </c>
      <c r="K109" s="458">
        <v>1782</v>
      </c>
    </row>
    <row r="110" ht="17.4" hidden="1" spans="1:11">
      <c r="A110" s="449">
        <v>2</v>
      </c>
      <c r="B110" s="450" t="s">
        <v>58</v>
      </c>
      <c r="C110" s="451">
        <v>50002906</v>
      </c>
      <c r="D110" s="452"/>
      <c r="E110" s="452">
        <v>1647</v>
      </c>
      <c r="F110" s="452">
        <v>2537</v>
      </c>
      <c r="G110" s="452"/>
      <c r="H110" s="458">
        <v>4071.09</v>
      </c>
      <c r="I110" s="452">
        <v>4319</v>
      </c>
      <c r="J110" s="458">
        <v>4500</v>
      </c>
      <c r="K110" s="458">
        <v>4597</v>
      </c>
    </row>
    <row r="111" ht="17.4" hidden="1" spans="1:11">
      <c r="A111" s="449">
        <v>3</v>
      </c>
      <c r="B111" s="450" t="s">
        <v>58</v>
      </c>
      <c r="C111" s="451">
        <v>50002924</v>
      </c>
      <c r="D111" s="452"/>
      <c r="E111" s="452">
        <v>2026.23</v>
      </c>
      <c r="F111" s="452">
        <v>2282</v>
      </c>
      <c r="G111" s="452"/>
      <c r="H111" s="452">
        <v>2434.71</v>
      </c>
      <c r="I111" s="452">
        <v>2589</v>
      </c>
      <c r="J111" s="458">
        <v>2701</v>
      </c>
      <c r="K111" s="458">
        <v>2765</v>
      </c>
    </row>
    <row r="112" ht="20.4" hidden="1" spans="1:11">
      <c r="A112" s="449">
        <v>4</v>
      </c>
      <c r="B112" s="450" t="s">
        <v>58</v>
      </c>
      <c r="C112" s="466">
        <v>50002908</v>
      </c>
      <c r="D112" s="452"/>
      <c r="E112" s="452"/>
      <c r="F112" s="452"/>
      <c r="G112" s="452"/>
      <c r="H112" s="458">
        <v>20</v>
      </c>
      <c r="I112" s="465">
        <v>58.4942148760331</v>
      </c>
      <c r="J112" s="458">
        <v>144</v>
      </c>
      <c r="K112" s="458">
        <v>242</v>
      </c>
    </row>
    <row r="113" ht="17.4" hidden="1" spans="1:11">
      <c r="A113" s="449">
        <v>5</v>
      </c>
      <c r="B113" s="450" t="s">
        <v>58</v>
      </c>
      <c r="C113" s="451">
        <v>50002894</v>
      </c>
      <c r="D113" s="452"/>
      <c r="E113" s="452">
        <v>3309</v>
      </c>
      <c r="F113" s="465">
        <f>(Reading_import[[#This Row],[9/10/2024]]-Reading_import[[#This Row],[1/5/2024]])/192*92+Reading_import[[#This Row],[1/5/2024]]</f>
        <v>3693.61270833333</v>
      </c>
      <c r="G113" s="452"/>
      <c r="H113" s="458">
        <v>4111.67</v>
      </c>
      <c r="I113" s="458">
        <v>4349</v>
      </c>
      <c r="J113" s="458">
        <v>4587</v>
      </c>
      <c r="K113" s="458">
        <v>4686</v>
      </c>
    </row>
    <row r="114" ht="17.4" hidden="1" spans="1:11">
      <c r="A114" s="449">
        <v>6</v>
      </c>
      <c r="B114" s="450" t="s">
        <v>58</v>
      </c>
      <c r="C114" s="451">
        <v>50002835</v>
      </c>
      <c r="D114" s="452"/>
      <c r="E114" s="452">
        <v>1620</v>
      </c>
      <c r="F114" s="452">
        <v>2447</v>
      </c>
      <c r="G114" s="452"/>
      <c r="H114" s="458">
        <v>2982.67</v>
      </c>
      <c r="I114" s="458">
        <v>3459</v>
      </c>
      <c r="J114" s="458">
        <v>3760</v>
      </c>
      <c r="K114" s="458">
        <v>3942</v>
      </c>
    </row>
    <row r="115" ht="17.4" hidden="1" spans="1:11">
      <c r="A115" s="449">
        <v>7</v>
      </c>
      <c r="B115" s="450" t="s">
        <v>58</v>
      </c>
      <c r="C115" s="451">
        <v>50002899</v>
      </c>
      <c r="D115" s="452"/>
      <c r="E115" s="452">
        <v>2827</v>
      </c>
      <c r="F115" s="452">
        <v>3333</v>
      </c>
      <c r="G115" s="452"/>
      <c r="H115" s="458">
        <v>3650.6</v>
      </c>
      <c r="I115" s="458">
        <v>3918</v>
      </c>
      <c r="J115" s="458">
        <v>4079</v>
      </c>
      <c r="K115" s="458">
        <v>4164</v>
      </c>
    </row>
    <row r="116" ht="17.4" hidden="1" spans="1:11">
      <c r="A116" s="449">
        <v>8</v>
      </c>
      <c r="B116" s="450" t="s">
        <v>58</v>
      </c>
      <c r="C116" s="451">
        <v>50002910</v>
      </c>
      <c r="D116" s="452"/>
      <c r="E116" s="452">
        <v>4397</v>
      </c>
      <c r="F116" s="452">
        <v>4909</v>
      </c>
      <c r="G116" s="452"/>
      <c r="H116" s="458">
        <v>5132.24</v>
      </c>
      <c r="I116" s="458">
        <v>5371</v>
      </c>
      <c r="J116" s="458">
        <v>5533</v>
      </c>
      <c r="K116" s="458">
        <v>5626</v>
      </c>
    </row>
    <row r="117" ht="17.4" hidden="1" spans="1:11">
      <c r="A117" s="449">
        <v>9</v>
      </c>
      <c r="B117" s="450" t="s">
        <v>58</v>
      </c>
      <c r="C117" s="451">
        <v>50002960</v>
      </c>
      <c r="D117" s="452"/>
      <c r="E117" s="452">
        <v>3534</v>
      </c>
      <c r="F117" s="452">
        <v>4884</v>
      </c>
      <c r="G117" s="452"/>
      <c r="H117" s="458">
        <v>5886.13</v>
      </c>
      <c r="I117" s="458">
        <v>6458</v>
      </c>
      <c r="J117" s="458">
        <v>6805</v>
      </c>
      <c r="K117" s="458">
        <v>7011</v>
      </c>
    </row>
    <row r="118" ht="17.4" hidden="1" spans="1:11">
      <c r="A118" s="449">
        <v>10</v>
      </c>
      <c r="B118" s="450" t="s">
        <v>58</v>
      </c>
      <c r="C118" s="451">
        <v>50002926</v>
      </c>
      <c r="D118" s="452"/>
      <c r="E118" s="452">
        <v>2323</v>
      </c>
      <c r="F118" s="452">
        <v>3619</v>
      </c>
      <c r="G118" s="452"/>
      <c r="H118" s="458">
        <v>4130.67</v>
      </c>
      <c r="I118" s="458">
        <v>4996</v>
      </c>
      <c r="J118" s="458">
        <v>5523</v>
      </c>
      <c r="K118" s="458">
        <v>5860</v>
      </c>
    </row>
    <row r="119" ht="17.4" hidden="1" spans="1:11">
      <c r="A119" s="449">
        <v>11</v>
      </c>
      <c r="B119" s="450" t="s">
        <v>58</v>
      </c>
      <c r="C119" s="467"/>
      <c r="D119" s="452"/>
      <c r="E119" s="452"/>
      <c r="F119" s="452"/>
      <c r="G119" s="452"/>
      <c r="H119" s="458"/>
      <c r="I119" s="458"/>
      <c r="J119" s="458"/>
      <c r="K119" s="458"/>
    </row>
    <row r="120" ht="20.4" hidden="1" spans="1:11">
      <c r="A120" s="449">
        <v>12</v>
      </c>
      <c r="B120" s="450" t="s">
        <v>58</v>
      </c>
      <c r="C120" s="468">
        <v>3308026743</v>
      </c>
      <c r="D120" s="452"/>
      <c r="E120" s="452">
        <v>19.06</v>
      </c>
      <c r="F120" s="465">
        <f>(Reading_import[[#This Row],[9/10/2024]]-Reading_import[[#This Row],[1/5/2024]])/192*92+Reading_import[[#This Row],[1/5/2024]]</f>
        <v>45.8645833333333</v>
      </c>
      <c r="G120" s="452"/>
      <c r="H120" s="458">
        <v>75</v>
      </c>
      <c r="I120" s="465">
        <v>75.9552066115702</v>
      </c>
      <c r="J120" s="458">
        <v>2893</v>
      </c>
      <c r="K120" s="458">
        <v>2893</v>
      </c>
    </row>
    <row r="121" ht="20.4" hidden="1" spans="1:11">
      <c r="A121" s="449">
        <v>13</v>
      </c>
      <c r="B121" s="450" t="s">
        <v>58</v>
      </c>
      <c r="C121" s="466">
        <v>50002961</v>
      </c>
      <c r="D121" s="452"/>
      <c r="E121" s="452"/>
      <c r="F121" s="452"/>
      <c r="G121" s="452"/>
      <c r="H121" s="458">
        <v>1</v>
      </c>
      <c r="I121" s="465">
        <v>5.06611570247934</v>
      </c>
      <c r="J121" s="458">
        <v>338</v>
      </c>
      <c r="K121" s="458"/>
    </row>
    <row r="122" ht="17.4" hidden="1" spans="1:11">
      <c r="A122" s="449">
        <v>14</v>
      </c>
      <c r="B122" s="450" t="s">
        <v>58</v>
      </c>
      <c r="C122" s="467"/>
      <c r="D122" s="452"/>
      <c r="E122" s="452"/>
      <c r="F122" s="452"/>
      <c r="G122" s="452"/>
      <c r="H122" s="458"/>
      <c r="I122" s="458"/>
      <c r="J122" s="458"/>
      <c r="K122" s="458"/>
    </row>
    <row r="123" ht="17.4" hidden="1" spans="1:11">
      <c r="A123" s="449">
        <v>15</v>
      </c>
      <c r="B123" s="450" t="s">
        <v>58</v>
      </c>
      <c r="C123" s="451">
        <v>50002930</v>
      </c>
      <c r="D123" s="452"/>
      <c r="E123" s="452">
        <v>437</v>
      </c>
      <c r="F123" s="465">
        <f>(Reading_import[[#This Row],[9/10/2024]]-Reading_import[[#This Row],[1/5/2024]])/192*92+Reading_import[[#This Row],[1/5/2024]]</f>
        <v>800.620416666667</v>
      </c>
      <c r="G123" s="452"/>
      <c r="H123" s="458">
        <v>1195.86</v>
      </c>
      <c r="I123" s="458">
        <v>1377</v>
      </c>
      <c r="J123" s="458">
        <v>1598</v>
      </c>
      <c r="K123" s="458">
        <v>1825</v>
      </c>
    </row>
    <row r="124" ht="17.4" hidden="1" spans="1:11">
      <c r="A124" s="449">
        <v>16</v>
      </c>
      <c r="B124" s="450" t="s">
        <v>58</v>
      </c>
      <c r="C124" s="451">
        <v>50002843</v>
      </c>
      <c r="D124" s="452"/>
      <c r="E124" s="452">
        <v>1987</v>
      </c>
      <c r="F124" s="452">
        <v>2175</v>
      </c>
      <c r="G124" s="452"/>
      <c r="H124" s="458">
        <v>2360.63</v>
      </c>
      <c r="I124" s="458">
        <v>2534</v>
      </c>
      <c r="J124" s="458">
        <v>2650</v>
      </c>
      <c r="K124" s="458">
        <v>2704</v>
      </c>
    </row>
    <row r="125" ht="17.4" hidden="1" spans="1:11">
      <c r="A125" s="449">
        <v>17</v>
      </c>
      <c r="B125" s="450" t="s">
        <v>58</v>
      </c>
      <c r="C125" s="451">
        <v>50002929</v>
      </c>
      <c r="D125" s="452"/>
      <c r="E125" s="452">
        <v>904</v>
      </c>
      <c r="F125" s="452">
        <v>1685</v>
      </c>
      <c r="G125" s="452"/>
      <c r="H125" s="458">
        <v>2478.88</v>
      </c>
      <c r="I125" s="458">
        <v>2797</v>
      </c>
      <c r="J125" s="458">
        <v>2959</v>
      </c>
      <c r="K125" s="458">
        <v>3038</v>
      </c>
    </row>
    <row r="126" ht="17.4" hidden="1" spans="1:11">
      <c r="A126" s="449">
        <v>18</v>
      </c>
      <c r="B126" s="450" t="s">
        <v>58</v>
      </c>
      <c r="C126" s="467"/>
      <c r="D126" s="452"/>
      <c r="E126" s="452"/>
      <c r="F126" s="452"/>
      <c r="G126" s="452"/>
      <c r="H126" s="458"/>
      <c r="I126" s="458"/>
      <c r="J126" s="458"/>
      <c r="K126" s="458"/>
    </row>
    <row r="127" ht="17.4" hidden="1" spans="1:11">
      <c r="A127" s="449">
        <v>19</v>
      </c>
      <c r="B127" s="450" t="s">
        <v>58</v>
      </c>
      <c r="C127" s="469"/>
      <c r="D127" s="452"/>
      <c r="E127" s="452"/>
      <c r="F127" s="452"/>
      <c r="G127" s="452"/>
      <c r="H127" s="458">
        <v>0</v>
      </c>
      <c r="I127" s="465">
        <v>0.482456140350877</v>
      </c>
      <c r="J127" s="458">
        <v>74</v>
      </c>
      <c r="K127" s="458"/>
    </row>
    <row r="128" ht="17.4" hidden="1" spans="1:11">
      <c r="A128" s="449">
        <v>20</v>
      </c>
      <c r="B128" s="450" t="s">
        <v>58</v>
      </c>
      <c r="C128" s="470"/>
      <c r="D128" s="452"/>
      <c r="E128" s="452">
        <v>112</v>
      </c>
      <c r="F128" s="465">
        <f>(Reading_import[[#This Row],[9/10/2024]]-Reading_import[[#This Row],[1/5/2024]])/192*92+Reading_import[[#This Row],[1/5/2024]]</f>
        <v>137.875</v>
      </c>
      <c r="G128" s="452"/>
      <c r="H128" s="458">
        <v>166</v>
      </c>
      <c r="I128" s="465">
        <v>166.350877192982</v>
      </c>
      <c r="J128" s="458">
        <v>216</v>
      </c>
      <c r="K128" s="458"/>
    </row>
    <row r="129" ht="20.4" hidden="1" spans="1:11">
      <c r="A129" s="449">
        <v>21</v>
      </c>
      <c r="B129" s="450" t="s">
        <v>58</v>
      </c>
      <c r="C129" s="468">
        <v>50002916</v>
      </c>
      <c r="D129" s="452"/>
      <c r="E129" s="452">
        <v>6818</v>
      </c>
      <c r="F129" s="452">
        <v>7458</v>
      </c>
      <c r="G129" s="452"/>
      <c r="H129" s="458">
        <v>7996.8</v>
      </c>
      <c r="I129" s="458">
        <v>8483</v>
      </c>
      <c r="J129" s="458">
        <v>8930</v>
      </c>
      <c r="K129" s="458">
        <v>9200</v>
      </c>
    </row>
    <row r="130" ht="17.4" hidden="1" spans="1:11">
      <c r="A130" s="449">
        <v>22</v>
      </c>
      <c r="B130" s="450" t="s">
        <v>58</v>
      </c>
      <c r="C130" s="467"/>
      <c r="D130" s="452"/>
      <c r="E130" s="452"/>
      <c r="F130" s="452"/>
      <c r="G130" s="452"/>
      <c r="H130" s="458"/>
      <c r="I130" s="458"/>
      <c r="J130" s="458"/>
      <c r="K130" s="458"/>
    </row>
    <row r="131" ht="18" hidden="1" spans="1:11">
      <c r="A131" s="456" t="s">
        <v>334</v>
      </c>
      <c r="B131" s="450" t="s">
        <v>58</v>
      </c>
      <c r="C131" s="451">
        <v>2902000956</v>
      </c>
      <c r="D131" s="452"/>
      <c r="E131" s="452">
        <v>0</v>
      </c>
      <c r="F131" s="452">
        <v>0</v>
      </c>
      <c r="G131" s="452"/>
      <c r="H131" s="458">
        <v>2349.14</v>
      </c>
      <c r="I131" s="458">
        <v>9052.59</v>
      </c>
      <c r="J131" s="458">
        <v>13487.18</v>
      </c>
      <c r="K131" s="458">
        <v>15942.4</v>
      </c>
    </row>
    <row r="132" ht="17.4" hidden="1" spans="1:11">
      <c r="A132" s="449" t="s">
        <v>336</v>
      </c>
      <c r="B132" s="450" t="s">
        <v>58</v>
      </c>
      <c r="C132" s="451">
        <v>2902000944</v>
      </c>
      <c r="D132" s="452"/>
      <c r="E132" s="452">
        <v>0</v>
      </c>
      <c r="F132" s="452"/>
      <c r="G132" s="452"/>
      <c r="H132" s="458">
        <v>0</v>
      </c>
      <c r="I132" s="458"/>
      <c r="J132" s="458"/>
      <c r="K132" s="458"/>
    </row>
    <row r="133" ht="17.4" hidden="1" spans="1:11">
      <c r="A133" s="449" t="s">
        <v>339</v>
      </c>
      <c r="B133" s="450" t="s">
        <v>58</v>
      </c>
      <c r="C133" s="451">
        <v>2912025226</v>
      </c>
      <c r="D133" s="452"/>
      <c r="E133" s="452">
        <v>9095.3</v>
      </c>
      <c r="F133" s="452">
        <v>9508.19</v>
      </c>
      <c r="G133" s="452"/>
      <c r="H133" s="458">
        <v>9771.3</v>
      </c>
      <c r="I133" s="465">
        <f>Reading_import[[#This Row],[9/10/2024]]+542.64</f>
        <v>10313.94</v>
      </c>
      <c r="J133" s="458">
        <v>10689.6</v>
      </c>
      <c r="K133" s="458">
        <v>11103.86</v>
      </c>
    </row>
    <row r="134" ht="18" hidden="1" spans="1:11">
      <c r="A134" s="457" t="s">
        <v>341</v>
      </c>
      <c r="B134" s="450" t="s">
        <v>58</v>
      </c>
      <c r="C134" s="451"/>
      <c r="D134" s="452"/>
      <c r="E134" s="452"/>
      <c r="F134" s="452"/>
      <c r="G134" s="452"/>
      <c r="H134" s="458"/>
      <c r="I134" s="458"/>
      <c r="J134" s="458"/>
      <c r="K134" s="458"/>
    </row>
    <row r="135" ht="18" hidden="1" spans="1:11">
      <c r="A135" s="459" t="s">
        <v>342</v>
      </c>
      <c r="B135" s="450" t="s">
        <v>58</v>
      </c>
      <c r="C135" s="451"/>
      <c r="D135" s="452"/>
      <c r="E135" s="452"/>
      <c r="F135" s="452"/>
      <c r="G135" s="452"/>
      <c r="H135" s="458"/>
      <c r="I135" s="458"/>
      <c r="J135" s="458"/>
      <c r="K135" s="458"/>
    </row>
    <row r="136" ht="17.4" hidden="1" spans="1:11">
      <c r="A136" s="449">
        <v>1</v>
      </c>
      <c r="B136" s="450" t="s">
        <v>59</v>
      </c>
      <c r="C136" s="472"/>
      <c r="D136" s="452"/>
      <c r="E136" s="452">
        <v>47</v>
      </c>
      <c r="F136" s="452"/>
      <c r="G136" s="452"/>
      <c r="H136" s="458">
        <v>86</v>
      </c>
      <c r="I136" s="465">
        <v>407.138211382114</v>
      </c>
      <c r="J136" s="482"/>
      <c r="K136" s="482"/>
    </row>
    <row r="137" ht="17.4" hidden="1" spans="1:11">
      <c r="A137" s="449">
        <v>2</v>
      </c>
      <c r="B137" s="450" t="s">
        <v>59</v>
      </c>
      <c r="C137" s="455"/>
      <c r="D137" s="452"/>
      <c r="E137" s="452"/>
      <c r="F137" s="452"/>
      <c r="G137" s="452"/>
      <c r="H137" s="458"/>
      <c r="I137" s="483"/>
      <c r="J137" s="482"/>
      <c r="K137" s="482"/>
    </row>
    <row r="138" ht="17.4" hidden="1" spans="1:11">
      <c r="A138" s="449">
        <v>3</v>
      </c>
      <c r="B138" s="450" t="s">
        <v>59</v>
      </c>
      <c r="C138" s="451"/>
      <c r="D138" s="452"/>
      <c r="E138" s="452"/>
      <c r="F138" s="452"/>
      <c r="G138" s="452"/>
      <c r="H138" s="458"/>
      <c r="I138" s="483"/>
      <c r="J138" s="482"/>
      <c r="K138" s="482"/>
    </row>
    <row r="139" ht="17.4" hidden="1" spans="1:11">
      <c r="A139" s="449">
        <v>4</v>
      </c>
      <c r="B139" s="450" t="s">
        <v>59</v>
      </c>
      <c r="C139" s="451">
        <v>50002962</v>
      </c>
      <c r="D139" s="452"/>
      <c r="E139" s="452">
        <v>2312</v>
      </c>
      <c r="F139" s="452"/>
      <c r="G139" s="452"/>
      <c r="H139" s="458">
        <v>2690.14</v>
      </c>
      <c r="I139" s="483">
        <v>3040</v>
      </c>
      <c r="J139" s="482">
        <v>3294</v>
      </c>
      <c r="K139" s="482">
        <v>3402</v>
      </c>
    </row>
    <row r="140" ht="17.4" hidden="1" spans="1:11">
      <c r="A140" s="449">
        <v>5</v>
      </c>
      <c r="B140" s="450" t="s">
        <v>59</v>
      </c>
      <c r="C140" s="451"/>
      <c r="D140" s="452"/>
      <c r="E140" s="452"/>
      <c r="F140" s="452"/>
      <c r="G140" s="452"/>
      <c r="H140" s="458"/>
      <c r="I140" s="483"/>
      <c r="J140" s="482"/>
      <c r="K140" s="482"/>
    </row>
    <row r="141" ht="17.4" hidden="1" spans="1:11">
      <c r="A141" s="449">
        <v>6</v>
      </c>
      <c r="B141" s="450" t="s">
        <v>59</v>
      </c>
      <c r="C141" s="451"/>
      <c r="D141" s="452"/>
      <c r="E141" s="452"/>
      <c r="F141" s="452"/>
      <c r="G141" s="452"/>
      <c r="H141" s="458"/>
      <c r="I141" s="483"/>
      <c r="J141" s="482"/>
      <c r="K141" s="482"/>
    </row>
    <row r="142" ht="17.4" hidden="1" spans="1:11">
      <c r="A142" s="449">
        <v>7</v>
      </c>
      <c r="B142" s="450" t="s">
        <v>59</v>
      </c>
      <c r="C142" s="451">
        <v>50003423</v>
      </c>
      <c r="D142" s="452"/>
      <c r="E142" s="452">
        <v>2223</v>
      </c>
      <c r="F142" s="452"/>
      <c r="G142" s="452"/>
      <c r="H142" s="458">
        <v>2428</v>
      </c>
      <c r="I142" s="483">
        <v>3790</v>
      </c>
      <c r="J142" s="482">
        <v>4400</v>
      </c>
      <c r="K142" s="482">
        <v>4701</v>
      </c>
    </row>
    <row r="143" ht="17.4" hidden="1" spans="1:11">
      <c r="A143" s="449">
        <v>8</v>
      </c>
      <c r="B143" s="450" t="s">
        <v>59</v>
      </c>
      <c r="C143" s="451"/>
      <c r="D143" s="452"/>
      <c r="E143" s="452"/>
      <c r="F143" s="452"/>
      <c r="G143" s="452"/>
      <c r="H143" s="458"/>
      <c r="I143" s="483"/>
      <c r="J143" s="482"/>
      <c r="K143" s="482"/>
    </row>
    <row r="144" ht="20.4" hidden="1" spans="1:11">
      <c r="A144" s="449">
        <v>9</v>
      </c>
      <c r="B144" s="450" t="s">
        <v>59</v>
      </c>
      <c r="C144" s="468">
        <v>50002998</v>
      </c>
      <c r="D144" s="452"/>
      <c r="E144" s="452">
        <v>133</v>
      </c>
      <c r="F144" s="452"/>
      <c r="G144" s="452"/>
      <c r="H144" s="458">
        <v>197</v>
      </c>
      <c r="I144" s="465">
        <v>366.512195121951</v>
      </c>
      <c r="J144" s="482">
        <v>732</v>
      </c>
      <c r="K144" s="482">
        <v>1034</v>
      </c>
    </row>
    <row r="145" ht="17.4" hidden="1" spans="1:11">
      <c r="A145" s="449">
        <v>10</v>
      </c>
      <c r="B145" s="450" t="s">
        <v>59</v>
      </c>
      <c r="C145" s="451"/>
      <c r="D145" s="452"/>
      <c r="E145" s="452"/>
      <c r="F145" s="452"/>
      <c r="G145" s="452"/>
      <c r="H145" s="458"/>
      <c r="I145" s="483"/>
      <c r="J145" s="482"/>
      <c r="K145" s="482"/>
    </row>
    <row r="146" ht="17.4" hidden="1" spans="1:11">
      <c r="A146" s="449">
        <v>11</v>
      </c>
      <c r="B146" s="450" t="s">
        <v>59</v>
      </c>
      <c r="C146" s="451"/>
      <c r="D146" s="452"/>
      <c r="E146" s="452">
        <v>0</v>
      </c>
      <c r="F146" s="452"/>
      <c r="G146" s="452"/>
      <c r="H146" s="458">
        <v>0</v>
      </c>
      <c r="I146" s="483"/>
      <c r="J146" s="482"/>
      <c r="K146" s="482"/>
    </row>
    <row r="147" ht="17.4" hidden="1" spans="1:11">
      <c r="A147" s="449">
        <v>12</v>
      </c>
      <c r="B147" s="450" t="s">
        <v>59</v>
      </c>
      <c r="C147" s="473"/>
      <c r="D147" s="452"/>
      <c r="E147" s="452">
        <v>38</v>
      </c>
      <c r="F147" s="452"/>
      <c r="G147" s="452"/>
      <c r="H147" s="458">
        <v>215</v>
      </c>
      <c r="I147" s="465">
        <v>540.20325203252</v>
      </c>
      <c r="J147" s="482"/>
      <c r="K147" s="482"/>
    </row>
    <row r="148" ht="17.4" hidden="1" spans="1:11">
      <c r="A148" s="449">
        <v>13</v>
      </c>
      <c r="B148" s="450" t="s">
        <v>59</v>
      </c>
      <c r="C148" s="451"/>
      <c r="D148" s="452"/>
      <c r="E148" s="452"/>
      <c r="F148" s="452"/>
      <c r="G148" s="452"/>
      <c r="H148" s="458"/>
      <c r="I148" s="483"/>
      <c r="J148" s="482"/>
      <c r="K148" s="482"/>
    </row>
    <row r="149" ht="17.4" hidden="1" spans="1:11">
      <c r="A149" s="449">
        <v>14</v>
      </c>
      <c r="B149" s="450" t="s">
        <v>59</v>
      </c>
      <c r="C149" s="451"/>
      <c r="D149" s="452"/>
      <c r="E149" s="452"/>
      <c r="F149" s="452"/>
      <c r="G149" s="452"/>
      <c r="H149" s="458"/>
      <c r="I149" s="483"/>
      <c r="J149" s="482"/>
      <c r="K149" s="482"/>
    </row>
    <row r="150" ht="17.4" hidden="1" spans="1:11">
      <c r="A150" s="449">
        <v>15</v>
      </c>
      <c r="B150" s="450" t="s">
        <v>59</v>
      </c>
      <c r="C150" s="473"/>
      <c r="D150" s="452"/>
      <c r="E150" s="452">
        <v>5254</v>
      </c>
      <c r="F150" s="452"/>
      <c r="G150" s="452"/>
      <c r="H150" s="458">
        <v>6002</v>
      </c>
      <c r="I150" s="465">
        <v>6640.53658536585</v>
      </c>
      <c r="J150" s="482"/>
      <c r="K150" s="482"/>
    </row>
    <row r="151" ht="20.4" hidden="1" spans="1:11">
      <c r="A151" s="449">
        <v>16</v>
      </c>
      <c r="B151" s="450" t="s">
        <v>59</v>
      </c>
      <c r="C151" s="468">
        <v>50002956</v>
      </c>
      <c r="D151" s="452"/>
      <c r="E151" s="452">
        <v>3338</v>
      </c>
      <c r="F151" s="452"/>
      <c r="G151" s="452"/>
      <c r="H151" s="458">
        <v>3566</v>
      </c>
      <c r="I151" s="465">
        <v>3962.62341463415</v>
      </c>
      <c r="J151" s="482">
        <v>4235</v>
      </c>
      <c r="K151" s="482">
        <v>4406</v>
      </c>
    </row>
    <row r="152" ht="17.4" hidden="1" spans="1:11">
      <c r="A152" s="449">
        <v>17</v>
      </c>
      <c r="B152" s="450" t="s">
        <v>59</v>
      </c>
      <c r="C152" s="451"/>
      <c r="D152" s="452"/>
      <c r="E152" s="452"/>
      <c r="F152" s="452"/>
      <c r="G152" s="452"/>
      <c r="H152" s="458"/>
      <c r="I152" s="454"/>
      <c r="J152" s="482"/>
      <c r="K152" s="482"/>
    </row>
    <row r="153" ht="17.4" hidden="1" spans="1:11">
      <c r="A153" s="449">
        <v>18</v>
      </c>
      <c r="B153" s="450" t="s">
        <v>59</v>
      </c>
      <c r="C153" s="472"/>
      <c r="D153" s="452"/>
      <c r="E153" s="452">
        <v>754</v>
      </c>
      <c r="F153" s="452"/>
      <c r="G153" s="452"/>
      <c r="H153" s="458">
        <v>1122</v>
      </c>
      <c r="I153" s="465">
        <v>1395.9837398374</v>
      </c>
      <c r="J153" s="482"/>
      <c r="K153" s="482"/>
    </row>
    <row r="154" ht="17.4" hidden="1" spans="1:11">
      <c r="A154" s="449">
        <v>19</v>
      </c>
      <c r="B154" s="450" t="s">
        <v>59</v>
      </c>
      <c r="C154" s="451">
        <v>50003387</v>
      </c>
      <c r="D154" s="452"/>
      <c r="E154" s="452">
        <v>1671</v>
      </c>
      <c r="F154" s="452"/>
      <c r="G154" s="452"/>
      <c r="H154" s="458">
        <v>1945</v>
      </c>
      <c r="I154" s="454">
        <v>2170</v>
      </c>
      <c r="J154" s="482">
        <v>2342</v>
      </c>
      <c r="K154" s="482">
        <v>2438</v>
      </c>
    </row>
    <row r="155" ht="17.4" hidden="1" spans="1:11">
      <c r="A155" s="449">
        <v>20</v>
      </c>
      <c r="B155" s="450" t="s">
        <v>59</v>
      </c>
      <c r="C155" s="473"/>
      <c r="D155" s="452"/>
      <c r="E155" s="452"/>
      <c r="F155" s="452"/>
      <c r="G155" s="452"/>
      <c r="H155" s="458"/>
      <c r="I155" s="465">
        <v>46.7479674796748</v>
      </c>
      <c r="J155" s="482"/>
      <c r="K155" s="482"/>
    </row>
    <row r="156" ht="17.4" hidden="1" spans="1:11">
      <c r="A156" s="449">
        <v>21</v>
      </c>
      <c r="B156" s="450" t="s">
        <v>59</v>
      </c>
      <c r="C156" s="451"/>
      <c r="D156" s="452"/>
      <c r="E156" s="452"/>
      <c r="F156" s="452"/>
      <c r="G156" s="452"/>
      <c r="H156" s="458"/>
      <c r="I156" s="483"/>
      <c r="J156" s="482"/>
      <c r="K156" s="482"/>
    </row>
    <row r="157" ht="17.4" hidden="1" spans="1:11">
      <c r="A157" s="449">
        <v>22</v>
      </c>
      <c r="B157" s="450" t="s">
        <v>59</v>
      </c>
      <c r="C157" s="451">
        <v>50002397</v>
      </c>
      <c r="D157" s="452"/>
      <c r="E157" s="452">
        <v>997</v>
      </c>
      <c r="F157" s="452"/>
      <c r="G157" s="452"/>
      <c r="H157" s="458">
        <v>1540</v>
      </c>
      <c r="I157" s="483">
        <v>1768</v>
      </c>
      <c r="J157" s="482">
        <v>1951</v>
      </c>
      <c r="K157" s="482">
        <v>2145</v>
      </c>
    </row>
    <row r="158" ht="17.4" hidden="1" spans="1:11">
      <c r="A158" s="449">
        <v>23</v>
      </c>
      <c r="B158" s="450" t="s">
        <v>59</v>
      </c>
      <c r="C158" s="451"/>
      <c r="D158" s="452"/>
      <c r="E158" s="452"/>
      <c r="F158" s="452"/>
      <c r="G158" s="452"/>
      <c r="H158" s="458"/>
      <c r="I158" s="483"/>
      <c r="J158" s="482"/>
      <c r="K158" s="482"/>
    </row>
    <row r="159" ht="17.4" hidden="1" spans="1:11">
      <c r="A159" s="449">
        <v>24</v>
      </c>
      <c r="B159" s="450" t="s">
        <v>59</v>
      </c>
      <c r="C159" s="451">
        <v>50002985</v>
      </c>
      <c r="D159" s="452"/>
      <c r="E159" s="452">
        <v>2226</v>
      </c>
      <c r="F159" s="452"/>
      <c r="G159" s="452"/>
      <c r="H159" s="458">
        <v>3064</v>
      </c>
      <c r="I159" s="483">
        <v>3551</v>
      </c>
      <c r="J159" s="482">
        <v>3807</v>
      </c>
      <c r="K159" s="482">
        <v>3974</v>
      </c>
    </row>
    <row r="160" ht="17.4" hidden="1" spans="1:11">
      <c r="A160" s="449">
        <v>25</v>
      </c>
      <c r="B160" s="450" t="s">
        <v>59</v>
      </c>
      <c r="C160" s="451">
        <v>50002966</v>
      </c>
      <c r="D160" s="452"/>
      <c r="E160" s="452">
        <v>805</v>
      </c>
      <c r="F160" s="452"/>
      <c r="G160" s="452"/>
      <c r="H160" s="458">
        <v>3145</v>
      </c>
      <c r="I160" s="483">
        <v>3560</v>
      </c>
      <c r="J160" s="482">
        <v>3822</v>
      </c>
      <c r="K160" s="482">
        <v>3980</v>
      </c>
    </row>
    <row r="161" ht="17.4" hidden="1" spans="1:11">
      <c r="A161" s="449">
        <v>26</v>
      </c>
      <c r="B161" s="450" t="s">
        <v>59</v>
      </c>
      <c r="C161" s="451"/>
      <c r="D161" s="452"/>
      <c r="E161" s="452"/>
      <c r="F161" s="452"/>
      <c r="G161" s="452"/>
      <c r="H161" s="458"/>
      <c r="I161" s="483"/>
      <c r="J161" s="482"/>
      <c r="K161" s="482"/>
    </row>
    <row r="162" ht="20.4" hidden="1" spans="1:11">
      <c r="A162" s="449">
        <v>27</v>
      </c>
      <c r="B162" s="450" t="s">
        <v>59</v>
      </c>
      <c r="C162" s="468">
        <v>50002956</v>
      </c>
      <c r="D162" s="452"/>
      <c r="E162" s="452">
        <v>0</v>
      </c>
      <c r="F162" s="452"/>
      <c r="G162" s="452"/>
      <c r="H162" s="458">
        <v>42</v>
      </c>
      <c r="I162" s="465">
        <v>198.467479674797</v>
      </c>
      <c r="J162" s="482">
        <v>504</v>
      </c>
      <c r="K162" s="482">
        <v>623</v>
      </c>
    </row>
    <row r="163" ht="18" hidden="1" spans="1:11">
      <c r="A163" s="456" t="s">
        <v>334</v>
      </c>
      <c r="B163" s="450" t="s">
        <v>59</v>
      </c>
      <c r="C163" s="451">
        <v>2911041070</v>
      </c>
      <c r="D163" s="452"/>
      <c r="E163" s="452">
        <v>302.2</v>
      </c>
      <c r="F163" s="452"/>
      <c r="G163" s="452"/>
      <c r="H163" s="458">
        <v>342.55</v>
      </c>
      <c r="I163" s="458">
        <v>2169.59</v>
      </c>
      <c r="J163" s="482">
        <v>4068.01</v>
      </c>
      <c r="K163" s="482">
        <v>4113.52</v>
      </c>
    </row>
    <row r="164" ht="17.4" hidden="1" spans="1:11">
      <c r="A164" s="449" t="s">
        <v>336</v>
      </c>
      <c r="B164" s="450" t="s">
        <v>59</v>
      </c>
      <c r="C164" s="451">
        <v>2911041113</v>
      </c>
      <c r="D164" s="452"/>
      <c r="E164" s="452">
        <v>0</v>
      </c>
      <c r="F164" s="452"/>
      <c r="G164" s="452"/>
      <c r="H164" s="458">
        <v>0</v>
      </c>
      <c r="I164" s="458"/>
      <c r="J164" s="482"/>
      <c r="K164" s="482"/>
    </row>
    <row r="165" ht="17.4" hidden="1" spans="1:11">
      <c r="A165" s="449" t="s">
        <v>339</v>
      </c>
      <c r="B165" s="450" t="s">
        <v>59</v>
      </c>
      <c r="C165" s="451"/>
      <c r="D165" s="452"/>
      <c r="E165" s="452"/>
      <c r="F165" s="452"/>
      <c r="G165" s="452"/>
      <c r="H165" s="458"/>
      <c r="I165" s="458"/>
      <c r="J165" s="482">
        <v>3299.92</v>
      </c>
      <c r="K165" s="482">
        <v>3424.25</v>
      </c>
    </row>
    <row r="166" ht="18" hidden="1" spans="1:11">
      <c r="A166" s="457" t="s">
        <v>341</v>
      </c>
      <c r="B166" s="450" t="s">
        <v>59</v>
      </c>
      <c r="C166" s="451"/>
      <c r="D166" s="452"/>
      <c r="E166" s="452"/>
      <c r="F166" s="452"/>
      <c r="G166" s="452"/>
      <c r="H166" s="458"/>
      <c r="I166" s="458"/>
      <c r="J166" s="482"/>
      <c r="K166" s="482"/>
    </row>
    <row r="167" ht="18" hidden="1" spans="1:11">
      <c r="A167" s="459" t="s">
        <v>342</v>
      </c>
      <c r="B167" s="450" t="s">
        <v>59</v>
      </c>
      <c r="C167" s="451"/>
      <c r="D167" s="452"/>
      <c r="E167" s="452"/>
      <c r="F167" s="452"/>
      <c r="G167" s="452"/>
      <c r="H167" s="458"/>
      <c r="I167" s="458"/>
      <c r="J167" s="482"/>
      <c r="K167" s="482"/>
    </row>
    <row r="168" ht="18" hidden="1" spans="1:11">
      <c r="A168" s="474">
        <v>1</v>
      </c>
      <c r="B168" s="450" t="s">
        <v>60</v>
      </c>
      <c r="C168" s="455"/>
      <c r="D168" s="452"/>
      <c r="E168" s="452">
        <v>0</v>
      </c>
      <c r="F168" s="452">
        <v>0</v>
      </c>
      <c r="G168" s="452">
        <v>0</v>
      </c>
      <c r="H168" s="458">
        <v>0</v>
      </c>
      <c r="I168" s="458">
        <v>0</v>
      </c>
      <c r="J168" s="458">
        <v>0</v>
      </c>
      <c r="K168" s="458"/>
    </row>
    <row r="169" ht="18" hidden="1" spans="1:11">
      <c r="A169" s="474">
        <v>2</v>
      </c>
      <c r="B169" s="450" t="s">
        <v>60</v>
      </c>
      <c r="C169" s="475"/>
      <c r="D169" s="452"/>
      <c r="E169" s="452">
        <v>105</v>
      </c>
      <c r="F169" s="452">
        <v>444.32</v>
      </c>
      <c r="G169" s="452">
        <v>800.75</v>
      </c>
      <c r="H169" s="458">
        <v>846.45</v>
      </c>
      <c r="I169" s="458">
        <v>1359.77</v>
      </c>
      <c r="J169" s="458">
        <v>1706.63</v>
      </c>
      <c r="K169" s="458"/>
    </row>
    <row r="170" ht="18" hidden="1" spans="1:11">
      <c r="A170" s="474">
        <v>3</v>
      </c>
      <c r="B170" s="450" t="s">
        <v>60</v>
      </c>
      <c r="C170" s="451"/>
      <c r="D170" s="452"/>
      <c r="E170" s="452">
        <v>0</v>
      </c>
      <c r="F170" s="452">
        <v>0</v>
      </c>
      <c r="G170" s="452">
        <v>0</v>
      </c>
      <c r="H170" s="458">
        <v>0</v>
      </c>
      <c r="I170" s="458">
        <v>0</v>
      </c>
      <c r="J170" s="458">
        <v>0</v>
      </c>
      <c r="K170" s="458"/>
    </row>
    <row r="171" ht="18" hidden="1" spans="1:11">
      <c r="A171" s="474">
        <v>4</v>
      </c>
      <c r="B171" s="450" t="s">
        <v>60</v>
      </c>
      <c r="C171" s="451">
        <v>50002962</v>
      </c>
      <c r="D171" s="452"/>
      <c r="E171" s="452">
        <v>0</v>
      </c>
      <c r="F171" s="452">
        <v>0</v>
      </c>
      <c r="G171" s="452">
        <v>0</v>
      </c>
      <c r="H171" s="458">
        <v>0</v>
      </c>
      <c r="I171" s="458">
        <v>0</v>
      </c>
      <c r="J171" s="458">
        <v>0</v>
      </c>
      <c r="K171" s="458"/>
    </row>
    <row r="172" ht="20.4" hidden="1" spans="1:11">
      <c r="A172" s="474">
        <v>5</v>
      </c>
      <c r="B172" s="450" t="s">
        <v>60</v>
      </c>
      <c r="C172" s="468">
        <v>3203067051</v>
      </c>
      <c r="D172" s="452"/>
      <c r="E172" s="452">
        <v>3379</v>
      </c>
      <c r="F172" s="452">
        <v>4352.46</v>
      </c>
      <c r="G172" s="452">
        <v>4829.3</v>
      </c>
      <c r="H172" s="458">
        <v>4857.13</v>
      </c>
      <c r="I172" s="458">
        <v>5065.84</v>
      </c>
      <c r="J172" s="458">
        <v>5216.15</v>
      </c>
      <c r="K172" s="458"/>
    </row>
    <row r="173" ht="18" hidden="1" spans="1:11">
      <c r="A173" s="474">
        <v>6</v>
      </c>
      <c r="B173" s="450" t="s">
        <v>60</v>
      </c>
      <c r="C173" s="476"/>
      <c r="D173" s="452"/>
      <c r="E173" s="452">
        <v>34</v>
      </c>
      <c r="F173" s="452">
        <v>55.22</v>
      </c>
      <c r="G173" s="452">
        <v>351.88</v>
      </c>
      <c r="H173" s="458">
        <v>392.41</v>
      </c>
      <c r="I173" s="458">
        <v>938.63</v>
      </c>
      <c r="J173" s="458">
        <v>1179.71</v>
      </c>
      <c r="K173" s="458"/>
    </row>
    <row r="174" ht="18" hidden="1" spans="1:11">
      <c r="A174" s="474">
        <v>7</v>
      </c>
      <c r="B174" s="450" t="s">
        <v>60</v>
      </c>
      <c r="C174" s="451">
        <v>50003423</v>
      </c>
      <c r="D174" s="452"/>
      <c r="E174" s="452">
        <v>1158</v>
      </c>
      <c r="F174" s="452">
        <v>1711.92</v>
      </c>
      <c r="G174" s="452">
        <v>2101.47</v>
      </c>
      <c r="H174" s="458">
        <v>2154.43</v>
      </c>
      <c r="I174" s="458">
        <v>2486.29</v>
      </c>
      <c r="J174" s="458">
        <v>2699.25</v>
      </c>
      <c r="K174" s="458">
        <v>2803.62</v>
      </c>
    </row>
    <row r="175" ht="18" hidden="1" spans="1:11">
      <c r="A175" s="474">
        <v>8</v>
      </c>
      <c r="B175" s="450" t="s">
        <v>60</v>
      </c>
      <c r="C175" s="475"/>
      <c r="D175" s="452"/>
      <c r="E175" s="452">
        <v>68</v>
      </c>
      <c r="F175" s="452">
        <v>541.2</v>
      </c>
      <c r="G175" s="452">
        <v>1659.85</v>
      </c>
      <c r="H175" s="458">
        <v>1759.51</v>
      </c>
      <c r="I175" s="458">
        <v>3522.09</v>
      </c>
      <c r="J175" s="458">
        <v>4582.01</v>
      </c>
      <c r="K175" s="458">
        <v>5096.03</v>
      </c>
    </row>
    <row r="176" ht="18" hidden="1" spans="1:11">
      <c r="A176" s="474">
        <v>9</v>
      </c>
      <c r="B176" s="450" t="s">
        <v>60</v>
      </c>
      <c r="C176" s="455"/>
      <c r="D176" s="452"/>
      <c r="E176" s="452">
        <v>0</v>
      </c>
      <c r="F176" s="452">
        <v>0</v>
      </c>
      <c r="G176" s="452">
        <v>0</v>
      </c>
      <c r="H176" s="458">
        <v>0</v>
      </c>
      <c r="I176" s="458">
        <v>0</v>
      </c>
      <c r="J176" s="458">
        <v>0</v>
      </c>
      <c r="K176" s="458"/>
    </row>
    <row r="177" ht="18" hidden="1" spans="1:11">
      <c r="A177" s="474">
        <v>10</v>
      </c>
      <c r="B177" s="450" t="s">
        <v>60</v>
      </c>
      <c r="C177" s="475"/>
      <c r="D177" s="452"/>
      <c r="E177" s="452">
        <v>33</v>
      </c>
      <c r="F177" s="452">
        <v>79.07</v>
      </c>
      <c r="G177" s="452">
        <v>115.53</v>
      </c>
      <c r="H177" s="458">
        <v>120.02</v>
      </c>
      <c r="I177" s="458">
        <v>597.06</v>
      </c>
      <c r="J177" s="458">
        <v>955.97</v>
      </c>
      <c r="K177" s="458"/>
    </row>
    <row r="178" ht="18" hidden="1" spans="1:11">
      <c r="A178" s="474">
        <v>11</v>
      </c>
      <c r="B178" s="450" t="s">
        <v>60</v>
      </c>
      <c r="C178" s="455"/>
      <c r="D178" s="452"/>
      <c r="E178" s="452">
        <v>0</v>
      </c>
      <c r="F178" s="452">
        <v>0</v>
      </c>
      <c r="G178" s="452">
        <v>0</v>
      </c>
      <c r="H178" s="458">
        <v>0</v>
      </c>
      <c r="I178" s="458">
        <v>0</v>
      </c>
      <c r="J178" s="458">
        <v>0</v>
      </c>
      <c r="K178" s="458"/>
    </row>
    <row r="179" ht="18" hidden="1" spans="1:11">
      <c r="A179" s="474">
        <v>12</v>
      </c>
      <c r="B179" s="450" t="s">
        <v>60</v>
      </c>
      <c r="C179" s="451"/>
      <c r="D179" s="452"/>
      <c r="E179" s="452">
        <v>0</v>
      </c>
      <c r="F179" s="452">
        <v>0</v>
      </c>
      <c r="G179" s="452">
        <v>0</v>
      </c>
      <c r="H179" s="458">
        <v>0</v>
      </c>
      <c r="I179" s="458">
        <v>0</v>
      </c>
      <c r="J179" s="458">
        <v>0</v>
      </c>
      <c r="K179" s="458"/>
    </row>
    <row r="180" ht="18" hidden="1" spans="1:11">
      <c r="A180" s="474">
        <v>13</v>
      </c>
      <c r="B180" s="450" t="s">
        <v>60</v>
      </c>
      <c r="C180" s="475"/>
      <c r="D180" s="452"/>
      <c r="E180" s="452">
        <v>46</v>
      </c>
      <c r="F180" s="452">
        <v>136.83</v>
      </c>
      <c r="G180" s="452">
        <v>164.39</v>
      </c>
      <c r="H180" s="458">
        <v>175.38</v>
      </c>
      <c r="I180" s="458">
        <v>747.14</v>
      </c>
      <c r="J180" s="458">
        <v>1218.37</v>
      </c>
      <c r="K180" s="458"/>
    </row>
    <row r="181" ht="18" hidden="1" spans="1:11">
      <c r="A181" s="474">
        <v>14</v>
      </c>
      <c r="B181" s="450" t="s">
        <v>60</v>
      </c>
      <c r="C181" s="475"/>
      <c r="D181" s="452"/>
      <c r="E181" s="452">
        <v>0</v>
      </c>
      <c r="F181" s="452">
        <v>0</v>
      </c>
      <c r="G181" s="452">
        <v>0</v>
      </c>
      <c r="H181" s="458">
        <v>0.03</v>
      </c>
      <c r="I181" s="458">
        <v>48.27</v>
      </c>
      <c r="J181" s="458">
        <v>70.31</v>
      </c>
      <c r="K181" s="458"/>
    </row>
    <row r="182" ht="18" hidden="1" spans="1:11">
      <c r="A182" s="474">
        <v>15</v>
      </c>
      <c r="B182" s="450" t="s">
        <v>60</v>
      </c>
      <c r="C182" s="475"/>
      <c r="D182" s="452"/>
      <c r="E182" s="452">
        <v>0</v>
      </c>
      <c r="F182" s="452">
        <v>0</v>
      </c>
      <c r="G182" s="452">
        <v>0</v>
      </c>
      <c r="H182" s="458">
        <v>0</v>
      </c>
      <c r="I182" s="458">
        <v>0</v>
      </c>
      <c r="J182" s="458">
        <v>11.44</v>
      </c>
      <c r="K182" s="458"/>
    </row>
    <row r="183" ht="18" hidden="1" spans="1:11">
      <c r="A183" s="474">
        <v>16</v>
      </c>
      <c r="B183" s="450" t="s">
        <v>60</v>
      </c>
      <c r="C183" s="451"/>
      <c r="D183" s="452"/>
      <c r="E183" s="452">
        <v>0</v>
      </c>
      <c r="F183" s="452">
        <v>0</v>
      </c>
      <c r="G183" s="452">
        <v>0</v>
      </c>
      <c r="H183" s="458">
        <v>0</v>
      </c>
      <c r="I183" s="458">
        <v>0</v>
      </c>
      <c r="J183" s="458">
        <v>0</v>
      </c>
      <c r="K183" s="458"/>
    </row>
    <row r="184" ht="18" hidden="1" spans="1:11">
      <c r="A184" s="474">
        <v>17</v>
      </c>
      <c r="B184" s="450" t="s">
        <v>60</v>
      </c>
      <c r="C184" s="455"/>
      <c r="D184" s="452"/>
      <c r="E184" s="452">
        <v>0</v>
      </c>
      <c r="F184" s="452">
        <v>0</v>
      </c>
      <c r="G184" s="452">
        <v>0</v>
      </c>
      <c r="H184" s="458">
        <v>0</v>
      </c>
      <c r="I184" s="458">
        <v>0</v>
      </c>
      <c r="J184" s="458">
        <v>0</v>
      </c>
      <c r="K184" s="458"/>
    </row>
    <row r="185" ht="18" hidden="1" spans="1:11">
      <c r="A185" s="474">
        <v>18</v>
      </c>
      <c r="B185" s="450" t="s">
        <v>60</v>
      </c>
      <c r="C185" s="475"/>
      <c r="D185" s="452"/>
      <c r="E185" s="452">
        <v>50</v>
      </c>
      <c r="F185" s="452">
        <v>66.34</v>
      </c>
      <c r="G185" s="452">
        <v>88.43</v>
      </c>
      <c r="H185" s="458">
        <v>90.04</v>
      </c>
      <c r="I185" s="458">
        <v>105.27</v>
      </c>
      <c r="J185" s="458">
        <v>204.72</v>
      </c>
      <c r="K185" s="458"/>
    </row>
    <row r="186" ht="18" hidden="1" spans="1:11">
      <c r="A186" s="474">
        <v>19</v>
      </c>
      <c r="B186" s="450" t="s">
        <v>60</v>
      </c>
      <c r="C186" s="451">
        <v>50003387</v>
      </c>
      <c r="D186" s="452"/>
      <c r="E186" s="452">
        <v>90</v>
      </c>
      <c r="F186" s="452">
        <v>174.86</v>
      </c>
      <c r="G186" s="452">
        <v>184.05</v>
      </c>
      <c r="H186" s="458">
        <v>188.61</v>
      </c>
      <c r="I186" s="458">
        <v>830.88</v>
      </c>
      <c r="J186" s="458">
        <v>1094.04</v>
      </c>
      <c r="K186" s="458"/>
    </row>
    <row r="187" ht="18" hidden="1" spans="1:11">
      <c r="A187" s="456" t="s">
        <v>334</v>
      </c>
      <c r="B187" s="450" t="s">
        <v>60</v>
      </c>
      <c r="C187" s="451">
        <v>2911041070</v>
      </c>
      <c r="D187" s="452"/>
      <c r="E187" s="452">
        <v>60.62</v>
      </c>
      <c r="F187" s="452">
        <v>60.79</v>
      </c>
      <c r="G187" s="452">
        <v>1965.67</v>
      </c>
      <c r="H187" s="477">
        <v>2454.72043478261</v>
      </c>
      <c r="I187" s="477">
        <v>7589.75</v>
      </c>
      <c r="J187" s="458">
        <v>11303.17</v>
      </c>
      <c r="K187" s="458">
        <v>13092.21</v>
      </c>
    </row>
    <row r="188" ht="17.4" hidden="1" spans="1:11">
      <c r="A188" s="449" t="s">
        <v>336</v>
      </c>
      <c r="B188" s="450" t="s">
        <v>60</v>
      </c>
      <c r="C188" s="451">
        <v>2911041113</v>
      </c>
      <c r="D188" s="452"/>
      <c r="E188" s="452">
        <v>0</v>
      </c>
      <c r="F188" s="452">
        <v>0</v>
      </c>
      <c r="G188" s="452">
        <v>0</v>
      </c>
      <c r="H188" s="477">
        <v>0</v>
      </c>
      <c r="I188" s="477">
        <v>0</v>
      </c>
      <c r="J188" s="458">
        <v>4351.33</v>
      </c>
      <c r="K188" s="458"/>
    </row>
    <row r="189" ht="17.4" hidden="1" spans="1:11">
      <c r="A189" s="478" t="s">
        <v>339</v>
      </c>
      <c r="B189" s="479" t="s">
        <v>60</v>
      </c>
      <c r="C189" s="475"/>
      <c r="D189" s="480"/>
      <c r="E189" s="480">
        <v>3243.64</v>
      </c>
      <c r="F189" s="480">
        <v>3441.94</v>
      </c>
      <c r="G189" s="480">
        <v>3542.24</v>
      </c>
      <c r="H189" s="477">
        <v>3587.36347826087</v>
      </c>
      <c r="I189" s="477">
        <v>4061.16</v>
      </c>
      <c r="J189" s="458">
        <v>4497.04</v>
      </c>
      <c r="K189" s="458">
        <v>4657.72</v>
      </c>
    </row>
    <row r="190" ht="18" hidden="1" spans="1:11">
      <c r="A190" s="457" t="s">
        <v>341</v>
      </c>
      <c r="B190" s="479" t="s">
        <v>60</v>
      </c>
      <c r="C190" s="475"/>
      <c r="D190" s="452"/>
      <c r="E190" s="452">
        <v>35.93</v>
      </c>
      <c r="F190" s="452">
        <v>42.58</v>
      </c>
      <c r="G190" s="452">
        <v>46.91</v>
      </c>
      <c r="H190" s="477">
        <v>47.4595652173913</v>
      </c>
      <c r="I190" s="477">
        <v>53.23</v>
      </c>
      <c r="J190" s="458">
        <v>57.23</v>
      </c>
      <c r="K190" s="458"/>
    </row>
    <row r="191" ht="18" hidden="1" spans="1:11">
      <c r="A191" s="459" t="s">
        <v>342</v>
      </c>
      <c r="B191" s="479" t="s">
        <v>60</v>
      </c>
      <c r="C191" s="481"/>
      <c r="D191" s="480"/>
      <c r="E191" s="480"/>
      <c r="F191" s="480"/>
      <c r="G191" s="480"/>
      <c r="H191" s="480"/>
      <c r="I191" s="480"/>
      <c r="J191" s="458"/>
      <c r="K191" s="458"/>
    </row>
  </sheetData>
  <pageMargins left="0.7" right="0.7" top="0.75" bottom="0.75" header="0.3" footer="0.3"/>
  <pageSetup paperSize="9"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L191"/>
  <sheetViews>
    <sheetView zoomScale="85" zoomScaleNormal="85" workbookViewId="0">
      <pane xSplit="1" topLeftCell="B1" activePane="topRight" state="frozen"/>
      <selection/>
      <selection pane="topRight" activeCell="L2" sqref="L2"/>
    </sheetView>
  </sheetViews>
  <sheetFormatPr defaultColWidth="11" defaultRowHeight="18"/>
  <cols>
    <col min="1" max="1" width="7.3" style="402" customWidth="1"/>
    <col min="2" max="2" width="11.3" style="403" customWidth="1"/>
    <col min="3" max="3" width="16.7" style="403" customWidth="1"/>
    <col min="4" max="6" width="12.8" style="404" customWidth="1"/>
    <col min="7" max="9" width="14.2" style="404" customWidth="1"/>
    <col min="11" max="11" width="13.7"/>
  </cols>
  <sheetData>
    <row r="1" ht="17.4" spans="1:12">
      <c r="A1" s="405" t="s">
        <v>190</v>
      </c>
      <c r="B1" s="406" t="s">
        <v>191</v>
      </c>
      <c r="C1" s="406" t="s">
        <v>192</v>
      </c>
      <c r="D1" s="407" t="s">
        <v>835</v>
      </c>
      <c r="E1" s="407" t="s">
        <v>836</v>
      </c>
      <c r="F1" s="407" t="s">
        <v>837</v>
      </c>
      <c r="G1" s="407" t="s">
        <v>838</v>
      </c>
      <c r="H1" s="408" t="s">
        <v>839</v>
      </c>
      <c r="I1" s="407" t="s">
        <v>840</v>
      </c>
      <c r="J1" s="407" t="s">
        <v>841</v>
      </c>
      <c r="K1" s="407" t="s">
        <v>842</v>
      </c>
      <c r="L1" s="427" t="s">
        <v>843</v>
      </c>
    </row>
    <row r="2" ht="17.4" hidden="1" spans="1:11">
      <c r="A2" s="409">
        <v>1</v>
      </c>
      <c r="B2" s="410" t="s">
        <v>44</v>
      </c>
      <c r="C2" s="411">
        <v>50002845</v>
      </c>
      <c r="D2" s="412">
        <v>0</v>
      </c>
      <c r="E2" s="412">
        <v>0</v>
      </c>
      <c r="F2" s="412"/>
      <c r="G2" s="412"/>
      <c r="H2" s="413"/>
      <c r="I2" s="428"/>
      <c r="J2" s="428">
        <v>0</v>
      </c>
      <c r="K2" s="428"/>
    </row>
    <row r="3" ht="17.4" hidden="1" spans="1:11">
      <c r="A3" s="409">
        <v>2</v>
      </c>
      <c r="B3" s="410" t="s">
        <v>44</v>
      </c>
      <c r="C3" s="411">
        <v>50002862</v>
      </c>
      <c r="D3" s="412">
        <v>0</v>
      </c>
      <c r="E3" s="412">
        <v>0</v>
      </c>
      <c r="F3" s="412"/>
      <c r="G3" s="412"/>
      <c r="H3" s="413"/>
      <c r="I3" s="426"/>
      <c r="J3" s="428">
        <v>0</v>
      </c>
      <c r="K3" s="428"/>
    </row>
    <row r="4" ht="17.4" hidden="1" spans="1:11">
      <c r="A4" s="409">
        <v>3</v>
      </c>
      <c r="B4" s="410" t="s">
        <v>44</v>
      </c>
      <c r="C4" s="411">
        <v>50002872</v>
      </c>
      <c r="D4" s="412">
        <v>0</v>
      </c>
      <c r="E4" s="412">
        <v>0</v>
      </c>
      <c r="F4" s="412"/>
      <c r="G4" s="412">
        <v>0</v>
      </c>
      <c r="H4" s="413"/>
      <c r="I4" s="426">
        <v>0</v>
      </c>
      <c r="J4" s="426">
        <v>0</v>
      </c>
      <c r="K4" s="426">
        <v>0</v>
      </c>
    </row>
    <row r="5" ht="17.4" hidden="1" spans="1:11">
      <c r="A5" s="409">
        <v>4</v>
      </c>
      <c r="B5" s="410" t="s">
        <v>44</v>
      </c>
      <c r="C5" s="411">
        <v>50002869</v>
      </c>
      <c r="D5" s="412">
        <v>1100</v>
      </c>
      <c r="E5" s="412">
        <v>3828</v>
      </c>
      <c r="F5" s="412">
        <v>5318.8</v>
      </c>
      <c r="G5" s="412">
        <v>6465</v>
      </c>
      <c r="H5" s="413"/>
      <c r="I5" s="426">
        <v>9031</v>
      </c>
      <c r="J5" s="426">
        <v>10612</v>
      </c>
      <c r="K5" s="426">
        <v>11476</v>
      </c>
    </row>
    <row r="6" ht="17.4" hidden="1" spans="1:11">
      <c r="A6" s="409">
        <v>5</v>
      </c>
      <c r="B6" s="410" t="s">
        <v>44</v>
      </c>
      <c r="C6" s="411">
        <v>50002879</v>
      </c>
      <c r="D6" s="412">
        <v>4250</v>
      </c>
      <c r="E6" s="412">
        <v>7203</v>
      </c>
      <c r="F6" s="412">
        <v>8765.43</v>
      </c>
      <c r="G6" s="412">
        <v>10052</v>
      </c>
      <c r="H6" s="413"/>
      <c r="I6" s="426">
        <v>12884</v>
      </c>
      <c r="J6" s="426">
        <v>14647</v>
      </c>
      <c r="K6" s="426">
        <v>15571</v>
      </c>
    </row>
    <row r="7" ht="17.4" hidden="1" spans="1:11">
      <c r="A7" s="409">
        <v>6</v>
      </c>
      <c r="B7" s="410" t="s">
        <v>44</v>
      </c>
      <c r="C7" s="411">
        <v>50002865</v>
      </c>
      <c r="D7" s="412">
        <v>5911</v>
      </c>
      <c r="E7" s="412">
        <v>10438</v>
      </c>
      <c r="F7" s="412">
        <v>12556.76</v>
      </c>
      <c r="G7" s="412">
        <v>14094</v>
      </c>
      <c r="H7" s="413"/>
      <c r="I7" s="426">
        <v>18121</v>
      </c>
      <c r="J7" s="426">
        <v>20965</v>
      </c>
      <c r="K7" s="426">
        <v>22324</v>
      </c>
    </row>
    <row r="8" ht="17.4" hidden="1" spans="1:11">
      <c r="A8" s="409">
        <v>7</v>
      </c>
      <c r="B8" s="410" t="s">
        <v>44</v>
      </c>
      <c r="C8" s="411">
        <v>50002887</v>
      </c>
      <c r="D8" s="412">
        <v>0</v>
      </c>
      <c r="E8" s="412">
        <v>0</v>
      </c>
      <c r="F8" s="412"/>
      <c r="G8" s="412"/>
      <c r="H8" s="413"/>
      <c r="I8" s="426"/>
      <c r="J8" s="426">
        <v>0</v>
      </c>
      <c r="K8" s="426"/>
    </row>
    <row r="9" ht="17.4" hidden="1" spans="1:11">
      <c r="A9" s="409">
        <v>8</v>
      </c>
      <c r="B9" s="410" t="s">
        <v>44</v>
      </c>
      <c r="C9" s="411">
        <v>50002846</v>
      </c>
      <c r="D9" s="412">
        <v>0</v>
      </c>
      <c r="E9" s="412">
        <v>0</v>
      </c>
      <c r="F9" s="412"/>
      <c r="G9" s="412">
        <v>0</v>
      </c>
      <c r="H9" s="413"/>
      <c r="I9" s="426">
        <v>2569</v>
      </c>
      <c r="J9" s="426">
        <v>4165</v>
      </c>
      <c r="K9" s="426">
        <v>5027</v>
      </c>
    </row>
    <row r="10" ht="17.4" hidden="1" spans="1:11">
      <c r="A10" s="409">
        <v>9</v>
      </c>
      <c r="B10" s="410" t="s">
        <v>44</v>
      </c>
      <c r="C10" s="411">
        <v>50002885</v>
      </c>
      <c r="D10" s="412">
        <v>0</v>
      </c>
      <c r="E10" s="412">
        <v>0</v>
      </c>
      <c r="F10" s="412"/>
      <c r="G10" s="412"/>
      <c r="H10" s="413"/>
      <c r="I10" s="426"/>
      <c r="J10" s="426">
        <v>0</v>
      </c>
      <c r="K10" s="426"/>
    </row>
    <row r="11" ht="17.4" hidden="1" spans="1:11">
      <c r="A11" s="409">
        <v>10</v>
      </c>
      <c r="B11" s="410" t="s">
        <v>44</v>
      </c>
      <c r="C11" s="414"/>
      <c r="D11" s="412">
        <v>12347</v>
      </c>
      <c r="E11" s="412">
        <v>15095</v>
      </c>
      <c r="F11" s="412">
        <v>16643.58</v>
      </c>
      <c r="G11" s="412">
        <v>17815</v>
      </c>
      <c r="H11" s="413"/>
      <c r="I11" s="426">
        <v>20316</v>
      </c>
      <c r="J11" s="426">
        <v>21130</v>
      </c>
      <c r="K11" s="426">
        <v>22009</v>
      </c>
    </row>
    <row r="12" ht="17.4" hidden="1" spans="1:11">
      <c r="A12" s="409">
        <v>11</v>
      </c>
      <c r="B12" s="410" t="s">
        <v>44</v>
      </c>
      <c r="C12" s="411">
        <v>50002848</v>
      </c>
      <c r="D12" s="412">
        <v>13447</v>
      </c>
      <c r="E12" s="412">
        <v>16509</v>
      </c>
      <c r="F12" s="412">
        <v>18262.11</v>
      </c>
      <c r="G12" s="412">
        <v>19650</v>
      </c>
      <c r="H12" s="413"/>
      <c r="I12" s="426">
        <v>22593</v>
      </c>
      <c r="J12" s="426">
        <v>24391</v>
      </c>
      <c r="K12" s="426">
        <v>25470</v>
      </c>
    </row>
    <row r="13" ht="17.4" hidden="1" spans="1:11">
      <c r="A13" s="409">
        <v>12</v>
      </c>
      <c r="B13" s="410" t="s">
        <v>44</v>
      </c>
      <c r="C13" s="411">
        <v>50002847</v>
      </c>
      <c r="D13" s="412">
        <v>0</v>
      </c>
      <c r="E13" s="412">
        <v>0</v>
      </c>
      <c r="F13" s="412"/>
      <c r="G13" s="412"/>
      <c r="H13" s="413"/>
      <c r="I13" s="426"/>
      <c r="J13" s="426">
        <v>0</v>
      </c>
      <c r="K13" s="426"/>
    </row>
    <row r="14" ht="17.4" hidden="1" spans="1:11">
      <c r="A14" s="409">
        <v>13</v>
      </c>
      <c r="B14" s="410" t="s">
        <v>44</v>
      </c>
      <c r="C14" s="411">
        <v>50002739</v>
      </c>
      <c r="D14" s="412">
        <v>25717</v>
      </c>
      <c r="E14" s="412">
        <v>30627</v>
      </c>
      <c r="F14" s="412">
        <v>33475.85</v>
      </c>
      <c r="G14" s="412">
        <v>36023</v>
      </c>
      <c r="H14" s="413"/>
      <c r="I14" s="426">
        <v>41072</v>
      </c>
      <c r="J14" s="426">
        <v>44319</v>
      </c>
      <c r="K14" s="426">
        <v>46143</v>
      </c>
    </row>
    <row r="15" ht="17.4" hidden="1" spans="1:11">
      <c r="A15" s="409">
        <v>14</v>
      </c>
      <c r="B15" s="410" t="s">
        <v>44</v>
      </c>
      <c r="C15" s="411">
        <v>50002709</v>
      </c>
      <c r="D15" s="412">
        <v>0</v>
      </c>
      <c r="E15" s="412">
        <v>0</v>
      </c>
      <c r="F15" s="412"/>
      <c r="G15" s="412"/>
      <c r="H15" s="413"/>
      <c r="I15" s="426"/>
      <c r="J15" s="426">
        <v>2399</v>
      </c>
      <c r="K15" s="426">
        <v>3999</v>
      </c>
    </row>
    <row r="16" ht="17.4" hidden="1" spans="1:11">
      <c r="A16" s="409">
        <v>15</v>
      </c>
      <c r="B16" s="410" t="s">
        <v>44</v>
      </c>
      <c r="C16" s="411">
        <v>50002714</v>
      </c>
      <c r="D16" s="412">
        <v>0</v>
      </c>
      <c r="E16" s="412">
        <v>0</v>
      </c>
      <c r="F16" s="412"/>
      <c r="G16" s="412"/>
      <c r="H16" s="413"/>
      <c r="I16" s="426"/>
      <c r="J16" s="426">
        <v>0</v>
      </c>
      <c r="K16" s="426"/>
    </row>
    <row r="17" ht="17.4" hidden="1" spans="1:11">
      <c r="A17" s="409">
        <v>16</v>
      </c>
      <c r="B17" s="410" t="s">
        <v>44</v>
      </c>
      <c r="C17" s="411">
        <v>50002855</v>
      </c>
      <c r="D17" s="412">
        <v>0</v>
      </c>
      <c r="E17" s="412">
        <v>2568</v>
      </c>
      <c r="F17" s="412">
        <v>4134.29</v>
      </c>
      <c r="G17" s="412">
        <v>5245</v>
      </c>
      <c r="H17" s="413"/>
      <c r="I17" s="426">
        <v>7804</v>
      </c>
      <c r="J17" s="426">
        <v>9378</v>
      </c>
      <c r="K17" s="426">
        <v>10186</v>
      </c>
    </row>
    <row r="18" ht="17.4" hidden="1" spans="1:11">
      <c r="A18" s="409">
        <v>17</v>
      </c>
      <c r="B18" s="410" t="s">
        <v>44</v>
      </c>
      <c r="C18" s="411">
        <v>50002877</v>
      </c>
      <c r="D18" s="412">
        <v>4293</v>
      </c>
      <c r="E18" s="412">
        <v>7088</v>
      </c>
      <c r="F18" s="412">
        <v>8027</v>
      </c>
      <c r="G18" s="412">
        <v>9059</v>
      </c>
      <c r="H18" s="413"/>
      <c r="I18" s="426">
        <v>12029</v>
      </c>
      <c r="J18" s="426">
        <v>14003</v>
      </c>
      <c r="K18" s="426">
        <v>14923</v>
      </c>
    </row>
    <row r="19" ht="17.4" hidden="1" spans="1:11">
      <c r="A19" s="409">
        <v>18</v>
      </c>
      <c r="B19" s="410" t="s">
        <v>44</v>
      </c>
      <c r="C19" s="415"/>
      <c r="D19" s="412">
        <v>0</v>
      </c>
      <c r="E19" s="412">
        <v>0</v>
      </c>
      <c r="F19" s="412"/>
      <c r="G19" s="412"/>
      <c r="H19" s="413"/>
      <c r="I19" s="426"/>
      <c r="J19" s="426">
        <v>0</v>
      </c>
      <c r="K19" s="426"/>
    </row>
    <row r="20" ht="17.4" hidden="1" spans="1:11">
      <c r="A20" s="409">
        <v>19</v>
      </c>
      <c r="B20" s="410" t="s">
        <v>44</v>
      </c>
      <c r="C20" s="411">
        <v>50002864</v>
      </c>
      <c r="D20" s="412">
        <v>26703</v>
      </c>
      <c r="E20" s="412">
        <v>32368</v>
      </c>
      <c r="F20" s="412">
        <v>35423.8</v>
      </c>
      <c r="G20" s="412">
        <v>38020</v>
      </c>
      <c r="H20" s="413"/>
      <c r="I20" s="426">
        <v>43757</v>
      </c>
      <c r="J20" s="426">
        <v>47349</v>
      </c>
      <c r="K20" s="426">
        <v>49180</v>
      </c>
    </row>
    <row r="21" ht="17.4" hidden="1" spans="1:11">
      <c r="A21" s="409">
        <v>20</v>
      </c>
      <c r="B21" s="410" t="s">
        <v>44</v>
      </c>
      <c r="C21" s="411">
        <v>50002710</v>
      </c>
      <c r="D21" s="412">
        <v>3903</v>
      </c>
      <c r="E21" s="412">
        <v>6356</v>
      </c>
      <c r="F21" s="412">
        <v>7464.47</v>
      </c>
      <c r="G21" s="412">
        <v>8589</v>
      </c>
      <c r="H21" s="413"/>
      <c r="I21" s="426">
        <v>11511</v>
      </c>
      <c r="J21" s="426">
        <v>13341</v>
      </c>
      <c r="K21" s="426">
        <v>14162</v>
      </c>
    </row>
    <row r="22" ht="17.4" hidden="1" spans="1:11">
      <c r="A22" s="409">
        <v>21</v>
      </c>
      <c r="B22" s="410" t="s">
        <v>44</v>
      </c>
      <c r="C22" s="411">
        <v>50002719</v>
      </c>
      <c r="D22" s="412">
        <v>4515</v>
      </c>
      <c r="E22" s="412">
        <v>7478</v>
      </c>
      <c r="F22" s="412">
        <v>9166.34</v>
      </c>
      <c r="G22" s="412">
        <v>10489</v>
      </c>
      <c r="H22" s="413"/>
      <c r="I22" s="426">
        <v>13350</v>
      </c>
      <c r="J22" s="426">
        <v>15149</v>
      </c>
      <c r="K22" s="426">
        <v>16096</v>
      </c>
    </row>
    <row r="23" ht="17.4" hidden="1" spans="1:11">
      <c r="A23" s="409">
        <v>22</v>
      </c>
      <c r="B23" s="410" t="s">
        <v>44</v>
      </c>
      <c r="C23" s="411">
        <v>50002876</v>
      </c>
      <c r="D23" s="412">
        <v>4040</v>
      </c>
      <c r="E23" s="412">
        <v>6783</v>
      </c>
      <c r="F23" s="412">
        <v>8314.63</v>
      </c>
      <c r="G23" s="412">
        <v>9617</v>
      </c>
      <c r="H23" s="413"/>
      <c r="I23" s="426">
        <v>12269</v>
      </c>
      <c r="J23" s="426">
        <v>13938</v>
      </c>
      <c r="K23" s="426">
        <v>14832</v>
      </c>
    </row>
    <row r="24" ht="17.4" hidden="1" spans="1:11">
      <c r="A24" s="409">
        <v>23</v>
      </c>
      <c r="B24" s="410" t="s">
        <v>44</v>
      </c>
      <c r="C24" s="411">
        <v>50002860</v>
      </c>
      <c r="D24" s="412">
        <v>5498</v>
      </c>
      <c r="E24" s="412">
        <v>8307</v>
      </c>
      <c r="F24" s="412">
        <v>9976.39</v>
      </c>
      <c r="G24" s="412">
        <v>11307</v>
      </c>
      <c r="H24" s="413"/>
      <c r="I24" s="426">
        <v>14010</v>
      </c>
      <c r="J24" s="426">
        <v>15720</v>
      </c>
      <c r="K24" s="426">
        <v>16609</v>
      </c>
    </row>
    <row r="25" ht="17.4" hidden="1" spans="1:11">
      <c r="A25" s="409">
        <v>24</v>
      </c>
      <c r="B25" s="410" t="s">
        <v>44</v>
      </c>
      <c r="C25" s="411">
        <v>50002649</v>
      </c>
      <c r="D25" s="412">
        <v>0</v>
      </c>
      <c r="E25" s="412">
        <v>0</v>
      </c>
      <c r="F25" s="412"/>
      <c r="G25" s="412"/>
      <c r="H25" s="416"/>
      <c r="I25" s="429"/>
      <c r="J25" s="426">
        <v>0</v>
      </c>
      <c r="K25" s="426"/>
    </row>
    <row r="26" hidden="1" spans="1:11">
      <c r="A26" s="417" t="s">
        <v>334</v>
      </c>
      <c r="B26" s="410" t="s">
        <v>44</v>
      </c>
      <c r="C26" s="411">
        <v>40002686</v>
      </c>
      <c r="D26" s="418">
        <v>1833.14</v>
      </c>
      <c r="E26" s="418">
        <v>11017.34</v>
      </c>
      <c r="F26" s="419">
        <v>26071.13</v>
      </c>
      <c r="G26" s="419">
        <v>36413</v>
      </c>
      <c r="H26" s="416"/>
      <c r="I26" s="429">
        <v>48306</v>
      </c>
      <c r="J26" s="429">
        <v>55361</v>
      </c>
      <c r="K26" s="429">
        <v>59831</v>
      </c>
    </row>
    <row r="27" ht="17.4" hidden="1" spans="1:11">
      <c r="A27" s="409" t="s">
        <v>336</v>
      </c>
      <c r="B27" s="410" t="s">
        <v>44</v>
      </c>
      <c r="C27" s="411">
        <v>40002693</v>
      </c>
      <c r="D27" s="412">
        <v>0</v>
      </c>
      <c r="E27" s="412">
        <v>0</v>
      </c>
      <c r="F27" s="420">
        <v>0</v>
      </c>
      <c r="G27" s="420"/>
      <c r="H27" s="421"/>
      <c r="I27" s="430"/>
      <c r="J27" s="429"/>
      <c r="K27" s="429">
        <v>0</v>
      </c>
    </row>
    <row r="28" ht="17.4" hidden="1" spans="1:11">
      <c r="A28" s="409" t="s">
        <v>339</v>
      </c>
      <c r="B28" s="410" t="s">
        <v>44</v>
      </c>
      <c r="C28" s="411">
        <v>50002858</v>
      </c>
      <c r="D28" s="412">
        <v>0</v>
      </c>
      <c r="E28" s="412">
        <v>0</v>
      </c>
      <c r="F28" s="420">
        <v>0</v>
      </c>
      <c r="G28" s="420">
        <v>0</v>
      </c>
      <c r="H28" s="421"/>
      <c r="I28" s="430">
        <v>0</v>
      </c>
      <c r="J28" s="430">
        <v>0</v>
      </c>
      <c r="K28" s="430">
        <v>0</v>
      </c>
    </row>
    <row r="29" hidden="1" spans="1:11">
      <c r="A29" s="422" t="s">
        <v>341</v>
      </c>
      <c r="B29" s="410" t="s">
        <v>44</v>
      </c>
      <c r="C29" s="411">
        <v>40002852</v>
      </c>
      <c r="D29" s="412"/>
      <c r="E29" s="412"/>
      <c r="F29" s="420"/>
      <c r="G29" s="420"/>
      <c r="H29" s="421"/>
      <c r="I29" s="430"/>
      <c r="J29" s="430"/>
      <c r="K29" s="430"/>
    </row>
    <row r="30" hidden="1" spans="1:11">
      <c r="A30" s="423" t="s">
        <v>342</v>
      </c>
      <c r="B30" s="410" t="s">
        <v>44</v>
      </c>
      <c r="C30" s="411">
        <v>40002693</v>
      </c>
      <c r="D30" s="412"/>
      <c r="E30" s="412"/>
      <c r="F30" s="420"/>
      <c r="G30" s="420"/>
      <c r="H30" s="421"/>
      <c r="I30" s="430"/>
      <c r="J30" s="430"/>
      <c r="K30" s="430"/>
    </row>
    <row r="31" ht="17.4" hidden="1" spans="1:11">
      <c r="A31" s="409">
        <v>1</v>
      </c>
      <c r="B31" s="410" t="s">
        <v>48</v>
      </c>
      <c r="C31" s="424">
        <v>50003409</v>
      </c>
      <c r="D31" s="412">
        <v>3498</v>
      </c>
      <c r="E31" s="412">
        <v>5938</v>
      </c>
      <c r="F31" s="412">
        <v>7210.69</v>
      </c>
      <c r="G31" s="412"/>
      <c r="H31" s="413">
        <v>8291.68</v>
      </c>
      <c r="I31" s="426">
        <v>10303</v>
      </c>
      <c r="J31" s="426">
        <v>11728</v>
      </c>
      <c r="K31" s="426">
        <v>12488</v>
      </c>
    </row>
    <row r="32" ht="17.4" hidden="1" spans="1:11">
      <c r="A32" s="409">
        <v>2</v>
      </c>
      <c r="B32" s="410" t="s">
        <v>48</v>
      </c>
      <c r="C32" s="424">
        <v>50003436</v>
      </c>
      <c r="D32" s="412">
        <v>265</v>
      </c>
      <c r="E32" s="412">
        <v>4070</v>
      </c>
      <c r="F32" s="412">
        <v>5442.96</v>
      </c>
      <c r="G32" s="412"/>
      <c r="H32" s="413">
        <v>7233.44</v>
      </c>
      <c r="I32" s="426">
        <v>11104</v>
      </c>
      <c r="J32" s="426">
        <v>13586</v>
      </c>
      <c r="K32" s="426">
        <v>14779</v>
      </c>
    </row>
    <row r="33" ht="17.4" hidden="1" spans="1:11">
      <c r="A33" s="409">
        <v>3</v>
      </c>
      <c r="B33" s="410" t="s">
        <v>48</v>
      </c>
      <c r="C33" s="424">
        <v>50004064</v>
      </c>
      <c r="D33" s="412">
        <v>0</v>
      </c>
      <c r="E33" s="412">
        <v>0</v>
      </c>
      <c r="F33" s="412">
        <v>684.6</v>
      </c>
      <c r="G33" s="412"/>
      <c r="H33" s="413">
        <v>1696.37</v>
      </c>
      <c r="I33" s="426">
        <v>3777</v>
      </c>
      <c r="J33" s="426">
        <v>5275</v>
      </c>
      <c r="K33" s="426">
        <v>5973</v>
      </c>
    </row>
    <row r="34" ht="17.4" hidden="1" spans="1:11">
      <c r="A34" s="409">
        <v>4</v>
      </c>
      <c r="B34" s="410" t="s">
        <v>48</v>
      </c>
      <c r="C34" s="424">
        <v>50003414</v>
      </c>
      <c r="D34" s="412">
        <v>0</v>
      </c>
      <c r="E34" s="412">
        <v>0</v>
      </c>
      <c r="F34" s="412">
        <v>458</v>
      </c>
      <c r="G34" s="412"/>
      <c r="H34" s="413">
        <v>1460.91</v>
      </c>
      <c r="I34" s="426">
        <v>4228</v>
      </c>
      <c r="J34" s="426">
        <v>5871</v>
      </c>
      <c r="K34" s="426">
        <v>6615</v>
      </c>
    </row>
    <row r="35" ht="17.4" hidden="1" spans="1:11">
      <c r="A35" s="409">
        <v>5</v>
      </c>
      <c r="B35" s="410" t="s">
        <v>48</v>
      </c>
      <c r="C35" s="424">
        <v>50003389</v>
      </c>
      <c r="D35" s="412">
        <v>5814</v>
      </c>
      <c r="E35" s="412">
        <v>9155</v>
      </c>
      <c r="F35" s="412">
        <v>10239.42</v>
      </c>
      <c r="G35" s="412"/>
      <c r="H35" s="413">
        <v>11614.69</v>
      </c>
      <c r="I35" s="426">
        <v>15198</v>
      </c>
      <c r="J35" s="426">
        <v>17553</v>
      </c>
      <c r="K35" s="426">
        <v>18600</v>
      </c>
    </row>
    <row r="36" ht="17.4" hidden="1" spans="1:11">
      <c r="A36" s="409">
        <v>6</v>
      </c>
      <c r="B36" s="410" t="s">
        <v>48</v>
      </c>
      <c r="C36" s="424">
        <v>50002969</v>
      </c>
      <c r="D36" s="412">
        <v>854</v>
      </c>
      <c r="E36" s="412">
        <v>4535</v>
      </c>
      <c r="F36" s="412">
        <v>5754.6</v>
      </c>
      <c r="G36" s="412"/>
      <c r="H36" s="413">
        <v>7410.18</v>
      </c>
      <c r="I36" s="426">
        <v>11083</v>
      </c>
      <c r="J36" s="426">
        <v>13497</v>
      </c>
      <c r="K36" s="426">
        <v>14615</v>
      </c>
    </row>
    <row r="37" ht="17.4" hidden="1" spans="1:11">
      <c r="A37" s="409">
        <v>7</v>
      </c>
      <c r="B37" s="410" t="s">
        <v>48</v>
      </c>
      <c r="C37" s="424">
        <v>50002951</v>
      </c>
      <c r="D37" s="412">
        <v>3559</v>
      </c>
      <c r="E37" s="412">
        <v>5963</v>
      </c>
      <c r="F37" s="412">
        <v>7249.59</v>
      </c>
      <c r="G37" s="412"/>
      <c r="H37" s="413">
        <v>8203.86</v>
      </c>
      <c r="I37" s="426">
        <v>10036</v>
      </c>
      <c r="J37" s="426">
        <v>11379</v>
      </c>
      <c r="K37" s="426">
        <v>12093</v>
      </c>
    </row>
    <row r="38" ht="17.4" hidden="1" spans="1:11">
      <c r="A38" s="409">
        <v>8</v>
      </c>
      <c r="B38" s="410" t="s">
        <v>48</v>
      </c>
      <c r="C38" s="424">
        <v>50002959</v>
      </c>
      <c r="D38" s="412">
        <v>17</v>
      </c>
      <c r="E38" s="412">
        <v>2480</v>
      </c>
      <c r="F38" s="412">
        <v>3838.25</v>
      </c>
      <c r="G38" s="412"/>
      <c r="H38" s="413">
        <v>5415.75</v>
      </c>
      <c r="I38" s="426">
        <v>8407</v>
      </c>
      <c r="J38" s="426">
        <v>10346</v>
      </c>
      <c r="K38" s="426">
        <v>11149</v>
      </c>
    </row>
    <row r="39" ht="17.4" hidden="1" spans="1:11">
      <c r="A39" s="409">
        <v>9</v>
      </c>
      <c r="B39" s="410" t="s">
        <v>48</v>
      </c>
      <c r="C39" s="415"/>
      <c r="D39" s="412">
        <v>0</v>
      </c>
      <c r="E39" s="412">
        <v>0</v>
      </c>
      <c r="F39" s="412">
        <v>0</v>
      </c>
      <c r="G39" s="412"/>
      <c r="H39" s="413"/>
      <c r="I39" s="426"/>
      <c r="J39" s="426"/>
      <c r="K39" s="426"/>
    </row>
    <row r="40" ht="17.4" hidden="1" spans="1:11">
      <c r="A40" s="409">
        <v>10</v>
      </c>
      <c r="B40" s="410" t="s">
        <v>48</v>
      </c>
      <c r="C40" s="424">
        <v>50003420</v>
      </c>
      <c r="D40" s="412">
        <v>12138</v>
      </c>
      <c r="E40" s="412">
        <v>14501</v>
      </c>
      <c r="F40" s="412">
        <v>15561</v>
      </c>
      <c r="G40" s="412"/>
      <c r="H40" s="413">
        <v>16512.4</v>
      </c>
      <c r="I40" s="426">
        <v>18452</v>
      </c>
      <c r="J40" s="426">
        <v>19803</v>
      </c>
      <c r="K40" s="426">
        <v>20554</v>
      </c>
    </row>
    <row r="41" ht="17.4" hidden="1" spans="1:11">
      <c r="A41" s="409">
        <v>11</v>
      </c>
      <c r="B41" s="410" t="s">
        <v>48</v>
      </c>
      <c r="C41" s="425">
        <v>50003410</v>
      </c>
      <c r="D41" s="412">
        <v>3886</v>
      </c>
      <c r="E41" s="412">
        <v>7001</v>
      </c>
      <c r="F41" s="412">
        <v>8634.89</v>
      </c>
      <c r="G41" s="412"/>
      <c r="H41" s="413">
        <v>9978.43</v>
      </c>
      <c r="I41" s="426">
        <v>12683</v>
      </c>
      <c r="J41" s="426">
        <v>14556</v>
      </c>
      <c r="K41" s="426">
        <v>15620</v>
      </c>
    </row>
    <row r="42" ht="17.4" hidden="1" spans="1:11">
      <c r="A42" s="409">
        <v>12</v>
      </c>
      <c r="B42" s="410" t="s">
        <v>48</v>
      </c>
      <c r="C42" s="424">
        <v>50003418</v>
      </c>
      <c r="D42" s="412">
        <v>7374</v>
      </c>
      <c r="E42" s="412">
        <v>12649</v>
      </c>
      <c r="F42" s="412">
        <v>15529.02</v>
      </c>
      <c r="G42" s="412"/>
      <c r="H42" s="413">
        <v>18068.36</v>
      </c>
      <c r="I42" s="426">
        <v>22544</v>
      </c>
      <c r="J42" s="426">
        <v>25441</v>
      </c>
      <c r="K42" s="426">
        <v>26958</v>
      </c>
    </row>
    <row r="43" ht="17.4" hidden="1" spans="1:11">
      <c r="A43" s="409">
        <v>13</v>
      </c>
      <c r="B43" s="410" t="s">
        <v>48</v>
      </c>
      <c r="C43" s="424">
        <v>50002859</v>
      </c>
      <c r="D43" s="412">
        <v>7339</v>
      </c>
      <c r="E43" s="412">
        <v>12702</v>
      </c>
      <c r="F43" s="412">
        <v>15409</v>
      </c>
      <c r="G43" s="412"/>
      <c r="H43" s="413">
        <v>17371.93</v>
      </c>
      <c r="I43" s="426">
        <v>21569</v>
      </c>
      <c r="J43" s="426">
        <v>24315</v>
      </c>
      <c r="K43" s="426">
        <v>25704</v>
      </c>
    </row>
    <row r="44" ht="17.4" hidden="1" spans="1:11">
      <c r="A44" s="409">
        <v>14</v>
      </c>
      <c r="B44" s="410" t="s">
        <v>48</v>
      </c>
      <c r="C44" s="424">
        <v>50003396</v>
      </c>
      <c r="D44" s="412">
        <v>0</v>
      </c>
      <c r="E44" s="412">
        <v>2</v>
      </c>
      <c r="F44" s="412">
        <v>1827.01</v>
      </c>
      <c r="G44" s="412"/>
      <c r="H44" s="413">
        <v>4120.68</v>
      </c>
      <c r="I44" s="426">
        <v>8268</v>
      </c>
      <c r="J44" s="426">
        <v>10948</v>
      </c>
      <c r="K44" s="426">
        <v>12390</v>
      </c>
    </row>
    <row r="45" ht="17.4" hidden="1" spans="1:11">
      <c r="A45" s="409">
        <v>15</v>
      </c>
      <c r="B45" s="410" t="s">
        <v>48</v>
      </c>
      <c r="C45" s="424">
        <v>50003401</v>
      </c>
      <c r="D45" s="412">
        <v>3840</v>
      </c>
      <c r="E45" s="412">
        <v>6062</v>
      </c>
      <c r="F45" s="412">
        <v>6901.57</v>
      </c>
      <c r="G45" s="412"/>
      <c r="H45" s="413">
        <v>7887.39</v>
      </c>
      <c r="I45" s="426">
        <v>10135</v>
      </c>
      <c r="J45" s="426">
        <v>11621</v>
      </c>
      <c r="K45" s="426">
        <v>12299</v>
      </c>
    </row>
    <row r="46" ht="17.4" hidden="1" spans="1:11">
      <c r="A46" s="409">
        <v>16</v>
      </c>
      <c r="B46" s="410" t="s">
        <v>48</v>
      </c>
      <c r="C46" s="424">
        <v>50003430</v>
      </c>
      <c r="D46" s="412">
        <v>3504</v>
      </c>
      <c r="E46" s="412">
        <v>6007</v>
      </c>
      <c r="F46" s="412">
        <v>7399.42</v>
      </c>
      <c r="G46" s="412"/>
      <c r="H46" s="413">
        <v>8490.27</v>
      </c>
      <c r="I46" s="426">
        <v>10472</v>
      </c>
      <c r="J46" s="426">
        <v>11911</v>
      </c>
      <c r="K46" s="426">
        <v>12675</v>
      </c>
    </row>
    <row r="47" ht="17.4" hidden="1" spans="1:11">
      <c r="A47" s="409">
        <v>17</v>
      </c>
      <c r="B47" s="410" t="s">
        <v>48</v>
      </c>
      <c r="C47" s="424">
        <v>50003415</v>
      </c>
      <c r="D47" s="412">
        <v>10794</v>
      </c>
      <c r="E47" s="412">
        <v>12766</v>
      </c>
      <c r="F47" s="412">
        <v>13535</v>
      </c>
      <c r="G47" s="412"/>
      <c r="H47" s="413">
        <v>14606</v>
      </c>
      <c r="I47" s="426">
        <v>16887</v>
      </c>
      <c r="J47" s="426">
        <v>18209</v>
      </c>
      <c r="K47" s="426">
        <v>18878</v>
      </c>
    </row>
    <row r="48" ht="17.4" hidden="1" spans="1:11">
      <c r="A48" s="409">
        <v>18</v>
      </c>
      <c r="B48" s="410" t="s">
        <v>48</v>
      </c>
      <c r="C48" s="424">
        <v>50002895</v>
      </c>
      <c r="D48" s="412">
        <v>0</v>
      </c>
      <c r="E48" s="412">
        <v>0</v>
      </c>
      <c r="F48" s="412">
        <v>0</v>
      </c>
      <c r="G48" s="412"/>
      <c r="H48" s="413">
        <v>0</v>
      </c>
      <c r="I48" s="426"/>
      <c r="J48" s="426">
        <v>702</v>
      </c>
      <c r="K48" s="426">
        <v>1345</v>
      </c>
    </row>
    <row r="49" ht="17.4" hidden="1" spans="1:11">
      <c r="A49" s="409">
        <v>19</v>
      </c>
      <c r="B49" s="410" t="s">
        <v>48</v>
      </c>
      <c r="C49" s="424">
        <v>50003432</v>
      </c>
      <c r="D49" s="412">
        <v>3403</v>
      </c>
      <c r="E49" s="412">
        <v>5961</v>
      </c>
      <c r="F49" s="412">
        <v>7410.45</v>
      </c>
      <c r="G49" s="412"/>
      <c r="H49" s="413">
        <v>8570.52</v>
      </c>
      <c r="I49" s="426">
        <v>10481</v>
      </c>
      <c r="J49" s="426">
        <v>11806</v>
      </c>
      <c r="K49" s="426">
        <v>12573</v>
      </c>
    </row>
    <row r="50" ht="17.4" hidden="1" spans="1:11">
      <c r="A50" s="409">
        <v>20</v>
      </c>
      <c r="B50" s="410" t="s">
        <v>48</v>
      </c>
      <c r="C50" s="424">
        <v>50002972</v>
      </c>
      <c r="D50" s="412">
        <v>24099</v>
      </c>
      <c r="E50" s="412">
        <v>29256</v>
      </c>
      <c r="F50" s="412">
        <v>31484.53</v>
      </c>
      <c r="G50" s="412"/>
      <c r="H50" s="413">
        <v>33564.89</v>
      </c>
      <c r="I50" s="426">
        <v>37964</v>
      </c>
      <c r="J50" s="426">
        <v>40923</v>
      </c>
      <c r="K50" s="426">
        <v>42471</v>
      </c>
    </row>
    <row r="51" ht="17.4" hidden="1" spans="1:11">
      <c r="A51" s="409">
        <v>21</v>
      </c>
      <c r="B51" s="410" t="s">
        <v>48</v>
      </c>
      <c r="C51" s="424">
        <v>50002650</v>
      </c>
      <c r="D51" s="412">
        <v>24156</v>
      </c>
      <c r="E51" s="412">
        <v>28297</v>
      </c>
      <c r="F51" s="412">
        <v>29924.37</v>
      </c>
      <c r="G51" s="412"/>
      <c r="H51" s="413">
        <v>31896.88</v>
      </c>
      <c r="I51" s="426">
        <v>36318</v>
      </c>
      <c r="J51" s="426">
        <v>39181</v>
      </c>
      <c r="K51" s="426">
        <v>40534</v>
      </c>
    </row>
    <row r="52" hidden="1" spans="1:11">
      <c r="A52" s="417" t="s">
        <v>334</v>
      </c>
      <c r="B52" s="410" t="s">
        <v>48</v>
      </c>
      <c r="C52" s="424">
        <v>40002670</v>
      </c>
      <c r="D52" s="412">
        <v>2093.81</v>
      </c>
      <c r="E52" s="412">
        <v>13451.22</v>
      </c>
      <c r="F52" s="412">
        <v>29901.46</v>
      </c>
      <c r="G52" s="412"/>
      <c r="H52" s="413">
        <v>44114.54</v>
      </c>
      <c r="I52" s="426">
        <v>53961</v>
      </c>
      <c r="J52" s="426">
        <v>60162</v>
      </c>
      <c r="K52" s="426">
        <v>64245</v>
      </c>
    </row>
    <row r="53" ht="17.4" hidden="1" spans="1:11">
      <c r="A53" s="409" t="s">
        <v>336</v>
      </c>
      <c r="B53" s="410" t="s">
        <v>48</v>
      </c>
      <c r="C53" s="424">
        <v>40002667</v>
      </c>
      <c r="D53" s="412">
        <v>0</v>
      </c>
      <c r="E53" s="412">
        <v>0</v>
      </c>
      <c r="F53" s="412">
        <v>0</v>
      </c>
      <c r="G53" s="412"/>
      <c r="H53" s="413">
        <v>0</v>
      </c>
      <c r="I53" s="426">
        <v>0</v>
      </c>
      <c r="J53" s="426">
        <v>0</v>
      </c>
      <c r="K53" s="426">
        <v>0</v>
      </c>
    </row>
    <row r="54" ht="17.4" hidden="1" spans="1:11">
      <c r="A54" s="409" t="s">
        <v>339</v>
      </c>
      <c r="B54" s="410" t="s">
        <v>48</v>
      </c>
      <c r="C54" s="424">
        <v>50003399</v>
      </c>
      <c r="D54" s="412">
        <v>0</v>
      </c>
      <c r="E54" s="412">
        <v>0</v>
      </c>
      <c r="F54" s="412">
        <v>0</v>
      </c>
      <c r="G54" s="412"/>
      <c r="H54" s="413">
        <v>0</v>
      </c>
      <c r="I54" s="426">
        <v>0</v>
      </c>
      <c r="J54" s="426">
        <v>0</v>
      </c>
      <c r="K54" s="426">
        <v>0</v>
      </c>
    </row>
    <row r="55" hidden="1" spans="1:11">
      <c r="A55" s="422" t="s">
        <v>341</v>
      </c>
      <c r="B55" s="410" t="s">
        <v>48</v>
      </c>
      <c r="C55" s="424"/>
      <c r="D55" s="426"/>
      <c r="E55" s="412"/>
      <c r="F55" s="426"/>
      <c r="G55" s="426"/>
      <c r="H55" s="413"/>
      <c r="I55" s="426"/>
      <c r="J55" s="426"/>
      <c r="K55" s="426"/>
    </row>
    <row r="56" hidden="1" spans="1:11">
      <c r="A56" s="423" t="s">
        <v>342</v>
      </c>
      <c r="B56" s="410" t="s">
        <v>48</v>
      </c>
      <c r="C56" s="424"/>
      <c r="D56" s="426"/>
      <c r="E56" s="412"/>
      <c r="F56" s="426"/>
      <c r="G56" s="426"/>
      <c r="H56" s="413"/>
      <c r="I56" s="426"/>
      <c r="J56" s="426"/>
      <c r="K56" s="426"/>
    </row>
    <row r="57" ht="17.4" spans="1:11">
      <c r="A57" s="409">
        <v>1</v>
      </c>
      <c r="B57" s="410" t="s">
        <v>52</v>
      </c>
      <c r="C57" s="424">
        <v>50003397</v>
      </c>
      <c r="D57" s="412">
        <v>22466</v>
      </c>
      <c r="E57" s="412">
        <v>26592</v>
      </c>
      <c r="F57" s="412">
        <v>28434.59</v>
      </c>
      <c r="G57" s="412"/>
      <c r="H57" s="413">
        <v>30242.14</v>
      </c>
      <c r="I57" s="426">
        <v>33585</v>
      </c>
      <c r="J57" s="426">
        <v>36147</v>
      </c>
      <c r="K57" s="426">
        <v>37477</v>
      </c>
    </row>
    <row r="58" ht="17.4" spans="1:11">
      <c r="A58" s="409">
        <v>2</v>
      </c>
      <c r="B58" s="410" t="s">
        <v>52</v>
      </c>
      <c r="C58" s="424">
        <v>50003402</v>
      </c>
      <c r="D58" s="412">
        <v>7976</v>
      </c>
      <c r="E58" s="412">
        <v>10495</v>
      </c>
      <c r="F58" s="412">
        <v>11875.44</v>
      </c>
      <c r="G58" s="412"/>
      <c r="H58" s="413">
        <v>13112.99</v>
      </c>
      <c r="I58" s="426">
        <v>15113</v>
      </c>
      <c r="J58" s="426">
        <v>16602</v>
      </c>
      <c r="K58" s="426">
        <v>17462</v>
      </c>
    </row>
    <row r="59" ht="17.4" spans="1:11">
      <c r="A59" s="409">
        <v>3</v>
      </c>
      <c r="B59" s="410" t="s">
        <v>52</v>
      </c>
      <c r="C59" s="424">
        <v>50003431</v>
      </c>
      <c r="D59" s="412">
        <v>8104</v>
      </c>
      <c r="E59" s="412">
        <v>11934</v>
      </c>
      <c r="F59" s="412">
        <v>13449.26</v>
      </c>
      <c r="G59" s="412"/>
      <c r="H59" s="413">
        <v>15190.17</v>
      </c>
      <c r="I59" s="426">
        <v>18755</v>
      </c>
      <c r="J59" s="426">
        <v>21422</v>
      </c>
      <c r="K59" s="426">
        <v>22749</v>
      </c>
    </row>
    <row r="60" ht="17.4" spans="1:11">
      <c r="A60" s="409">
        <v>4</v>
      </c>
      <c r="B60" s="410" t="s">
        <v>52</v>
      </c>
      <c r="C60" s="424">
        <v>50003394</v>
      </c>
      <c r="D60" s="412">
        <v>5365</v>
      </c>
      <c r="E60" s="412">
        <v>7545</v>
      </c>
      <c r="F60" s="412">
        <v>8389.8</v>
      </c>
      <c r="G60" s="412"/>
      <c r="H60" s="413">
        <v>9245.87</v>
      </c>
      <c r="I60" s="426">
        <v>11256</v>
      </c>
      <c r="J60" s="426">
        <v>12825</v>
      </c>
      <c r="K60" s="426">
        <v>13492</v>
      </c>
    </row>
    <row r="61" ht="17.4" spans="1:11">
      <c r="A61" s="409">
        <v>5</v>
      </c>
      <c r="B61" s="410" t="s">
        <v>52</v>
      </c>
      <c r="C61" s="424">
        <v>50003433</v>
      </c>
      <c r="D61" s="412">
        <v>23221</v>
      </c>
      <c r="E61" s="412">
        <v>26772</v>
      </c>
      <c r="F61" s="412">
        <v>28547.9</v>
      </c>
      <c r="G61" s="412"/>
      <c r="H61" s="413">
        <v>29022.8</v>
      </c>
      <c r="I61" s="426">
        <v>34752</v>
      </c>
      <c r="J61" s="426">
        <v>37400</v>
      </c>
      <c r="K61" s="426">
        <v>38690</v>
      </c>
    </row>
    <row r="62" ht="17.4" spans="1:11">
      <c r="A62" s="409">
        <v>6</v>
      </c>
      <c r="B62" s="410" t="s">
        <v>52</v>
      </c>
      <c r="C62" s="424">
        <v>50003421</v>
      </c>
      <c r="D62" s="412">
        <v>1616</v>
      </c>
      <c r="E62" s="412">
        <v>6999</v>
      </c>
      <c r="F62" s="412">
        <v>9599.41</v>
      </c>
      <c r="G62" s="412"/>
      <c r="H62" s="413">
        <v>11712.14</v>
      </c>
      <c r="I62" s="426">
        <v>15827</v>
      </c>
      <c r="J62" s="426">
        <v>18997</v>
      </c>
      <c r="K62" s="426">
        <v>20723</v>
      </c>
    </row>
    <row r="63" ht="17.4" spans="1:11">
      <c r="A63" s="409">
        <v>7</v>
      </c>
      <c r="B63" s="410" t="s">
        <v>52</v>
      </c>
      <c r="C63" s="424">
        <v>50002953</v>
      </c>
      <c r="D63" s="412">
        <v>141</v>
      </c>
      <c r="E63" s="412">
        <v>141</v>
      </c>
      <c r="F63" s="412">
        <v>141</v>
      </c>
      <c r="G63" s="412"/>
      <c r="H63" s="413">
        <v>141</v>
      </c>
      <c r="I63" s="426">
        <v>142</v>
      </c>
      <c r="J63" s="426">
        <v>142</v>
      </c>
      <c r="K63" s="426">
        <v>142</v>
      </c>
    </row>
    <row r="64" ht="17.4" spans="1:11">
      <c r="A64" s="409">
        <v>8</v>
      </c>
      <c r="B64" s="410" t="s">
        <v>52</v>
      </c>
      <c r="C64" s="424">
        <v>50003395</v>
      </c>
      <c r="D64" s="412">
        <v>27333</v>
      </c>
      <c r="E64" s="412">
        <v>32684</v>
      </c>
      <c r="F64" s="412">
        <v>35790</v>
      </c>
      <c r="G64" s="412"/>
      <c r="H64" s="413">
        <v>38188.55</v>
      </c>
      <c r="I64" s="426">
        <v>41841</v>
      </c>
      <c r="J64" s="426">
        <v>44296</v>
      </c>
      <c r="K64" s="426">
        <v>46064</v>
      </c>
    </row>
    <row r="65" ht="17.4" spans="1:11">
      <c r="A65" s="409">
        <v>9</v>
      </c>
      <c r="B65" s="410" t="s">
        <v>52</v>
      </c>
      <c r="C65" s="424">
        <v>50003435</v>
      </c>
      <c r="D65" s="412">
        <v>0</v>
      </c>
      <c r="E65" s="412"/>
      <c r="F65" s="412"/>
      <c r="G65" s="412"/>
      <c r="H65" s="413"/>
      <c r="I65" s="426"/>
      <c r="J65" s="426"/>
      <c r="K65" s="426"/>
    </row>
    <row r="66" ht="17.4" spans="1:11">
      <c r="A66" s="409">
        <v>10</v>
      </c>
      <c r="B66" s="410" t="s">
        <v>52</v>
      </c>
      <c r="C66" s="424">
        <v>50002952</v>
      </c>
      <c r="D66" s="412">
        <v>3264</v>
      </c>
      <c r="E66" s="412">
        <v>5676</v>
      </c>
      <c r="F66" s="412">
        <v>7004.47</v>
      </c>
      <c r="G66" s="412"/>
      <c r="H66" s="413">
        <v>8189.7</v>
      </c>
      <c r="I66" s="426">
        <v>10088</v>
      </c>
      <c r="J66" s="426">
        <v>11546</v>
      </c>
      <c r="K66" s="426">
        <v>12402</v>
      </c>
    </row>
    <row r="67" ht="17.4" spans="1:11">
      <c r="A67" s="409">
        <v>11</v>
      </c>
      <c r="B67" s="410" t="s">
        <v>52</v>
      </c>
      <c r="C67" s="424">
        <v>50002944</v>
      </c>
      <c r="D67" s="412">
        <v>0</v>
      </c>
      <c r="E67" s="412"/>
      <c r="F67" s="412"/>
      <c r="G67" s="412"/>
      <c r="H67" s="413"/>
      <c r="I67" s="426"/>
      <c r="J67" s="426"/>
      <c r="K67" s="426"/>
    </row>
    <row r="68" ht="17.4" spans="1:11">
      <c r="A68" s="431">
        <v>12</v>
      </c>
      <c r="B68" s="431" t="s">
        <v>52</v>
      </c>
      <c r="C68" s="424">
        <v>3308026898</v>
      </c>
      <c r="D68" s="412">
        <v>0</v>
      </c>
      <c r="E68" s="412">
        <v>0</v>
      </c>
      <c r="F68" s="412">
        <v>187.42</v>
      </c>
      <c r="G68" s="412"/>
      <c r="H68" s="413">
        <v>1255.9</v>
      </c>
      <c r="I68" s="426">
        <v>3279.89</v>
      </c>
      <c r="J68" s="426">
        <v>4812.19</v>
      </c>
      <c r="K68" s="426">
        <v>5683.79</v>
      </c>
    </row>
    <row r="69" ht="17.4" spans="1:11">
      <c r="A69" s="409">
        <v>13</v>
      </c>
      <c r="B69" s="410" t="s">
        <v>52</v>
      </c>
      <c r="C69" s="424">
        <v>50003424</v>
      </c>
      <c r="D69" s="412">
        <v>3791</v>
      </c>
      <c r="E69" s="412">
        <v>6015</v>
      </c>
      <c r="F69" s="412">
        <v>7169</v>
      </c>
      <c r="G69" s="412"/>
      <c r="H69" s="413">
        <v>7899.89</v>
      </c>
      <c r="I69" s="426">
        <v>9864</v>
      </c>
      <c r="J69" s="426">
        <v>11307</v>
      </c>
      <c r="K69" s="426">
        <v>12061</v>
      </c>
    </row>
    <row r="70" ht="17.4" spans="1:11">
      <c r="A70" s="409">
        <v>14</v>
      </c>
      <c r="B70" s="410" t="s">
        <v>52</v>
      </c>
      <c r="C70" s="424">
        <v>50003438</v>
      </c>
      <c r="D70" s="412">
        <v>5315</v>
      </c>
      <c r="E70" s="412">
        <v>5695</v>
      </c>
      <c r="F70" s="412">
        <v>6442.82</v>
      </c>
      <c r="G70" s="412"/>
      <c r="H70" s="413">
        <v>7320.62</v>
      </c>
      <c r="I70" s="426">
        <v>9306</v>
      </c>
      <c r="J70" s="426">
        <v>10855</v>
      </c>
      <c r="K70" s="426">
        <v>11592</v>
      </c>
    </row>
    <row r="71" ht="17.4" spans="1:11">
      <c r="A71" s="409">
        <v>15</v>
      </c>
      <c r="B71" s="410" t="s">
        <v>52</v>
      </c>
      <c r="C71" s="424">
        <v>50003404</v>
      </c>
      <c r="D71" s="412">
        <v>5083</v>
      </c>
      <c r="E71" s="412">
        <v>9362</v>
      </c>
      <c r="F71" s="412">
        <v>11609.07</v>
      </c>
      <c r="G71" s="412"/>
      <c r="H71" s="413">
        <v>13649.03</v>
      </c>
      <c r="I71" s="426">
        <v>16919</v>
      </c>
      <c r="J71" s="426">
        <v>19466</v>
      </c>
      <c r="K71" s="426">
        <v>20916</v>
      </c>
    </row>
    <row r="72" ht="17.4" spans="1:11">
      <c r="A72" s="409">
        <v>16</v>
      </c>
      <c r="B72" s="410" t="s">
        <v>52</v>
      </c>
      <c r="C72" s="424">
        <v>50003419</v>
      </c>
      <c r="D72" s="412">
        <v>7655</v>
      </c>
      <c r="E72" s="412">
        <v>13525</v>
      </c>
      <c r="F72" s="412">
        <v>16903.4</v>
      </c>
      <c r="G72" s="412"/>
      <c r="H72" s="413">
        <v>19713.42</v>
      </c>
      <c r="I72" s="426">
        <v>24215</v>
      </c>
      <c r="J72" s="426">
        <v>27788</v>
      </c>
      <c r="K72" s="426">
        <v>29752</v>
      </c>
    </row>
    <row r="73" ht="17.4" spans="1:11">
      <c r="A73" s="409">
        <v>17</v>
      </c>
      <c r="B73" s="410" t="s">
        <v>52</v>
      </c>
      <c r="C73" s="424">
        <v>50003428</v>
      </c>
      <c r="D73" s="412">
        <v>0</v>
      </c>
      <c r="E73" s="412"/>
      <c r="F73" s="412"/>
      <c r="G73" s="412"/>
      <c r="H73" s="413"/>
      <c r="I73" s="426"/>
      <c r="J73" s="426"/>
      <c r="K73" s="426"/>
    </row>
    <row r="74" ht="17.4" spans="1:11">
      <c r="A74" s="409">
        <v>18</v>
      </c>
      <c r="B74" s="410" t="s">
        <v>52</v>
      </c>
      <c r="C74" s="424">
        <v>50002935</v>
      </c>
      <c r="D74" s="412">
        <v>0</v>
      </c>
      <c r="E74" s="412"/>
      <c r="F74" s="412">
        <v>1</v>
      </c>
      <c r="G74" s="412"/>
      <c r="H74" s="413">
        <v>705.36</v>
      </c>
      <c r="I74" s="426">
        <v>4017</v>
      </c>
      <c r="J74" s="426">
        <v>5995</v>
      </c>
      <c r="K74" s="426">
        <v>7545</v>
      </c>
    </row>
    <row r="75" ht="17.4" spans="1:11">
      <c r="A75" s="409">
        <v>19</v>
      </c>
      <c r="B75" s="410" t="s">
        <v>52</v>
      </c>
      <c r="C75" s="424">
        <v>50003417</v>
      </c>
      <c r="D75" s="412">
        <v>10388</v>
      </c>
      <c r="E75" s="412">
        <v>15762</v>
      </c>
      <c r="F75" s="412">
        <v>18813.23</v>
      </c>
      <c r="G75" s="412"/>
      <c r="H75" s="413">
        <v>21239.96</v>
      </c>
      <c r="I75" s="426">
        <v>25220</v>
      </c>
      <c r="J75" s="426">
        <v>28182</v>
      </c>
      <c r="K75" s="426">
        <v>29966</v>
      </c>
    </row>
    <row r="76" spans="1:11">
      <c r="A76" s="417" t="s">
        <v>334</v>
      </c>
      <c r="B76" s="410" t="s">
        <v>52</v>
      </c>
      <c r="C76" s="424">
        <v>40002722</v>
      </c>
      <c r="D76" s="412">
        <v>1185.25</v>
      </c>
      <c r="E76" s="412">
        <v>8547.62</v>
      </c>
      <c r="F76" s="412">
        <v>19040.97</v>
      </c>
      <c r="G76" s="412"/>
      <c r="H76" s="413">
        <v>29007.26</v>
      </c>
      <c r="I76" s="426">
        <v>33894</v>
      </c>
      <c r="J76" s="426">
        <v>38471</v>
      </c>
      <c r="K76" s="426">
        <v>40865</v>
      </c>
    </row>
    <row r="77" ht="17.4" spans="1:11">
      <c r="A77" s="409" t="s">
        <v>336</v>
      </c>
      <c r="B77" s="410" t="s">
        <v>52</v>
      </c>
      <c r="C77" s="424">
        <v>40002728</v>
      </c>
      <c r="D77" s="412">
        <v>0</v>
      </c>
      <c r="E77" s="412">
        <v>0</v>
      </c>
      <c r="F77" s="412">
        <v>0</v>
      </c>
      <c r="G77" s="412"/>
      <c r="H77" s="413">
        <v>0</v>
      </c>
      <c r="I77" s="426"/>
      <c r="J77" s="426"/>
      <c r="K77" s="426"/>
    </row>
    <row r="78" ht="17.4" spans="1:11">
      <c r="A78" s="409" t="s">
        <v>339</v>
      </c>
      <c r="B78" s="410" t="s">
        <v>52</v>
      </c>
      <c r="C78" s="424">
        <v>50003429</v>
      </c>
      <c r="D78" s="412">
        <v>0</v>
      </c>
      <c r="E78" s="412">
        <v>0</v>
      </c>
      <c r="F78" s="412">
        <v>0</v>
      </c>
      <c r="G78" s="412"/>
      <c r="H78" s="413">
        <v>0</v>
      </c>
      <c r="I78" s="426">
        <v>0</v>
      </c>
      <c r="J78" s="426">
        <v>0</v>
      </c>
      <c r="K78" s="426">
        <v>0</v>
      </c>
    </row>
    <row r="79" spans="1:11">
      <c r="A79" s="422" t="s">
        <v>341</v>
      </c>
      <c r="B79" s="410" t="s">
        <v>52</v>
      </c>
      <c r="C79" s="424">
        <v>50003406</v>
      </c>
      <c r="D79" s="426"/>
      <c r="E79" s="412"/>
      <c r="F79" s="426"/>
      <c r="G79" s="426"/>
      <c r="H79" s="413"/>
      <c r="I79" s="426"/>
      <c r="J79" s="426"/>
      <c r="K79" s="426"/>
    </row>
    <row r="80" spans="1:11">
      <c r="A80" s="423" t="s">
        <v>342</v>
      </c>
      <c r="B80" s="410" t="s">
        <v>52</v>
      </c>
      <c r="C80" s="424">
        <v>50003408</v>
      </c>
      <c r="D80" s="412"/>
      <c r="E80" s="412"/>
      <c r="F80" s="412"/>
      <c r="G80" s="412"/>
      <c r="H80" s="413"/>
      <c r="I80" s="426"/>
      <c r="J80" s="426"/>
      <c r="K80" s="426"/>
    </row>
    <row r="81" ht="17.4" hidden="1" spans="1:11">
      <c r="A81" s="409">
        <v>1</v>
      </c>
      <c r="B81" s="410" t="s">
        <v>54</v>
      </c>
      <c r="C81" s="414"/>
      <c r="D81" s="412"/>
      <c r="E81" s="412">
        <v>0</v>
      </c>
      <c r="F81" s="412"/>
      <c r="G81" s="412">
        <v>0</v>
      </c>
      <c r="H81" s="413"/>
      <c r="I81" s="426"/>
      <c r="J81" s="426"/>
      <c r="K81" s="426"/>
    </row>
    <row r="82" ht="17.4" hidden="1" spans="1:11">
      <c r="A82" s="409">
        <v>2</v>
      </c>
      <c r="B82" s="410" t="s">
        <v>54</v>
      </c>
      <c r="C82" s="424">
        <v>50002903</v>
      </c>
      <c r="D82" s="412"/>
      <c r="E82" s="412">
        <v>9441</v>
      </c>
      <c r="F82" s="412"/>
      <c r="G82" s="412">
        <v>14105</v>
      </c>
      <c r="H82" s="413"/>
      <c r="I82" s="426">
        <v>18618</v>
      </c>
      <c r="J82" s="426">
        <v>21526</v>
      </c>
      <c r="K82" s="426">
        <v>23084</v>
      </c>
    </row>
    <row r="83" ht="17.4" hidden="1" spans="1:11">
      <c r="A83" s="409">
        <v>3</v>
      </c>
      <c r="B83" s="410" t="s">
        <v>54</v>
      </c>
      <c r="C83" s="414"/>
      <c r="D83" s="412"/>
      <c r="E83" s="412">
        <v>0</v>
      </c>
      <c r="F83" s="412"/>
      <c r="G83" s="412">
        <v>0</v>
      </c>
      <c r="H83" s="413"/>
      <c r="I83" s="426"/>
      <c r="J83" s="426"/>
      <c r="K83" s="426"/>
    </row>
    <row r="84" ht="17.4" hidden="1" spans="1:11">
      <c r="A84" s="409">
        <v>4</v>
      </c>
      <c r="B84" s="410" t="s">
        <v>54</v>
      </c>
      <c r="C84" s="414"/>
      <c r="D84" s="412"/>
      <c r="E84" s="412">
        <v>0</v>
      </c>
      <c r="F84" s="412"/>
      <c r="G84" s="412">
        <v>0</v>
      </c>
      <c r="H84" s="413"/>
      <c r="I84" s="426"/>
      <c r="J84" s="426"/>
      <c r="K84" s="426"/>
    </row>
    <row r="85" ht="17.4" hidden="1" spans="1:11">
      <c r="A85" s="409">
        <v>5</v>
      </c>
      <c r="B85" s="410" t="s">
        <v>54</v>
      </c>
      <c r="C85" s="424">
        <v>50002911</v>
      </c>
      <c r="D85" s="412"/>
      <c r="E85" s="412">
        <v>2</v>
      </c>
      <c r="F85" s="412"/>
      <c r="G85" s="412">
        <v>3604</v>
      </c>
      <c r="H85" s="413"/>
      <c r="I85" s="426">
        <v>7727</v>
      </c>
      <c r="J85" s="426">
        <v>10460</v>
      </c>
      <c r="K85" s="426">
        <v>12017</v>
      </c>
    </row>
    <row r="86" ht="17.4" hidden="1" spans="1:11">
      <c r="A86" s="409">
        <v>6</v>
      </c>
      <c r="B86" s="410" t="s">
        <v>54</v>
      </c>
      <c r="C86" s="414"/>
      <c r="D86" s="412"/>
      <c r="E86" s="412">
        <v>0</v>
      </c>
      <c r="F86" s="412"/>
      <c r="G86" s="412">
        <v>0</v>
      </c>
      <c r="H86" s="413"/>
      <c r="I86" s="426"/>
      <c r="J86" s="426"/>
      <c r="K86" s="426"/>
    </row>
    <row r="87" ht="17.4" hidden="1" spans="1:11">
      <c r="A87" s="409">
        <v>7</v>
      </c>
      <c r="B87" s="410" t="s">
        <v>54</v>
      </c>
      <c r="C87" s="414"/>
      <c r="D87" s="412"/>
      <c r="E87" s="412">
        <v>0</v>
      </c>
      <c r="F87" s="412"/>
      <c r="G87" s="412">
        <v>0</v>
      </c>
      <c r="H87" s="413"/>
      <c r="I87" s="426"/>
      <c r="J87" s="426"/>
      <c r="K87" s="426"/>
    </row>
    <row r="88" ht="17.4" hidden="1" spans="1:11">
      <c r="A88" s="409">
        <v>8</v>
      </c>
      <c r="B88" s="410" t="s">
        <v>54</v>
      </c>
      <c r="C88" s="414"/>
      <c r="D88" s="412"/>
      <c r="E88" s="412">
        <v>0</v>
      </c>
      <c r="F88" s="412"/>
      <c r="G88" s="412">
        <v>0</v>
      </c>
      <c r="H88" s="413"/>
      <c r="I88" s="426"/>
      <c r="J88" s="426"/>
      <c r="K88" s="426"/>
    </row>
    <row r="89" ht="17.4" hidden="1" spans="1:11">
      <c r="A89" s="409">
        <v>9</v>
      </c>
      <c r="B89" s="410" t="s">
        <v>54</v>
      </c>
      <c r="C89" s="414"/>
      <c r="D89" s="412"/>
      <c r="E89" s="412">
        <v>2249</v>
      </c>
      <c r="F89" s="412"/>
      <c r="G89" s="412">
        <v>4489</v>
      </c>
      <c r="H89" s="413"/>
      <c r="I89" s="426">
        <v>6566</v>
      </c>
      <c r="J89" s="426">
        <v>7871</v>
      </c>
      <c r="K89" s="426">
        <v>8616</v>
      </c>
    </row>
    <row r="90" ht="17.4" hidden="1" spans="1:11">
      <c r="A90" s="409">
        <v>10</v>
      </c>
      <c r="B90" s="410" t="s">
        <v>54</v>
      </c>
      <c r="C90" s="414"/>
      <c r="D90" s="412"/>
      <c r="E90" s="412">
        <v>0</v>
      </c>
      <c r="F90" s="412"/>
      <c r="G90" s="412">
        <v>0</v>
      </c>
      <c r="H90" s="413"/>
      <c r="I90" s="426"/>
      <c r="J90" s="426"/>
      <c r="K90" s="426"/>
    </row>
    <row r="91" ht="17.4" hidden="1" spans="1:11">
      <c r="A91" s="409">
        <v>11</v>
      </c>
      <c r="B91" s="410" t="s">
        <v>54</v>
      </c>
      <c r="C91" s="414"/>
      <c r="D91" s="412"/>
      <c r="E91" s="412">
        <v>0</v>
      </c>
      <c r="F91" s="412"/>
      <c r="G91" s="412">
        <v>0</v>
      </c>
      <c r="H91" s="413"/>
      <c r="I91" s="426"/>
      <c r="J91" s="426"/>
      <c r="K91" s="426"/>
    </row>
    <row r="92" ht="17.4" hidden="1" spans="1:11">
      <c r="A92" s="409">
        <v>12</v>
      </c>
      <c r="B92" s="410" t="s">
        <v>54</v>
      </c>
      <c r="C92" s="424">
        <v>50002897</v>
      </c>
      <c r="D92" s="412"/>
      <c r="E92" s="412">
        <v>3431</v>
      </c>
      <c r="F92" s="412"/>
      <c r="G92" s="412">
        <v>8948</v>
      </c>
      <c r="H92" s="413"/>
      <c r="I92" s="426">
        <v>14259</v>
      </c>
      <c r="J92" s="426">
        <v>17674</v>
      </c>
      <c r="K92" s="426">
        <v>19526</v>
      </c>
    </row>
    <row r="93" ht="17.4" hidden="1" spans="1:11">
      <c r="A93" s="409">
        <v>13</v>
      </c>
      <c r="B93" s="410" t="s">
        <v>54</v>
      </c>
      <c r="C93" s="424">
        <v>50002839</v>
      </c>
      <c r="D93" s="412"/>
      <c r="E93" s="412">
        <v>7</v>
      </c>
      <c r="F93" s="412"/>
      <c r="G93" s="412">
        <v>602</v>
      </c>
      <c r="H93" s="413"/>
      <c r="I93" s="426">
        <v>4288</v>
      </c>
      <c r="J93" s="426">
        <v>6624</v>
      </c>
      <c r="K93" s="426">
        <v>7752</v>
      </c>
    </row>
    <row r="94" ht="17.4" hidden="1" spans="1:11">
      <c r="A94" s="409">
        <v>14</v>
      </c>
      <c r="B94" s="410" t="s">
        <v>54</v>
      </c>
      <c r="C94" s="432">
        <v>50002863</v>
      </c>
      <c r="D94" s="412"/>
      <c r="E94" s="412">
        <v>0</v>
      </c>
      <c r="F94" s="412"/>
      <c r="G94" s="412">
        <v>1026</v>
      </c>
      <c r="H94" s="413"/>
      <c r="I94" s="426">
        <v>3860</v>
      </c>
      <c r="J94" s="426">
        <v>5667</v>
      </c>
      <c r="K94" s="426">
        <v>6631</v>
      </c>
    </row>
    <row r="95" ht="17.4" hidden="1" spans="1:11">
      <c r="A95" s="409">
        <v>15</v>
      </c>
      <c r="B95" s="410" t="s">
        <v>54</v>
      </c>
      <c r="C95" s="424">
        <v>50002947</v>
      </c>
      <c r="D95" s="412"/>
      <c r="E95" s="412">
        <v>377</v>
      </c>
      <c r="F95" s="412"/>
      <c r="G95" s="412">
        <v>2687</v>
      </c>
      <c r="H95" s="413"/>
      <c r="I95" s="426">
        <v>5304</v>
      </c>
      <c r="J95" s="426">
        <v>7046</v>
      </c>
      <c r="K95" s="426">
        <v>7940</v>
      </c>
    </row>
    <row r="96" ht="17.4" hidden="1" spans="1:11">
      <c r="A96" s="409">
        <v>16</v>
      </c>
      <c r="B96" s="410" t="s">
        <v>54</v>
      </c>
      <c r="C96" s="414"/>
      <c r="D96" s="412"/>
      <c r="E96" s="412">
        <v>0</v>
      </c>
      <c r="F96" s="412"/>
      <c r="G96" s="412">
        <v>0</v>
      </c>
      <c r="H96" s="413"/>
      <c r="I96" s="426"/>
      <c r="J96" s="426"/>
      <c r="K96" s="426"/>
    </row>
    <row r="97" ht="17.4" hidden="1" spans="1:11">
      <c r="A97" s="409">
        <v>17</v>
      </c>
      <c r="B97" s="410" t="s">
        <v>54</v>
      </c>
      <c r="C97" s="424">
        <v>50002902</v>
      </c>
      <c r="D97" s="412"/>
      <c r="E97" s="412">
        <v>0</v>
      </c>
      <c r="F97" s="412"/>
      <c r="G97" s="412">
        <v>469</v>
      </c>
      <c r="H97" s="413"/>
      <c r="I97" s="426">
        <v>3363</v>
      </c>
      <c r="J97" s="426">
        <v>5183</v>
      </c>
      <c r="K97" s="426">
        <v>6184</v>
      </c>
    </row>
    <row r="98" ht="17.4" hidden="1" spans="1:11">
      <c r="A98" s="409">
        <v>18</v>
      </c>
      <c r="B98" s="410" t="s">
        <v>54</v>
      </c>
      <c r="C98" s="424">
        <v>50002950</v>
      </c>
      <c r="D98" s="412"/>
      <c r="E98" s="412">
        <v>0</v>
      </c>
      <c r="F98" s="412"/>
      <c r="G98" s="412">
        <v>455</v>
      </c>
      <c r="H98" s="413"/>
      <c r="I98" s="426">
        <v>1434</v>
      </c>
      <c r="J98" s="426">
        <v>2524</v>
      </c>
      <c r="K98" s="426">
        <v>3517</v>
      </c>
    </row>
    <row r="99" ht="17.4" hidden="1" spans="1:11">
      <c r="A99" s="409">
        <v>19</v>
      </c>
      <c r="B99" s="410" t="s">
        <v>54</v>
      </c>
      <c r="C99" s="424">
        <v>50002936</v>
      </c>
      <c r="D99" s="412"/>
      <c r="E99" s="412">
        <v>0</v>
      </c>
      <c r="F99" s="412"/>
      <c r="G99" s="412">
        <v>784</v>
      </c>
      <c r="H99" s="413"/>
      <c r="I99" s="426">
        <v>3488</v>
      </c>
      <c r="J99" s="426">
        <v>5300</v>
      </c>
      <c r="K99" s="426"/>
    </row>
    <row r="100" ht="17.4" hidden="1" spans="1:11">
      <c r="A100" s="409">
        <v>20</v>
      </c>
      <c r="B100" s="410" t="s">
        <v>54</v>
      </c>
      <c r="C100" s="414"/>
      <c r="D100" s="412"/>
      <c r="E100" s="412">
        <v>0</v>
      </c>
      <c r="F100" s="412"/>
      <c r="G100" s="412">
        <v>0</v>
      </c>
      <c r="H100" s="413"/>
      <c r="I100" s="426"/>
      <c r="J100" s="426"/>
      <c r="K100" s="426"/>
    </row>
    <row r="101" ht="17.4" hidden="1" spans="1:11">
      <c r="A101" s="409">
        <v>21</v>
      </c>
      <c r="B101" s="410" t="s">
        <v>54</v>
      </c>
      <c r="C101" s="424">
        <v>50002922</v>
      </c>
      <c r="D101" s="412"/>
      <c r="E101" s="412">
        <v>14215</v>
      </c>
      <c r="F101" s="412"/>
      <c r="G101" s="412">
        <v>20211</v>
      </c>
      <c r="H101" s="413"/>
      <c r="I101" s="426">
        <v>26103</v>
      </c>
      <c r="J101" s="426"/>
      <c r="K101" s="426"/>
    </row>
    <row r="102" ht="17.4" hidden="1" spans="1:11">
      <c r="A102" s="409">
        <v>22</v>
      </c>
      <c r="B102" s="410" t="s">
        <v>54</v>
      </c>
      <c r="C102" s="414"/>
      <c r="D102" s="412"/>
      <c r="E102" s="412">
        <v>0</v>
      </c>
      <c r="F102" s="412"/>
      <c r="G102" s="412">
        <v>0</v>
      </c>
      <c r="H102" s="413"/>
      <c r="I102" s="426"/>
      <c r="J102" s="426"/>
      <c r="K102" s="426"/>
    </row>
    <row r="103" ht="17.4" hidden="1" spans="1:11">
      <c r="A103" s="409">
        <v>23</v>
      </c>
      <c r="B103" s="410" t="s">
        <v>54</v>
      </c>
      <c r="C103" s="414"/>
      <c r="D103" s="412"/>
      <c r="E103" s="412">
        <v>0</v>
      </c>
      <c r="F103" s="412"/>
      <c r="G103" s="412">
        <v>0</v>
      </c>
      <c r="H103" s="413"/>
      <c r="I103" s="426"/>
      <c r="J103" s="426"/>
      <c r="K103" s="426"/>
    </row>
    <row r="104" hidden="1" spans="1:11">
      <c r="A104" s="417" t="s">
        <v>334</v>
      </c>
      <c r="B104" s="410" t="s">
        <v>54</v>
      </c>
      <c r="C104" s="424">
        <v>2902000692</v>
      </c>
      <c r="D104" s="412"/>
      <c r="E104" s="412">
        <v>0</v>
      </c>
      <c r="F104" s="412"/>
      <c r="G104" s="412">
        <v>1611.05</v>
      </c>
      <c r="H104" s="413"/>
      <c r="I104" s="426">
        <v>8250.98</v>
      </c>
      <c r="J104" s="426">
        <v>12437.86</v>
      </c>
      <c r="K104" s="426">
        <v>14950.25</v>
      </c>
    </row>
    <row r="105" ht="17.4" hidden="1" spans="1:11">
      <c r="A105" s="409" t="s">
        <v>336</v>
      </c>
      <c r="B105" s="410" t="s">
        <v>54</v>
      </c>
      <c r="C105" s="424">
        <v>2902000696</v>
      </c>
      <c r="D105" s="412"/>
      <c r="E105" s="412">
        <v>0</v>
      </c>
      <c r="F105" s="412"/>
      <c r="G105" s="412">
        <v>0</v>
      </c>
      <c r="H105" s="413"/>
      <c r="I105" s="426"/>
      <c r="J105" s="426"/>
      <c r="K105" s="426"/>
    </row>
    <row r="106" ht="17.4" hidden="1" spans="1:11">
      <c r="A106" s="409" t="s">
        <v>339</v>
      </c>
      <c r="B106" s="410" t="s">
        <v>54</v>
      </c>
      <c r="C106" s="424">
        <v>2912025475</v>
      </c>
      <c r="D106" s="412"/>
      <c r="E106" s="412">
        <v>0</v>
      </c>
      <c r="F106" s="412"/>
      <c r="G106" s="412">
        <v>0</v>
      </c>
      <c r="H106" s="413"/>
      <c r="I106" s="426">
        <v>0</v>
      </c>
      <c r="J106" s="426">
        <v>0</v>
      </c>
      <c r="K106" s="426">
        <v>0</v>
      </c>
    </row>
    <row r="107" hidden="1" spans="1:11">
      <c r="A107" s="422" t="s">
        <v>341</v>
      </c>
      <c r="B107" s="410" t="s">
        <v>54</v>
      </c>
      <c r="C107" s="424"/>
      <c r="D107" s="412"/>
      <c r="E107" s="412"/>
      <c r="F107" s="412"/>
      <c r="G107" s="412"/>
      <c r="H107" s="413"/>
      <c r="I107" s="426"/>
      <c r="J107" s="426"/>
      <c r="K107" s="426"/>
    </row>
    <row r="108" hidden="1" spans="1:11">
      <c r="A108" s="423" t="s">
        <v>342</v>
      </c>
      <c r="B108" s="410" t="s">
        <v>54</v>
      </c>
      <c r="C108" s="424"/>
      <c r="D108" s="412"/>
      <c r="E108" s="412"/>
      <c r="F108" s="412"/>
      <c r="G108" s="412"/>
      <c r="H108" s="413"/>
      <c r="I108" s="426"/>
      <c r="J108" s="426"/>
      <c r="K108" s="426"/>
    </row>
    <row r="109" ht="17.4" hidden="1" spans="1:11">
      <c r="A109" s="409">
        <v>1</v>
      </c>
      <c r="B109" s="410" t="s">
        <v>58</v>
      </c>
      <c r="C109" s="411">
        <v>50003379</v>
      </c>
      <c r="D109" s="412"/>
      <c r="E109" s="412">
        <v>0</v>
      </c>
      <c r="F109" s="433">
        <f>(Reading_export[[#This Row],[9/10/2024]]-Reading_export[[#This Row],[1/5/2024]])/192*92+Reading_export[[#This Row],[1/5/2024]]</f>
        <v>912.644791666667</v>
      </c>
      <c r="G109" s="412"/>
      <c r="H109" s="413">
        <v>1904.65</v>
      </c>
      <c r="I109" s="426">
        <v>6399</v>
      </c>
      <c r="J109" s="426">
        <v>9331</v>
      </c>
      <c r="K109" s="426">
        <v>10632</v>
      </c>
    </row>
    <row r="110" ht="17.4" hidden="1" spans="1:11">
      <c r="A110" s="409">
        <v>2</v>
      </c>
      <c r="B110" s="410" t="s">
        <v>58</v>
      </c>
      <c r="C110" s="411">
        <v>50002906</v>
      </c>
      <c r="D110" s="412"/>
      <c r="E110" s="412">
        <v>0</v>
      </c>
      <c r="F110" s="412">
        <v>1688</v>
      </c>
      <c r="G110" s="412"/>
      <c r="H110" s="413">
        <v>3205.05</v>
      </c>
      <c r="I110" s="426"/>
      <c r="J110" s="426">
        <v>10625</v>
      </c>
      <c r="K110" s="426">
        <v>12038</v>
      </c>
    </row>
    <row r="111" ht="17.4" hidden="1" spans="1:11">
      <c r="A111" s="409">
        <v>3</v>
      </c>
      <c r="B111" s="410" t="s">
        <v>58</v>
      </c>
      <c r="C111" s="411">
        <v>50002924</v>
      </c>
      <c r="D111" s="412"/>
      <c r="E111" s="412">
        <v>2279</v>
      </c>
      <c r="F111" s="412">
        <v>3265</v>
      </c>
      <c r="G111" s="412"/>
      <c r="H111" s="413">
        <v>4437.03</v>
      </c>
      <c r="I111" s="426">
        <v>7121</v>
      </c>
      <c r="J111" s="426">
        <v>8892</v>
      </c>
      <c r="K111" s="426">
        <v>9685</v>
      </c>
    </row>
    <row r="112" ht="17.4" hidden="1" spans="1:11">
      <c r="A112" s="409">
        <v>4</v>
      </c>
      <c r="B112" s="410" t="s">
        <v>58</v>
      </c>
      <c r="C112" s="434"/>
      <c r="D112" s="412"/>
      <c r="E112" s="412">
        <v>0</v>
      </c>
      <c r="F112" s="412"/>
      <c r="G112" s="412"/>
      <c r="H112" s="413"/>
      <c r="I112" s="426"/>
      <c r="J112" s="426">
        <v>977</v>
      </c>
      <c r="K112" s="426">
        <v>1884</v>
      </c>
    </row>
    <row r="113" ht="17.4" hidden="1" spans="1:11">
      <c r="A113" s="409">
        <v>5</v>
      </c>
      <c r="B113" s="410" t="s">
        <v>58</v>
      </c>
      <c r="C113" s="411">
        <v>50002894</v>
      </c>
      <c r="D113" s="412"/>
      <c r="E113" s="412">
        <v>14920</v>
      </c>
      <c r="F113" s="433">
        <f>(Reading_export[[#This Row],[9/10/2024]]-Reading_export[[#This Row],[1/5/2024]])/192*92+Reading_export[[#This Row],[1/5/2024]]</f>
        <v>16776.1575</v>
      </c>
      <c r="G113" s="412"/>
      <c r="H113" s="413">
        <v>18793.72</v>
      </c>
      <c r="I113" s="426">
        <v>23460</v>
      </c>
      <c r="J113" s="426">
        <v>26444</v>
      </c>
      <c r="K113" s="426">
        <v>27797</v>
      </c>
    </row>
    <row r="114" ht="17.4" hidden="1" spans="1:11">
      <c r="A114" s="409">
        <v>6</v>
      </c>
      <c r="B114" s="410" t="s">
        <v>58</v>
      </c>
      <c r="C114" s="411">
        <v>50002835</v>
      </c>
      <c r="D114" s="412"/>
      <c r="E114" s="412">
        <v>2380</v>
      </c>
      <c r="F114" s="412">
        <v>3654</v>
      </c>
      <c r="G114" s="412"/>
      <c r="H114" s="413">
        <v>4943.24</v>
      </c>
      <c r="I114" s="426">
        <v>7334</v>
      </c>
      <c r="J114" s="426">
        <v>8999</v>
      </c>
      <c r="K114" s="426">
        <v>9874</v>
      </c>
    </row>
    <row r="115" ht="17.4" hidden="1" spans="1:11">
      <c r="A115" s="409">
        <v>7</v>
      </c>
      <c r="B115" s="410" t="s">
        <v>58</v>
      </c>
      <c r="C115" s="411">
        <v>50002899</v>
      </c>
      <c r="D115" s="412"/>
      <c r="E115" s="412">
        <v>15478</v>
      </c>
      <c r="F115" s="412">
        <v>16912</v>
      </c>
      <c r="G115" s="412"/>
      <c r="H115" s="413">
        <v>18219.93</v>
      </c>
      <c r="I115" s="426">
        <v>20650</v>
      </c>
      <c r="J115" s="426">
        <v>22284</v>
      </c>
      <c r="K115" s="426">
        <v>23141</v>
      </c>
    </row>
    <row r="116" ht="17.4" hidden="1" spans="1:11">
      <c r="A116" s="409">
        <v>8</v>
      </c>
      <c r="B116" s="410" t="s">
        <v>58</v>
      </c>
      <c r="C116" s="411">
        <v>50002910</v>
      </c>
      <c r="D116" s="412"/>
      <c r="E116" s="412">
        <v>0</v>
      </c>
      <c r="F116" s="412">
        <v>909</v>
      </c>
      <c r="G116" s="412"/>
      <c r="H116" s="413">
        <v>2240.54</v>
      </c>
      <c r="I116" s="426">
        <v>4648</v>
      </c>
      <c r="J116" s="426">
        <v>6275</v>
      </c>
      <c r="K116" s="426">
        <v>7164</v>
      </c>
    </row>
    <row r="117" ht="17.4" hidden="1" spans="1:11">
      <c r="A117" s="409">
        <v>9</v>
      </c>
      <c r="B117" s="410" t="s">
        <v>58</v>
      </c>
      <c r="C117" s="411">
        <v>50002960</v>
      </c>
      <c r="D117" s="412"/>
      <c r="E117" s="412">
        <v>4020</v>
      </c>
      <c r="F117" s="412">
        <v>6334</v>
      </c>
      <c r="G117" s="412"/>
      <c r="H117" s="413">
        <v>8388.68</v>
      </c>
      <c r="I117" s="426">
        <v>12198</v>
      </c>
      <c r="J117" s="426">
        <v>14761</v>
      </c>
      <c r="K117" s="426">
        <v>16106</v>
      </c>
    </row>
    <row r="118" ht="17.4" hidden="1" spans="1:11">
      <c r="A118" s="409">
        <v>10</v>
      </c>
      <c r="B118" s="410" t="s">
        <v>58</v>
      </c>
      <c r="C118" s="411">
        <v>50002926</v>
      </c>
      <c r="D118" s="412"/>
      <c r="E118" s="412">
        <v>1341</v>
      </c>
      <c r="F118" s="412">
        <v>3057</v>
      </c>
      <c r="G118" s="412"/>
      <c r="H118" s="413">
        <v>5128.47</v>
      </c>
      <c r="I118" s="426">
        <v>8926</v>
      </c>
      <c r="J118" s="426">
        <v>11544</v>
      </c>
      <c r="K118" s="426">
        <v>12763</v>
      </c>
    </row>
    <row r="119" ht="17.4" hidden="1" spans="1:11">
      <c r="A119" s="409">
        <v>11</v>
      </c>
      <c r="B119" s="410" t="s">
        <v>58</v>
      </c>
      <c r="C119" s="434"/>
      <c r="D119" s="412"/>
      <c r="E119" s="412">
        <v>0</v>
      </c>
      <c r="F119" s="412"/>
      <c r="G119" s="412"/>
      <c r="H119" s="413"/>
      <c r="I119" s="426"/>
      <c r="J119" s="426"/>
      <c r="K119" s="426"/>
    </row>
    <row r="120" ht="17.4" hidden="1" spans="1:11">
      <c r="A120" s="409">
        <v>12</v>
      </c>
      <c r="B120" s="410" t="s">
        <v>58</v>
      </c>
      <c r="C120" s="435"/>
      <c r="D120" s="412"/>
      <c r="E120" s="412">
        <v>0</v>
      </c>
      <c r="F120" s="412"/>
      <c r="G120" s="412"/>
      <c r="H120" s="413"/>
      <c r="I120" s="426"/>
      <c r="J120" s="426">
        <v>92.39</v>
      </c>
      <c r="K120" s="426">
        <v>92.39</v>
      </c>
    </row>
    <row r="121" ht="17.4" hidden="1" spans="1:11">
      <c r="A121" s="409">
        <v>13</v>
      </c>
      <c r="B121" s="410" t="s">
        <v>58</v>
      </c>
      <c r="C121" s="435"/>
      <c r="D121" s="412"/>
      <c r="E121" s="412">
        <v>0</v>
      </c>
      <c r="F121" s="412"/>
      <c r="G121" s="412"/>
      <c r="H121" s="413"/>
      <c r="I121" s="426"/>
      <c r="J121" s="426">
        <v>1087</v>
      </c>
      <c r="K121" s="426"/>
    </row>
    <row r="122" ht="17.4" hidden="1" spans="1:11">
      <c r="A122" s="409">
        <v>14</v>
      </c>
      <c r="B122" s="410" t="s">
        <v>58</v>
      </c>
      <c r="C122" s="434"/>
      <c r="D122" s="412"/>
      <c r="E122" s="412">
        <v>0</v>
      </c>
      <c r="F122" s="412"/>
      <c r="G122" s="412"/>
      <c r="H122" s="413"/>
      <c r="I122" s="426"/>
      <c r="J122" s="426"/>
      <c r="K122" s="426"/>
    </row>
    <row r="123" ht="17.4" hidden="1" spans="1:11">
      <c r="A123" s="409">
        <v>15</v>
      </c>
      <c r="B123" s="410" t="s">
        <v>58</v>
      </c>
      <c r="C123" s="411">
        <v>50002930</v>
      </c>
      <c r="D123" s="412"/>
      <c r="E123" s="412">
        <v>0</v>
      </c>
      <c r="F123" s="433">
        <f>(Reading_export[[#This Row],[9/10/2024]]-Reading_export[[#This Row],[1/5/2024]])/192*92+Reading_export[[#This Row],[1/5/2024]]</f>
        <v>441.556875</v>
      </c>
      <c r="G123" s="412"/>
      <c r="H123" s="413">
        <v>921.51</v>
      </c>
      <c r="I123" s="426">
        <v>3533</v>
      </c>
      <c r="J123" s="426">
        <v>4556</v>
      </c>
      <c r="K123" s="426">
        <v>4556</v>
      </c>
    </row>
    <row r="124" ht="17.4" hidden="1" spans="1:11">
      <c r="A124" s="409">
        <v>16</v>
      </c>
      <c r="B124" s="410" t="s">
        <v>58</v>
      </c>
      <c r="C124" s="411">
        <v>50002843</v>
      </c>
      <c r="D124" s="412"/>
      <c r="E124" s="412">
        <v>15488</v>
      </c>
      <c r="F124" s="412">
        <v>17042</v>
      </c>
      <c r="G124" s="412"/>
      <c r="H124" s="413">
        <v>18338.25</v>
      </c>
      <c r="I124" s="426">
        <v>20684</v>
      </c>
      <c r="J124" s="426">
        <v>22227</v>
      </c>
      <c r="K124" s="426">
        <v>23050</v>
      </c>
    </row>
    <row r="125" ht="17.4" hidden="1" spans="1:11">
      <c r="A125" s="409">
        <v>17</v>
      </c>
      <c r="B125" s="410" t="s">
        <v>58</v>
      </c>
      <c r="C125" s="411">
        <v>50002929</v>
      </c>
      <c r="D125" s="412"/>
      <c r="E125" s="412">
        <v>1</v>
      </c>
      <c r="F125" s="412">
        <v>1</v>
      </c>
      <c r="G125" s="412"/>
      <c r="H125" s="413">
        <v>384.26</v>
      </c>
      <c r="I125" s="426">
        <v>2335</v>
      </c>
      <c r="J125" s="426">
        <v>3995</v>
      </c>
      <c r="K125" s="426">
        <v>4814</v>
      </c>
    </row>
    <row r="126" ht="17.4" hidden="1" spans="1:11">
      <c r="A126" s="409">
        <v>18</v>
      </c>
      <c r="B126" s="410" t="s">
        <v>58</v>
      </c>
      <c r="C126" s="435"/>
      <c r="D126" s="412"/>
      <c r="E126" s="412">
        <v>0</v>
      </c>
      <c r="F126" s="412"/>
      <c r="G126" s="412"/>
      <c r="H126" s="413"/>
      <c r="I126" s="426"/>
      <c r="J126" s="426"/>
      <c r="K126" s="426"/>
    </row>
    <row r="127" ht="17.4" hidden="1" spans="1:11">
      <c r="A127" s="409">
        <v>19</v>
      </c>
      <c r="B127" s="410" t="s">
        <v>58</v>
      </c>
      <c r="C127" s="435"/>
      <c r="D127" s="412"/>
      <c r="E127" s="412">
        <v>0</v>
      </c>
      <c r="F127" s="412"/>
      <c r="G127" s="412"/>
      <c r="H127" s="413"/>
      <c r="I127" s="426"/>
      <c r="J127" s="426"/>
      <c r="K127" s="426"/>
    </row>
    <row r="128" ht="17.4" hidden="1" spans="1:11">
      <c r="A128" s="409">
        <v>20</v>
      </c>
      <c r="B128" s="410" t="s">
        <v>58</v>
      </c>
      <c r="C128" s="434"/>
      <c r="D128" s="412"/>
      <c r="E128" s="412">
        <v>0</v>
      </c>
      <c r="F128" s="412"/>
      <c r="G128" s="412"/>
      <c r="H128" s="413"/>
      <c r="I128" s="426"/>
      <c r="J128" s="426">
        <v>15</v>
      </c>
      <c r="K128" s="426"/>
    </row>
    <row r="129" ht="17.4" hidden="1" spans="1:11">
      <c r="A129" s="409">
        <v>21</v>
      </c>
      <c r="B129" s="410" t="s">
        <v>58</v>
      </c>
      <c r="C129" s="435"/>
      <c r="D129" s="412"/>
      <c r="E129" s="412">
        <v>10846</v>
      </c>
      <c r="F129" s="412">
        <v>14184</v>
      </c>
      <c r="G129" s="412"/>
      <c r="H129" s="413">
        <v>16970.26</v>
      </c>
      <c r="I129" s="426">
        <v>21950</v>
      </c>
      <c r="J129" s="426">
        <v>25150</v>
      </c>
      <c r="K129" s="426">
        <v>26811</v>
      </c>
    </row>
    <row r="130" ht="17.4" hidden="1" spans="1:11">
      <c r="A130" s="409">
        <v>22</v>
      </c>
      <c r="B130" s="410" t="s">
        <v>58</v>
      </c>
      <c r="C130" s="434"/>
      <c r="D130" s="412"/>
      <c r="E130" s="412">
        <v>0</v>
      </c>
      <c r="F130" s="412"/>
      <c r="G130" s="412"/>
      <c r="H130" s="413"/>
      <c r="I130" s="426"/>
      <c r="J130" s="426"/>
      <c r="K130" s="426"/>
    </row>
    <row r="131" hidden="1" spans="1:11">
      <c r="A131" s="417" t="s">
        <v>334</v>
      </c>
      <c r="B131" s="410" t="s">
        <v>58</v>
      </c>
      <c r="C131" s="411">
        <v>2902000956</v>
      </c>
      <c r="D131" s="412"/>
      <c r="E131" s="412">
        <v>0</v>
      </c>
      <c r="F131" s="412">
        <v>0</v>
      </c>
      <c r="G131" s="412"/>
      <c r="H131" s="413"/>
      <c r="I131" s="426">
        <v>7423.63</v>
      </c>
      <c r="J131" s="426">
        <v>11163.28</v>
      </c>
      <c r="K131" s="426">
        <v>13178.06</v>
      </c>
    </row>
    <row r="132" ht="17.4" hidden="1" spans="1:11">
      <c r="A132" s="409" t="s">
        <v>336</v>
      </c>
      <c r="B132" s="410" t="s">
        <v>58</v>
      </c>
      <c r="C132" s="411">
        <v>2902000944</v>
      </c>
      <c r="D132" s="412"/>
      <c r="E132" s="412">
        <v>0</v>
      </c>
      <c r="F132" s="412"/>
      <c r="G132" s="412"/>
      <c r="H132" s="413"/>
      <c r="I132" s="426"/>
      <c r="J132" s="426"/>
      <c r="K132" s="426"/>
    </row>
    <row r="133" ht="17.4" hidden="1" spans="1:11">
      <c r="A133" s="409" t="s">
        <v>339</v>
      </c>
      <c r="B133" s="410" t="s">
        <v>58</v>
      </c>
      <c r="C133" s="411">
        <v>2912025226</v>
      </c>
      <c r="D133" s="412"/>
      <c r="E133" s="412">
        <v>0</v>
      </c>
      <c r="F133" s="412">
        <v>0</v>
      </c>
      <c r="G133" s="412"/>
      <c r="H133" s="413"/>
      <c r="I133" s="426"/>
      <c r="J133" s="426">
        <v>0</v>
      </c>
      <c r="K133" s="426">
        <v>0</v>
      </c>
    </row>
    <row r="134" hidden="1" spans="1:11">
      <c r="A134" s="422" t="s">
        <v>341</v>
      </c>
      <c r="B134" s="410" t="s">
        <v>58</v>
      </c>
      <c r="C134" s="411"/>
      <c r="D134" s="412"/>
      <c r="E134" s="412"/>
      <c r="F134" s="412"/>
      <c r="G134" s="412"/>
      <c r="H134" s="413"/>
      <c r="I134" s="426"/>
      <c r="J134" s="426"/>
      <c r="K134" s="426"/>
    </row>
    <row r="135" hidden="1" spans="1:11">
      <c r="A135" s="423" t="s">
        <v>342</v>
      </c>
      <c r="B135" s="410" t="s">
        <v>58</v>
      </c>
      <c r="C135" s="411"/>
      <c r="D135" s="412"/>
      <c r="E135" s="412"/>
      <c r="F135" s="412"/>
      <c r="G135" s="412"/>
      <c r="H135" s="413"/>
      <c r="I135" s="426"/>
      <c r="J135" s="426"/>
      <c r="K135" s="426"/>
    </row>
    <row r="136" ht="17.4" hidden="1" spans="1:11">
      <c r="A136" s="409">
        <v>1</v>
      </c>
      <c r="B136" s="410" t="s">
        <v>59</v>
      </c>
      <c r="C136" s="414"/>
      <c r="D136" s="412"/>
      <c r="E136" s="412">
        <v>0</v>
      </c>
      <c r="F136" s="412"/>
      <c r="G136" s="412"/>
      <c r="H136" s="413">
        <v>0</v>
      </c>
      <c r="I136" s="426"/>
      <c r="J136" s="444"/>
      <c r="K136" s="444"/>
    </row>
    <row r="137" ht="17.4" hidden="1" spans="1:11">
      <c r="A137" s="409">
        <v>2</v>
      </c>
      <c r="B137" s="410" t="s">
        <v>59</v>
      </c>
      <c r="C137" s="414"/>
      <c r="D137" s="412"/>
      <c r="E137" s="412"/>
      <c r="F137" s="412"/>
      <c r="G137" s="412"/>
      <c r="H137" s="413"/>
      <c r="I137" s="426"/>
      <c r="J137" s="444"/>
      <c r="K137" s="444"/>
    </row>
    <row r="138" ht="17.4" hidden="1" spans="1:11">
      <c r="A138" s="409">
        <v>3</v>
      </c>
      <c r="B138" s="410" t="s">
        <v>59</v>
      </c>
      <c r="C138" s="436"/>
      <c r="D138" s="412"/>
      <c r="E138" s="412"/>
      <c r="F138" s="412"/>
      <c r="G138" s="412"/>
      <c r="H138" s="413"/>
      <c r="I138" s="426"/>
      <c r="J138" s="444"/>
      <c r="K138" s="444"/>
    </row>
    <row r="139" ht="17.4" hidden="1" spans="1:11">
      <c r="A139" s="409">
        <v>4</v>
      </c>
      <c r="B139" s="410" t="s">
        <v>59</v>
      </c>
      <c r="C139" s="411">
        <v>50002962</v>
      </c>
      <c r="D139" s="412"/>
      <c r="E139" s="412">
        <v>5273</v>
      </c>
      <c r="F139" s="412"/>
      <c r="G139" s="412"/>
      <c r="H139" s="413">
        <v>6792.32</v>
      </c>
      <c r="I139" s="426">
        <v>9443</v>
      </c>
      <c r="J139" s="445">
        <v>11255</v>
      </c>
      <c r="K139" s="445">
        <v>12253</v>
      </c>
    </row>
    <row r="140" ht="17.4" hidden="1" spans="1:11">
      <c r="A140" s="409">
        <v>5</v>
      </c>
      <c r="B140" s="410" t="s">
        <v>59</v>
      </c>
      <c r="C140" s="436"/>
      <c r="D140" s="412"/>
      <c r="E140" s="412"/>
      <c r="F140" s="412"/>
      <c r="G140" s="412"/>
      <c r="H140" s="413"/>
      <c r="I140" s="426"/>
      <c r="J140" s="444"/>
      <c r="K140" s="444"/>
    </row>
    <row r="141" ht="17.4" hidden="1" spans="1:11">
      <c r="A141" s="409">
        <v>6</v>
      </c>
      <c r="B141" s="410" t="s">
        <v>59</v>
      </c>
      <c r="C141" s="436"/>
      <c r="D141" s="412"/>
      <c r="E141" s="412"/>
      <c r="F141" s="412"/>
      <c r="G141" s="412"/>
      <c r="H141" s="413"/>
      <c r="I141" s="426"/>
      <c r="J141" s="444"/>
      <c r="K141" s="444"/>
    </row>
    <row r="142" ht="17.4" hidden="1" spans="1:11">
      <c r="A142" s="409">
        <v>7</v>
      </c>
      <c r="B142" s="410" t="s">
        <v>59</v>
      </c>
      <c r="C142" s="411">
        <v>50003423</v>
      </c>
      <c r="D142" s="412"/>
      <c r="E142" s="412">
        <v>5416</v>
      </c>
      <c r="F142" s="412"/>
      <c r="G142" s="412"/>
      <c r="H142" s="413">
        <v>7729</v>
      </c>
      <c r="I142" s="426">
        <v>11899</v>
      </c>
      <c r="J142" s="445">
        <v>14701</v>
      </c>
      <c r="K142" s="445">
        <v>16309</v>
      </c>
    </row>
    <row r="143" ht="17.4" hidden="1" spans="1:11">
      <c r="A143" s="409">
        <v>8</v>
      </c>
      <c r="B143" s="410" t="s">
        <v>59</v>
      </c>
      <c r="C143" s="436"/>
      <c r="D143" s="412"/>
      <c r="E143" s="412"/>
      <c r="F143" s="412"/>
      <c r="G143" s="412"/>
      <c r="H143" s="413"/>
      <c r="I143" s="426"/>
      <c r="J143" s="444"/>
      <c r="K143" s="444"/>
    </row>
    <row r="144" ht="17.4" hidden="1" spans="1:11">
      <c r="A144" s="409">
        <v>9</v>
      </c>
      <c r="B144" s="410" t="s">
        <v>59</v>
      </c>
      <c r="C144" s="414"/>
      <c r="D144" s="412"/>
      <c r="E144" s="412">
        <v>0</v>
      </c>
      <c r="F144" s="412"/>
      <c r="G144" s="412"/>
      <c r="H144" s="413">
        <v>0</v>
      </c>
      <c r="I144" s="426"/>
      <c r="J144" s="445">
        <v>512</v>
      </c>
      <c r="K144" s="445">
        <v>1528</v>
      </c>
    </row>
    <row r="145" ht="17.4" hidden="1" spans="1:11">
      <c r="A145" s="409">
        <v>10</v>
      </c>
      <c r="B145" s="410" t="s">
        <v>59</v>
      </c>
      <c r="C145" s="414"/>
      <c r="D145" s="412"/>
      <c r="E145" s="412"/>
      <c r="F145" s="412"/>
      <c r="G145" s="412"/>
      <c r="H145" s="413"/>
      <c r="I145" s="426"/>
      <c r="J145" s="444"/>
      <c r="K145" s="444"/>
    </row>
    <row r="146" ht="17.4" hidden="1" spans="1:11">
      <c r="A146" s="409">
        <v>11</v>
      </c>
      <c r="B146" s="410" t="s">
        <v>59</v>
      </c>
      <c r="C146" s="436"/>
      <c r="D146" s="412"/>
      <c r="E146" s="412">
        <v>0</v>
      </c>
      <c r="F146" s="412"/>
      <c r="G146" s="412"/>
      <c r="H146" s="413">
        <v>0</v>
      </c>
      <c r="I146" s="426"/>
      <c r="J146" s="444"/>
      <c r="K146" s="444"/>
    </row>
    <row r="147" ht="17.4" hidden="1" spans="1:11">
      <c r="A147" s="409">
        <v>12</v>
      </c>
      <c r="B147" s="410" t="s">
        <v>59</v>
      </c>
      <c r="C147" s="414"/>
      <c r="D147" s="412"/>
      <c r="E147" s="412">
        <v>0</v>
      </c>
      <c r="F147" s="412"/>
      <c r="G147" s="412"/>
      <c r="H147" s="413">
        <v>0</v>
      </c>
      <c r="I147" s="426"/>
      <c r="J147" s="444"/>
      <c r="K147" s="444"/>
    </row>
    <row r="148" ht="17.4" hidden="1" spans="1:11">
      <c r="A148" s="409">
        <v>13</v>
      </c>
      <c r="B148" s="410" t="s">
        <v>59</v>
      </c>
      <c r="C148" s="436"/>
      <c r="D148" s="412"/>
      <c r="E148" s="412"/>
      <c r="F148" s="412"/>
      <c r="G148" s="412"/>
      <c r="H148" s="413"/>
      <c r="I148" s="426"/>
      <c r="J148" s="444"/>
      <c r="K148" s="444"/>
    </row>
    <row r="149" ht="17.4" hidden="1" spans="1:11">
      <c r="A149" s="409">
        <v>14</v>
      </c>
      <c r="B149" s="410" t="s">
        <v>59</v>
      </c>
      <c r="C149" s="414"/>
      <c r="D149" s="412"/>
      <c r="E149" s="412"/>
      <c r="F149" s="412"/>
      <c r="G149" s="412"/>
      <c r="H149" s="413"/>
      <c r="I149" s="426"/>
      <c r="J149" s="444"/>
      <c r="K149" s="444"/>
    </row>
    <row r="150" ht="17.4" hidden="1" spans="1:11">
      <c r="A150" s="409">
        <v>15</v>
      </c>
      <c r="B150" s="410" t="s">
        <v>59</v>
      </c>
      <c r="C150" s="436"/>
      <c r="D150" s="412"/>
      <c r="E150" s="412">
        <v>0</v>
      </c>
      <c r="F150" s="412"/>
      <c r="G150" s="412"/>
      <c r="H150" s="413">
        <v>0</v>
      </c>
      <c r="I150" s="426"/>
      <c r="J150" s="444"/>
      <c r="K150" s="444"/>
    </row>
    <row r="151" ht="17.4" hidden="1" spans="1:11">
      <c r="A151" s="409">
        <v>16</v>
      </c>
      <c r="B151" s="410" t="s">
        <v>59</v>
      </c>
      <c r="C151" s="436"/>
      <c r="D151" s="412"/>
      <c r="E151" s="412">
        <v>0</v>
      </c>
      <c r="F151" s="412"/>
      <c r="G151" s="412"/>
      <c r="H151" s="413">
        <v>1180</v>
      </c>
      <c r="I151" s="446">
        <v>3287.63636363636</v>
      </c>
      <c r="J151" s="445">
        <v>5346</v>
      </c>
      <c r="K151" s="445">
        <v>6254</v>
      </c>
    </row>
    <row r="152" ht="17.4" hidden="1" spans="1:11">
      <c r="A152" s="409">
        <v>17</v>
      </c>
      <c r="B152" s="410" t="s">
        <v>59</v>
      </c>
      <c r="C152" s="436"/>
      <c r="D152" s="412"/>
      <c r="E152" s="412"/>
      <c r="F152" s="412"/>
      <c r="G152" s="412"/>
      <c r="H152" s="413"/>
      <c r="I152" s="426"/>
      <c r="J152" s="444"/>
      <c r="K152" s="444"/>
    </row>
    <row r="153" ht="17.4" hidden="1" spans="1:11">
      <c r="A153" s="409">
        <v>18</v>
      </c>
      <c r="B153" s="410" t="s">
        <v>59</v>
      </c>
      <c r="C153" s="414"/>
      <c r="D153" s="412"/>
      <c r="E153" s="412">
        <v>0</v>
      </c>
      <c r="F153" s="412"/>
      <c r="G153" s="412"/>
      <c r="H153" s="413">
        <v>0</v>
      </c>
      <c r="I153" s="426"/>
      <c r="J153" s="444"/>
      <c r="K153" s="444"/>
    </row>
    <row r="154" ht="17.4" hidden="1" spans="1:11">
      <c r="A154" s="409">
        <v>19</v>
      </c>
      <c r="B154" s="410" t="s">
        <v>59</v>
      </c>
      <c r="C154" s="411">
        <v>50003387</v>
      </c>
      <c r="D154" s="412"/>
      <c r="E154" s="412">
        <v>4854</v>
      </c>
      <c r="F154" s="412"/>
      <c r="G154" s="412"/>
      <c r="H154" s="413">
        <v>6044</v>
      </c>
      <c r="I154" s="426">
        <v>8595</v>
      </c>
      <c r="J154" s="445">
        <v>10663</v>
      </c>
      <c r="K154" s="445">
        <v>11493</v>
      </c>
    </row>
    <row r="155" ht="17.4" hidden="1" spans="1:11">
      <c r="A155" s="409">
        <v>20</v>
      </c>
      <c r="B155" s="410" t="s">
        <v>59</v>
      </c>
      <c r="C155" s="436"/>
      <c r="D155" s="412"/>
      <c r="E155" s="412"/>
      <c r="F155" s="412"/>
      <c r="G155" s="412"/>
      <c r="H155" s="413"/>
      <c r="I155" s="426"/>
      <c r="J155" s="444"/>
      <c r="K155" s="444"/>
    </row>
    <row r="156" ht="17.4" hidden="1" spans="1:11">
      <c r="A156" s="409">
        <v>21</v>
      </c>
      <c r="B156" s="410" t="s">
        <v>59</v>
      </c>
      <c r="C156" s="436"/>
      <c r="D156" s="412"/>
      <c r="E156" s="412"/>
      <c r="F156" s="412"/>
      <c r="G156" s="412"/>
      <c r="H156" s="413"/>
      <c r="I156" s="426"/>
      <c r="J156" s="444"/>
      <c r="K156" s="444"/>
    </row>
    <row r="157" ht="17.4" hidden="1" spans="1:11">
      <c r="A157" s="409">
        <v>22</v>
      </c>
      <c r="B157" s="410" t="s">
        <v>59</v>
      </c>
      <c r="C157" s="411">
        <v>50002397</v>
      </c>
      <c r="D157" s="412"/>
      <c r="E157" s="412">
        <v>802</v>
      </c>
      <c r="F157" s="412"/>
      <c r="G157" s="412"/>
      <c r="H157" s="413">
        <v>1978</v>
      </c>
      <c r="I157" s="426">
        <v>4682</v>
      </c>
      <c r="J157" s="445">
        <v>6531</v>
      </c>
      <c r="K157" s="445">
        <v>7389</v>
      </c>
    </row>
    <row r="158" ht="17.4" hidden="1" spans="1:11">
      <c r="A158" s="409">
        <v>23</v>
      </c>
      <c r="B158" s="410" t="s">
        <v>59</v>
      </c>
      <c r="C158" s="436"/>
      <c r="D158" s="412"/>
      <c r="E158" s="412"/>
      <c r="F158" s="412"/>
      <c r="G158" s="412"/>
      <c r="H158" s="413"/>
      <c r="I158" s="426"/>
      <c r="J158" s="444"/>
      <c r="K158" s="444"/>
    </row>
    <row r="159" ht="17.4" hidden="1" spans="1:11">
      <c r="A159" s="409">
        <v>24</v>
      </c>
      <c r="B159" s="410" t="s">
        <v>59</v>
      </c>
      <c r="C159" s="411">
        <v>50002985</v>
      </c>
      <c r="D159" s="412"/>
      <c r="E159" s="412">
        <v>3274</v>
      </c>
      <c r="F159" s="412"/>
      <c r="G159" s="412"/>
      <c r="H159" s="413">
        <v>5957</v>
      </c>
      <c r="I159" s="426">
        <v>11400</v>
      </c>
      <c r="J159" s="445">
        <v>15173</v>
      </c>
      <c r="K159" s="445">
        <v>17190</v>
      </c>
    </row>
    <row r="160" ht="17.4" hidden="1" spans="1:11">
      <c r="A160" s="409">
        <v>25</v>
      </c>
      <c r="B160" s="410" t="s">
        <v>59</v>
      </c>
      <c r="C160" s="411">
        <v>50002966</v>
      </c>
      <c r="D160" s="412"/>
      <c r="E160" s="412">
        <v>1174</v>
      </c>
      <c r="F160" s="412"/>
      <c r="G160" s="412"/>
      <c r="H160" s="413">
        <v>4834</v>
      </c>
      <c r="I160" s="426">
        <v>7439</v>
      </c>
      <c r="J160" s="445">
        <v>9225</v>
      </c>
      <c r="K160" s="445">
        <v>10177</v>
      </c>
    </row>
    <row r="161" ht="17.4" hidden="1" spans="1:11">
      <c r="A161" s="409">
        <v>26</v>
      </c>
      <c r="B161" s="410" t="s">
        <v>59</v>
      </c>
      <c r="C161" s="434"/>
      <c r="D161" s="412"/>
      <c r="E161" s="412"/>
      <c r="F161" s="412"/>
      <c r="G161" s="412"/>
      <c r="H161" s="413"/>
      <c r="I161" s="426"/>
      <c r="J161" s="444"/>
      <c r="K161" s="444"/>
    </row>
    <row r="162" ht="17.4" hidden="1" spans="1:11">
      <c r="A162" s="409">
        <v>27</v>
      </c>
      <c r="B162" s="410" t="s">
        <v>59</v>
      </c>
      <c r="C162" s="434"/>
      <c r="D162" s="412"/>
      <c r="E162" s="412">
        <v>0</v>
      </c>
      <c r="F162" s="412"/>
      <c r="G162" s="412"/>
      <c r="H162" s="413">
        <v>0</v>
      </c>
      <c r="I162" s="426"/>
      <c r="J162" s="445">
        <v>1665</v>
      </c>
      <c r="K162" s="445">
        <v>3300</v>
      </c>
    </row>
    <row r="163" hidden="1" customHeight="1" spans="1:11">
      <c r="A163" s="417" t="s">
        <v>334</v>
      </c>
      <c r="B163" s="410" t="s">
        <v>59</v>
      </c>
      <c r="C163" s="411">
        <v>2911041070</v>
      </c>
      <c r="D163" s="412"/>
      <c r="E163" s="412">
        <v>115.13</v>
      </c>
      <c r="F163" s="412"/>
      <c r="G163" s="412"/>
      <c r="H163" s="413">
        <v>115.14</v>
      </c>
      <c r="I163" s="426">
        <v>946.85</v>
      </c>
      <c r="J163" s="445">
        <v>2485.56</v>
      </c>
      <c r="K163" s="445">
        <v>2485.57</v>
      </c>
    </row>
    <row r="164" ht="17.4" hidden="1" spans="1:11">
      <c r="A164" s="409" t="s">
        <v>336</v>
      </c>
      <c r="B164" s="410" t="s">
        <v>59</v>
      </c>
      <c r="C164" s="411">
        <v>2911041113</v>
      </c>
      <c r="D164" s="412"/>
      <c r="E164" s="412">
        <v>0</v>
      </c>
      <c r="F164" s="412"/>
      <c r="G164" s="412"/>
      <c r="H164" s="413">
        <v>0</v>
      </c>
      <c r="I164" s="426"/>
      <c r="J164" s="444"/>
      <c r="K164" s="444"/>
    </row>
    <row r="165" ht="17.4" hidden="1" spans="1:11">
      <c r="A165" s="409" t="s">
        <v>339</v>
      </c>
      <c r="B165" s="410" t="s">
        <v>59</v>
      </c>
      <c r="C165" s="414"/>
      <c r="D165" s="412"/>
      <c r="E165" s="412">
        <v>0</v>
      </c>
      <c r="F165" s="412"/>
      <c r="G165" s="412"/>
      <c r="H165" s="413">
        <v>0</v>
      </c>
      <c r="I165" s="426"/>
      <c r="J165" s="445">
        <v>0</v>
      </c>
      <c r="K165" s="445">
        <v>0</v>
      </c>
    </row>
    <row r="166" hidden="1" spans="1:11">
      <c r="A166" s="422" t="s">
        <v>341</v>
      </c>
      <c r="B166" s="410" t="s">
        <v>59</v>
      </c>
      <c r="C166" s="437"/>
      <c r="D166" s="412"/>
      <c r="E166" s="412"/>
      <c r="F166" s="412"/>
      <c r="G166" s="412"/>
      <c r="H166" s="413"/>
      <c r="I166" s="426"/>
      <c r="J166" s="444"/>
      <c r="K166" s="444"/>
    </row>
    <row r="167" hidden="1" spans="1:11">
      <c r="A167" s="423" t="s">
        <v>342</v>
      </c>
      <c r="B167" s="410" t="s">
        <v>59</v>
      </c>
      <c r="C167" s="437"/>
      <c r="D167" s="412"/>
      <c r="E167" s="412"/>
      <c r="F167" s="412"/>
      <c r="G167" s="412"/>
      <c r="H167" s="413"/>
      <c r="I167" s="426"/>
      <c r="J167" s="444"/>
      <c r="K167" s="444"/>
    </row>
    <row r="168" hidden="1" spans="1:11">
      <c r="A168" s="438">
        <v>1</v>
      </c>
      <c r="B168" s="410" t="s">
        <v>60</v>
      </c>
      <c r="C168" s="414"/>
      <c r="D168" s="412"/>
      <c r="E168" s="412">
        <v>0</v>
      </c>
      <c r="F168" s="412">
        <v>0</v>
      </c>
      <c r="G168" s="412">
        <v>0</v>
      </c>
      <c r="H168" s="413">
        <v>0</v>
      </c>
      <c r="I168" s="426">
        <v>0</v>
      </c>
      <c r="J168" s="426">
        <v>0</v>
      </c>
      <c r="K168" s="426"/>
    </row>
    <row r="169" hidden="1" spans="1:11">
      <c r="A169" s="438">
        <v>2</v>
      </c>
      <c r="B169" s="410" t="s">
        <v>60</v>
      </c>
      <c r="C169" s="414"/>
      <c r="D169" s="412"/>
      <c r="E169" s="412">
        <v>0</v>
      </c>
      <c r="F169" s="412">
        <v>0</v>
      </c>
      <c r="G169" s="412">
        <v>0</v>
      </c>
      <c r="H169" s="413">
        <v>0</v>
      </c>
      <c r="I169" s="426">
        <v>4106.37</v>
      </c>
      <c r="J169" s="426">
        <v>7043.77</v>
      </c>
      <c r="K169" s="426"/>
    </row>
    <row r="170" hidden="1" spans="1:11">
      <c r="A170" s="438">
        <v>3</v>
      </c>
      <c r="B170" s="410" t="s">
        <v>60</v>
      </c>
      <c r="C170" s="436"/>
      <c r="D170" s="412"/>
      <c r="E170" s="412">
        <v>0</v>
      </c>
      <c r="F170" s="412">
        <v>0</v>
      </c>
      <c r="G170" s="412">
        <v>0</v>
      </c>
      <c r="H170" s="413">
        <v>0</v>
      </c>
      <c r="I170" s="426">
        <v>0</v>
      </c>
      <c r="J170" s="426">
        <v>0</v>
      </c>
      <c r="K170" s="426"/>
    </row>
    <row r="171" hidden="1" spans="1:11">
      <c r="A171" s="438">
        <v>4</v>
      </c>
      <c r="B171" s="410" t="s">
        <v>60</v>
      </c>
      <c r="C171" s="411">
        <v>50002962</v>
      </c>
      <c r="D171" s="412"/>
      <c r="E171" s="412">
        <v>0</v>
      </c>
      <c r="F171" s="412">
        <v>0</v>
      </c>
      <c r="G171" s="412">
        <v>0</v>
      </c>
      <c r="H171" s="413">
        <v>0</v>
      </c>
      <c r="I171" s="426">
        <v>0</v>
      </c>
      <c r="J171" s="426">
        <v>0</v>
      </c>
      <c r="K171" s="426"/>
    </row>
    <row r="172" hidden="1" spans="1:11">
      <c r="A172" s="438">
        <v>5</v>
      </c>
      <c r="B172" s="410" t="s">
        <v>60</v>
      </c>
      <c r="C172" s="436"/>
      <c r="D172" s="412"/>
      <c r="E172" s="412">
        <v>457</v>
      </c>
      <c r="F172" s="412">
        <v>1317</v>
      </c>
      <c r="G172" s="412">
        <v>2177</v>
      </c>
      <c r="H172" s="413">
        <v>3035.33</v>
      </c>
      <c r="I172" s="426">
        <v>7091.69</v>
      </c>
      <c r="J172" s="426">
        <v>9990.85</v>
      </c>
      <c r="K172" s="426"/>
    </row>
    <row r="173" hidden="1" spans="1:11">
      <c r="A173" s="438">
        <v>6</v>
      </c>
      <c r="B173" s="410" t="s">
        <v>60</v>
      </c>
      <c r="C173" s="436"/>
      <c r="D173" s="412"/>
      <c r="E173" s="412">
        <v>0</v>
      </c>
      <c r="F173" s="412">
        <v>0</v>
      </c>
      <c r="G173" s="412">
        <v>493.96</v>
      </c>
      <c r="H173" s="413">
        <v>806.61</v>
      </c>
      <c r="I173" s="426">
        <v>4918.05</v>
      </c>
      <c r="J173" s="426">
        <v>7953.86</v>
      </c>
      <c r="K173" s="426"/>
    </row>
    <row r="174" hidden="1" spans="1:11">
      <c r="A174" s="438">
        <v>7</v>
      </c>
      <c r="B174" s="410" t="s">
        <v>60</v>
      </c>
      <c r="C174" s="411">
        <v>50003423</v>
      </c>
      <c r="D174" s="412"/>
      <c r="E174" s="412">
        <v>463</v>
      </c>
      <c r="F174" s="412">
        <v>1233.08</v>
      </c>
      <c r="G174" s="412">
        <v>1829.3</v>
      </c>
      <c r="H174" s="413">
        <v>1914.79</v>
      </c>
      <c r="I174" s="426">
        <v>3088.82</v>
      </c>
      <c r="J174" s="426">
        <v>4593.49</v>
      </c>
      <c r="K174" s="426">
        <v>5538.56</v>
      </c>
    </row>
    <row r="175" hidden="1" spans="1:11">
      <c r="A175" s="438">
        <v>8</v>
      </c>
      <c r="B175" s="410" t="s">
        <v>60</v>
      </c>
      <c r="C175" s="414"/>
      <c r="D175" s="412"/>
      <c r="E175" s="412">
        <v>4</v>
      </c>
      <c r="F175" s="412">
        <v>308.04</v>
      </c>
      <c r="G175" s="412">
        <v>2226.07</v>
      </c>
      <c r="H175" s="413">
        <v>2495.84</v>
      </c>
      <c r="I175" s="426">
        <v>6799.19</v>
      </c>
      <c r="J175" s="426">
        <v>9896.14</v>
      </c>
      <c r="K175" s="426">
        <v>11518.24</v>
      </c>
    </row>
    <row r="176" hidden="1" spans="1:11">
      <c r="A176" s="438">
        <v>9</v>
      </c>
      <c r="B176" s="410" t="s">
        <v>60</v>
      </c>
      <c r="C176" s="414"/>
      <c r="D176" s="412"/>
      <c r="E176" s="412">
        <v>0</v>
      </c>
      <c r="F176" s="412">
        <v>0</v>
      </c>
      <c r="G176" s="412">
        <v>0</v>
      </c>
      <c r="H176" s="413">
        <v>0</v>
      </c>
      <c r="I176" s="426">
        <v>0</v>
      </c>
      <c r="J176" s="426">
        <v>0</v>
      </c>
      <c r="K176" s="426"/>
    </row>
    <row r="177" hidden="1" spans="1:11">
      <c r="A177" s="438">
        <v>10</v>
      </c>
      <c r="B177" s="410" t="s">
        <v>60</v>
      </c>
      <c r="C177" s="436"/>
      <c r="D177" s="412"/>
      <c r="E177" s="412">
        <v>0</v>
      </c>
      <c r="F177" s="412">
        <v>0</v>
      </c>
      <c r="G177" s="412">
        <v>0</v>
      </c>
      <c r="H177" s="413">
        <v>0</v>
      </c>
      <c r="I177" s="426">
        <v>4.88</v>
      </c>
      <c r="J177" s="426">
        <v>1442.54</v>
      </c>
      <c r="K177" s="426"/>
    </row>
    <row r="178" hidden="1" spans="1:11">
      <c r="A178" s="438">
        <v>11</v>
      </c>
      <c r="B178" s="410" t="s">
        <v>60</v>
      </c>
      <c r="C178" s="414"/>
      <c r="D178" s="412"/>
      <c r="E178" s="412">
        <v>0</v>
      </c>
      <c r="F178" s="412">
        <v>0</v>
      </c>
      <c r="G178" s="412">
        <v>0</v>
      </c>
      <c r="H178" s="413">
        <v>0</v>
      </c>
      <c r="I178" s="426">
        <v>0</v>
      </c>
      <c r="J178" s="426">
        <v>0</v>
      </c>
      <c r="K178" s="426"/>
    </row>
    <row r="179" hidden="1" spans="1:11">
      <c r="A179" s="438">
        <v>12</v>
      </c>
      <c r="B179" s="410" t="s">
        <v>60</v>
      </c>
      <c r="C179" s="436"/>
      <c r="D179" s="412"/>
      <c r="E179" s="412">
        <v>0</v>
      </c>
      <c r="F179" s="412">
        <v>0</v>
      </c>
      <c r="G179" s="412">
        <v>0</v>
      </c>
      <c r="H179" s="413">
        <v>0</v>
      </c>
      <c r="I179" s="426">
        <v>0</v>
      </c>
      <c r="J179" s="426">
        <v>0</v>
      </c>
      <c r="K179" s="426"/>
    </row>
    <row r="180" hidden="1" spans="1:11">
      <c r="A180" s="438">
        <v>13</v>
      </c>
      <c r="B180" s="410" t="s">
        <v>60</v>
      </c>
      <c r="C180" s="414"/>
      <c r="D180" s="412"/>
      <c r="E180" s="412">
        <v>0</v>
      </c>
      <c r="F180" s="412">
        <v>0</v>
      </c>
      <c r="G180" s="412">
        <v>0</v>
      </c>
      <c r="H180" s="413">
        <v>0</v>
      </c>
      <c r="I180" s="426">
        <v>4629</v>
      </c>
      <c r="J180" s="426">
        <v>8195.72</v>
      </c>
      <c r="K180" s="426"/>
    </row>
    <row r="181" hidden="1" spans="1:11">
      <c r="A181" s="438">
        <v>14</v>
      </c>
      <c r="B181" s="410" t="s">
        <v>60</v>
      </c>
      <c r="C181" s="436"/>
      <c r="D181" s="412"/>
      <c r="E181" s="412">
        <v>0</v>
      </c>
      <c r="F181" s="412">
        <v>0</v>
      </c>
      <c r="G181" s="412">
        <v>0</v>
      </c>
      <c r="H181" s="413">
        <v>0</v>
      </c>
      <c r="I181" s="426">
        <v>0</v>
      </c>
      <c r="J181" s="426">
        <v>0</v>
      </c>
      <c r="K181" s="426"/>
    </row>
    <row r="182" hidden="1" spans="1:11">
      <c r="A182" s="438">
        <v>15</v>
      </c>
      <c r="B182" s="410" t="s">
        <v>60</v>
      </c>
      <c r="C182" s="436"/>
      <c r="D182" s="412"/>
      <c r="E182" s="412">
        <v>0</v>
      </c>
      <c r="F182" s="412">
        <v>0</v>
      </c>
      <c r="G182" s="412">
        <v>0</v>
      </c>
      <c r="H182" s="413">
        <v>0</v>
      </c>
      <c r="I182" s="426">
        <v>0</v>
      </c>
      <c r="J182" s="426">
        <v>0</v>
      </c>
      <c r="K182" s="426"/>
    </row>
    <row r="183" hidden="1" spans="1:11">
      <c r="A183" s="438">
        <v>16</v>
      </c>
      <c r="B183" s="410" t="s">
        <v>60</v>
      </c>
      <c r="C183" s="436"/>
      <c r="D183" s="412"/>
      <c r="E183" s="412">
        <v>0</v>
      </c>
      <c r="F183" s="412">
        <v>0</v>
      </c>
      <c r="G183" s="412">
        <v>0</v>
      </c>
      <c r="H183" s="413">
        <v>0</v>
      </c>
      <c r="I183" s="426">
        <v>0</v>
      </c>
      <c r="J183" s="426">
        <v>0</v>
      </c>
      <c r="K183" s="426"/>
    </row>
    <row r="184" hidden="1" spans="1:11">
      <c r="A184" s="438">
        <v>17</v>
      </c>
      <c r="B184" s="410" t="s">
        <v>60</v>
      </c>
      <c r="C184" s="414"/>
      <c r="D184" s="412"/>
      <c r="E184" s="412">
        <v>0</v>
      </c>
      <c r="F184" s="412">
        <v>0</v>
      </c>
      <c r="G184" s="412">
        <v>0</v>
      </c>
      <c r="H184" s="413">
        <v>0</v>
      </c>
      <c r="I184" s="426">
        <v>0</v>
      </c>
      <c r="J184" s="426">
        <v>0</v>
      </c>
      <c r="K184" s="426"/>
    </row>
    <row r="185" hidden="1" spans="1:11">
      <c r="A185" s="438">
        <v>18</v>
      </c>
      <c r="B185" s="410" t="s">
        <v>60</v>
      </c>
      <c r="C185" s="414"/>
      <c r="D185" s="412"/>
      <c r="E185" s="412">
        <v>4.02</v>
      </c>
      <c r="F185" s="412">
        <v>4.02</v>
      </c>
      <c r="G185" s="412">
        <v>4.02</v>
      </c>
      <c r="H185" s="413">
        <v>4.02</v>
      </c>
      <c r="I185" s="426">
        <v>4.02</v>
      </c>
      <c r="J185" s="426">
        <v>4.02</v>
      </c>
      <c r="K185" s="426"/>
    </row>
    <row r="186" hidden="1" spans="1:11">
      <c r="A186" s="438">
        <v>19</v>
      </c>
      <c r="B186" s="410" t="s">
        <v>60</v>
      </c>
      <c r="C186" s="411">
        <v>50003387</v>
      </c>
      <c r="D186" s="412"/>
      <c r="E186" s="412">
        <v>0</v>
      </c>
      <c r="F186" s="412">
        <v>0</v>
      </c>
      <c r="G186" s="412">
        <v>1.03</v>
      </c>
      <c r="H186" s="413">
        <v>1.03</v>
      </c>
      <c r="I186" s="426">
        <v>1.03</v>
      </c>
      <c r="J186" s="426">
        <v>1568.28</v>
      </c>
      <c r="K186" s="426"/>
    </row>
    <row r="187" hidden="1" spans="1:11">
      <c r="A187" s="417" t="s">
        <v>334</v>
      </c>
      <c r="B187" s="410" t="s">
        <v>60</v>
      </c>
      <c r="C187" s="411">
        <v>2911041070</v>
      </c>
      <c r="D187" s="412"/>
      <c r="E187" s="412">
        <v>0</v>
      </c>
      <c r="F187" s="412">
        <v>0</v>
      </c>
      <c r="G187" s="412">
        <v>1182.03</v>
      </c>
      <c r="H187" s="413">
        <v>1375.69</v>
      </c>
      <c r="I187" s="426">
        <v>5743.46</v>
      </c>
      <c r="J187" s="426">
        <v>8806.19</v>
      </c>
      <c r="K187" s="426">
        <v>10272.37</v>
      </c>
    </row>
    <row r="188" ht="17.4" hidden="1" spans="1:11">
      <c r="A188" s="409" t="s">
        <v>336</v>
      </c>
      <c r="B188" s="410" t="s">
        <v>60</v>
      </c>
      <c r="C188" s="411">
        <v>2911041113</v>
      </c>
      <c r="D188" s="412"/>
      <c r="E188" s="412">
        <v>0</v>
      </c>
      <c r="F188" s="412">
        <v>0</v>
      </c>
      <c r="G188" s="412"/>
      <c r="H188" s="413">
        <v>0</v>
      </c>
      <c r="I188" s="426"/>
      <c r="J188" s="426">
        <v>0</v>
      </c>
      <c r="K188" s="426"/>
    </row>
    <row r="189" ht="17.4" hidden="1" spans="1:11">
      <c r="A189" s="439" t="s">
        <v>339</v>
      </c>
      <c r="B189" s="440" t="s">
        <v>60</v>
      </c>
      <c r="C189" s="441"/>
      <c r="D189" s="412"/>
      <c r="E189" s="412">
        <v>0</v>
      </c>
      <c r="F189" s="412"/>
      <c r="G189" s="412"/>
      <c r="H189" s="413">
        <v>0</v>
      </c>
      <c r="I189" s="426"/>
      <c r="J189" s="426">
        <v>0</v>
      </c>
      <c r="K189" s="426">
        <v>0</v>
      </c>
    </row>
    <row r="190" hidden="1" spans="1:11">
      <c r="A190" s="417" t="s">
        <v>341</v>
      </c>
      <c r="B190" s="440" t="s">
        <v>60</v>
      </c>
      <c r="C190" s="437"/>
      <c r="D190" s="412"/>
      <c r="E190" s="412"/>
      <c r="F190" s="412"/>
      <c r="G190" s="412"/>
      <c r="H190" s="413"/>
      <c r="I190" s="426"/>
      <c r="J190" s="426"/>
      <c r="K190" s="426"/>
    </row>
    <row r="191" hidden="1" spans="1:11">
      <c r="A191" s="442" t="s">
        <v>342</v>
      </c>
      <c r="B191" s="440" t="s">
        <v>60</v>
      </c>
      <c r="C191" s="443"/>
      <c r="D191" s="412"/>
      <c r="E191" s="412"/>
      <c r="F191" s="412"/>
      <c r="G191" s="412"/>
      <c r="H191" s="413"/>
      <c r="I191" s="426"/>
      <c r="J191" s="426"/>
      <c r="K191" s="426"/>
    </row>
  </sheetData>
  <conditionalFormatting sqref="J28:J135">
    <cfRule type="cellIs" dxfId="36" priority="3" operator="lessThan">
      <formula>0</formula>
    </cfRule>
  </conditionalFormatting>
  <conditionalFormatting sqref="J168:J191">
    <cfRule type="cellIs" dxfId="36" priority="6" operator="lessThan">
      <formula>0</formula>
    </cfRule>
  </conditionalFormatting>
  <conditionalFormatting sqref="K28:K135">
    <cfRule type="cellIs" dxfId="36" priority="1" operator="lessThan">
      <formula>0</formula>
    </cfRule>
  </conditionalFormatting>
  <conditionalFormatting sqref="K168:K191">
    <cfRule type="cellIs" dxfId="36" priority="2" operator="lessThan">
      <formula>0</formula>
    </cfRule>
  </conditionalFormatting>
  <conditionalFormatting sqref="D2:E25">
    <cfRule type="cellIs" dxfId="36" priority="17" operator="lessThan">
      <formula>0</formula>
    </cfRule>
  </conditionalFormatting>
  <conditionalFormatting sqref="D27:I150 D151:H151 D152:I191">
    <cfRule type="cellIs" dxfId="36" priority="12" operator="lessThan">
      <formula>0</formula>
    </cfRule>
  </conditionalFormatting>
  <pageMargins left="0.7" right="0.7" top="0.75" bottom="0.75" header="0.3" footer="0.3"/>
  <pageSetup paperSize="9"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dimension ref="A1:L11"/>
  <sheetViews>
    <sheetView zoomScale="115" zoomScaleNormal="115" workbookViewId="0">
      <selection activeCell="L2" sqref="L2"/>
    </sheetView>
  </sheetViews>
  <sheetFormatPr defaultColWidth="8.8" defaultRowHeight="13.8"/>
  <cols>
    <col min="1" max="1" width="11.2" customWidth="1"/>
    <col min="2" max="3" width="13.8" customWidth="1"/>
    <col min="4" max="4" width="15.7" customWidth="1"/>
    <col min="5" max="5" width="16.5" customWidth="1"/>
    <col min="6" max="7" width="9.8" customWidth="1"/>
    <col min="8" max="8" width="15.2" customWidth="1"/>
    <col min="9" max="9" width="16.7" customWidth="1"/>
  </cols>
  <sheetData>
    <row r="1" ht="82.8" spans="2:12">
      <c r="B1" s="392" t="s">
        <v>844</v>
      </c>
      <c r="C1" s="392" t="s">
        <v>845</v>
      </c>
      <c r="D1" s="392" t="s">
        <v>846</v>
      </c>
      <c r="E1" s="393" t="s">
        <v>847</v>
      </c>
      <c r="F1" s="393" t="s">
        <v>848</v>
      </c>
      <c r="G1" s="392" t="s">
        <v>849</v>
      </c>
      <c r="H1" s="392" t="s">
        <v>850</v>
      </c>
      <c r="I1" s="392" t="s">
        <v>851</v>
      </c>
      <c r="J1" s="392" t="s">
        <v>852</v>
      </c>
      <c r="K1" s="392" t="s">
        <v>853</v>
      </c>
      <c r="L1" s="393" t="s">
        <v>854</v>
      </c>
    </row>
    <row r="2" ht="25.2" customHeight="1" spans="1:12">
      <c r="A2" s="392" t="s">
        <v>855</v>
      </c>
      <c r="B2" s="394">
        <v>22</v>
      </c>
      <c r="C2" s="395">
        <v>-22</v>
      </c>
      <c r="D2" s="395">
        <v>22</v>
      </c>
      <c r="E2" s="396">
        <v>30</v>
      </c>
      <c r="F2" s="396">
        <f>-3.5*1.1</f>
        <v>-3.85</v>
      </c>
      <c r="G2" s="394">
        <v>-65</v>
      </c>
      <c r="H2" s="397">
        <v>-0.05</v>
      </c>
      <c r="I2" s="392">
        <f>-G2*H2</f>
        <v>-3.25</v>
      </c>
      <c r="J2" s="392">
        <v>2</v>
      </c>
      <c r="K2" s="392">
        <v>-2</v>
      </c>
      <c r="L2" s="396">
        <v>36</v>
      </c>
    </row>
    <row r="3" ht="23.55" customHeight="1" spans="1:12">
      <c r="A3" s="392" t="s">
        <v>856</v>
      </c>
      <c r="B3" s="398">
        <f t="shared" ref="B3:G3" si="0">B2/100</f>
        <v>0.22</v>
      </c>
      <c r="C3" s="398">
        <f t="shared" si="0"/>
        <v>-0.22</v>
      </c>
      <c r="D3" s="399">
        <f t="shared" si="0"/>
        <v>0.22</v>
      </c>
      <c r="E3" s="400">
        <v>0.3</v>
      </c>
      <c r="F3" s="401">
        <f t="shared" si="0"/>
        <v>-0.0385</v>
      </c>
      <c r="G3" s="398">
        <f t="shared" si="0"/>
        <v>-0.65</v>
      </c>
      <c r="H3" s="397">
        <v>-0.05</v>
      </c>
      <c r="I3" s="398">
        <f>I2/100</f>
        <v>-0.0325</v>
      </c>
      <c r="J3" s="398">
        <f t="shared" ref="J3:L3" si="1">J2/100</f>
        <v>0.02</v>
      </c>
      <c r="K3" s="398">
        <f t="shared" si="1"/>
        <v>-0.02</v>
      </c>
      <c r="L3" s="401">
        <f t="shared" si="1"/>
        <v>0.36</v>
      </c>
    </row>
    <row r="6" ht="55.2" spans="2:4">
      <c r="B6" s="393" t="s">
        <v>857</v>
      </c>
      <c r="C6" s="393" t="s">
        <v>858</v>
      </c>
      <c r="D6" t="s">
        <v>859</v>
      </c>
    </row>
    <row r="7" spans="1:4">
      <c r="A7" s="392" t="s">
        <v>860</v>
      </c>
      <c r="B7" s="398">
        <v>55</v>
      </c>
      <c r="C7" s="398">
        <v>858</v>
      </c>
      <c r="D7" s="398">
        <v>80.3</v>
      </c>
    </row>
    <row r="8" spans="1:4">
      <c r="A8" s="392" t="s">
        <v>861</v>
      </c>
      <c r="B8" s="398">
        <f>B7/365</f>
        <v>0.150684931506849</v>
      </c>
      <c r="C8" s="398">
        <f>C7/365</f>
        <v>2.35068493150685</v>
      </c>
      <c r="D8" s="398">
        <f>D7/365</f>
        <v>0.22</v>
      </c>
    </row>
    <row r="10" ht="27.6" spans="2:2">
      <c r="B10" t="s">
        <v>862</v>
      </c>
    </row>
    <row r="11" spans="1:2">
      <c r="A11" t="s">
        <v>863</v>
      </c>
      <c r="B11">
        <v>1.1</v>
      </c>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BT88"/>
  <sheetViews>
    <sheetView zoomScale="70" zoomScaleNormal="70" workbookViewId="0">
      <selection activeCell="A1" sqref="$A1:$XFD1048576"/>
    </sheetView>
  </sheetViews>
  <sheetFormatPr defaultColWidth="10.8" defaultRowHeight="17.4"/>
  <cols>
    <col min="1" max="1" width="11.7" style="136" customWidth="1"/>
    <col min="2" max="2" width="48.3" style="137" customWidth="1"/>
    <col min="3" max="4" width="15.7" style="137" customWidth="1"/>
    <col min="5" max="5" width="12.5" style="137" customWidth="1"/>
    <col min="6" max="7" width="17.8" style="137" customWidth="1"/>
    <col min="8" max="8" width="15.8" style="138" customWidth="1"/>
    <col min="9" max="9" width="15.2" style="138" customWidth="1"/>
    <col min="10" max="10" width="16.8" style="137" customWidth="1"/>
    <col min="11" max="11" width="15.2" style="139" customWidth="1"/>
    <col min="12" max="12" width="15.2" style="137" customWidth="1"/>
    <col min="13" max="20" width="15.2" style="139" customWidth="1"/>
    <col min="21" max="24" width="15.2" style="137" customWidth="1"/>
    <col min="25" max="27" width="15.2" style="140" customWidth="1"/>
    <col min="28" max="28" width="21.7" style="140" customWidth="1"/>
    <col min="29" max="30" width="15.2" style="140" customWidth="1"/>
    <col min="31" max="33" width="15.2" style="139" customWidth="1"/>
    <col min="34" max="35" width="15.2" style="141" customWidth="1"/>
    <col min="36" max="36" width="19.5" style="141" customWidth="1"/>
    <col min="37" max="37" width="15.2" style="139" customWidth="1"/>
    <col min="38" max="39" width="15.2" style="141" customWidth="1"/>
    <col min="40" max="40" width="15.2" style="137" customWidth="1"/>
    <col min="41" max="41" width="15.8" style="142" customWidth="1"/>
    <col min="42" max="66" width="15.8" style="137" customWidth="1"/>
    <col min="67" max="67" width="15.8" style="142" customWidth="1"/>
    <col min="68" max="68" width="15.8" style="137" customWidth="1"/>
    <col min="69" max="69" width="21" style="137" customWidth="1"/>
    <col min="70" max="71" width="15.8" customWidth="1"/>
    <col min="72" max="72" width="13" style="136" customWidth="1"/>
  </cols>
  <sheetData>
    <row r="1" s="133" customFormat="1" ht="21" spans="1:72">
      <c r="A1" s="143"/>
      <c r="B1" s="144" t="s">
        <v>52</v>
      </c>
      <c r="C1" s="145" t="s">
        <v>864</v>
      </c>
      <c r="D1" s="145"/>
      <c r="E1" s="145"/>
      <c r="F1" s="146">
        <f>DATE(2025,F2,1)</f>
        <v>45658</v>
      </c>
      <c r="G1" s="146"/>
      <c r="H1" s="147">
        <f>DATE(2025,H2+1,0)</f>
        <v>45747</v>
      </c>
      <c r="I1"/>
      <c r="K1" s="222"/>
      <c r="L1" s="223"/>
      <c r="M1" s="223"/>
      <c r="N1" s="223"/>
      <c r="O1" s="223"/>
      <c r="P1" s="223"/>
      <c r="Q1" s="223"/>
      <c r="R1" s="223"/>
      <c r="S1" s="223"/>
      <c r="T1" s="223"/>
      <c r="U1" s="223"/>
      <c r="V1" s="223"/>
      <c r="W1" s="223"/>
      <c r="X1" s="222"/>
      <c r="Y1" s="223"/>
      <c r="Z1" s="223"/>
      <c r="AA1" s="223"/>
      <c r="AB1" s="223"/>
      <c r="AC1" s="223"/>
      <c r="AD1" s="223"/>
      <c r="AE1" s="222"/>
      <c r="AF1" s="222"/>
      <c r="AG1" s="223"/>
      <c r="AH1" s="223"/>
      <c r="AI1" s="223"/>
      <c r="AJ1" s="223"/>
      <c r="AK1" s="223"/>
      <c r="AL1" s="223"/>
      <c r="AM1" s="223"/>
      <c r="AN1" s="223"/>
      <c r="AO1" s="223"/>
      <c r="AP1" s="222"/>
      <c r="AQ1" s="222"/>
      <c r="AR1" s="222"/>
      <c r="AS1" s="222"/>
      <c r="AT1" s="222"/>
      <c r="AU1" s="222"/>
      <c r="AV1" s="222"/>
      <c r="AW1" s="222"/>
      <c r="AX1" s="222"/>
      <c r="AY1" s="222"/>
      <c r="AZ1" s="222"/>
      <c r="BA1" s="222"/>
      <c r="BB1" s="222"/>
      <c r="BC1" s="222"/>
      <c r="BD1" s="222"/>
      <c r="BE1" s="222"/>
      <c r="BF1" s="222"/>
      <c r="BG1" s="222"/>
      <c r="BH1" s="222"/>
      <c r="BI1" s="222"/>
      <c r="BJ1" s="222"/>
      <c r="BK1" s="222"/>
      <c r="BL1" s="222"/>
      <c r="BM1" s="222"/>
      <c r="BN1" s="222"/>
      <c r="BO1" s="222"/>
      <c r="BP1" s="360"/>
      <c r="BQ1" s="222"/>
      <c r="BR1" s="222"/>
      <c r="BT1" s="143"/>
    </row>
    <row r="2" ht="22.95" customHeight="1" spans="2:70">
      <c r="B2" s="148"/>
      <c r="F2" s="669" t="s">
        <v>831</v>
      </c>
      <c r="G2" s="669" t="s">
        <v>832</v>
      </c>
      <c r="H2" s="669" t="s">
        <v>833</v>
      </c>
      <c r="I2" s="137"/>
      <c r="J2" s="224"/>
      <c r="K2" s="137"/>
      <c r="L2" s="139"/>
      <c r="U2" s="139"/>
      <c r="V2" s="139"/>
      <c r="W2" s="139"/>
      <c r="Y2" s="139"/>
      <c r="Z2" s="139"/>
      <c r="AA2" s="139"/>
      <c r="AB2" s="139"/>
      <c r="AC2" s="139"/>
      <c r="AD2" s="139"/>
      <c r="AE2" s="137"/>
      <c r="AF2" s="137"/>
      <c r="AH2" s="139"/>
      <c r="AI2" s="139"/>
      <c r="AJ2" s="139"/>
      <c r="AL2" s="139"/>
      <c r="AM2" s="139"/>
      <c r="AN2" s="139"/>
      <c r="AO2" s="139"/>
      <c r="BO2" s="137"/>
      <c r="BP2" s="142"/>
      <c r="BR2" s="137"/>
    </row>
    <row r="3" ht="76.95" customHeight="1" spans="3:71">
      <c r="C3" s="149" t="s">
        <v>865</v>
      </c>
      <c r="D3" s="149"/>
      <c r="E3" s="149"/>
      <c r="F3" s="150">
        <f>DAY(DATE(2024,F2+1,0))</f>
        <v>31</v>
      </c>
      <c r="G3" s="150">
        <f t="shared" ref="G3:H3" si="0">DAY(DATE(2024,G2+1,0))</f>
        <v>29</v>
      </c>
      <c r="H3" s="150">
        <f t="shared" si="0"/>
        <v>31</v>
      </c>
      <c r="I3" s="225">
        <f>N3</f>
        <v>90</v>
      </c>
      <c r="J3" s="225">
        <f>N3</f>
        <v>90</v>
      </c>
      <c r="K3" s="225">
        <f>N3</f>
        <v>90</v>
      </c>
      <c r="L3" s="225">
        <f>N3</f>
        <v>90</v>
      </c>
      <c r="M3" s="225">
        <v>1</v>
      </c>
      <c r="N3" s="226">
        <f>H1-F1+1</f>
        <v>90</v>
      </c>
      <c r="O3" s="227"/>
      <c r="P3" s="228" t="s">
        <v>866</v>
      </c>
      <c r="Q3" s="228"/>
      <c r="R3" s="252" t="s">
        <v>867</v>
      </c>
      <c r="S3" s="252"/>
      <c r="T3" s="252"/>
      <c r="U3" s="252"/>
      <c r="V3" s="252"/>
      <c r="W3" s="252"/>
      <c r="X3" s="252"/>
      <c r="Y3" s="252"/>
      <c r="Z3" s="252"/>
      <c r="AA3" s="252"/>
      <c r="AB3" s="252"/>
      <c r="AC3" s="252"/>
      <c r="AD3" s="252"/>
      <c r="AE3" s="271" t="s">
        <v>868</v>
      </c>
      <c r="AF3" s="271"/>
      <c r="AG3" s="271"/>
      <c r="AH3" s="271"/>
      <c r="AI3" s="271"/>
      <c r="AJ3" s="252"/>
      <c r="AK3" s="252"/>
      <c r="AL3" s="252"/>
      <c r="AM3" s="252"/>
      <c r="AN3" s="252"/>
      <c r="AO3" s="310"/>
      <c r="AP3" s="311"/>
      <c r="AQ3" s="312" t="s">
        <v>869</v>
      </c>
      <c r="AR3" s="312"/>
      <c r="AS3" s="312"/>
      <c r="AT3" s="312"/>
      <c r="AU3" s="312"/>
      <c r="AV3" s="312"/>
      <c r="AW3" s="312"/>
      <c r="AX3" s="312"/>
      <c r="AY3" s="312"/>
      <c r="AZ3" s="312"/>
      <c r="BA3" s="312"/>
      <c r="BB3" s="312"/>
      <c r="BC3" s="312"/>
      <c r="BD3" s="333"/>
      <c r="BE3" s="333"/>
      <c r="BF3" s="333"/>
      <c r="BG3" s="333"/>
      <c r="BH3" s="333"/>
      <c r="BI3" s="333"/>
      <c r="BJ3" s="333"/>
      <c r="BK3" s="341" t="s">
        <v>870</v>
      </c>
      <c r="BL3" s="342"/>
      <c r="BM3" s="342"/>
      <c r="BN3" s="342"/>
      <c r="BO3" s="342"/>
      <c r="BP3" s="361"/>
      <c r="BQ3" s="362" t="s">
        <v>871</v>
      </c>
      <c r="BR3" s="363"/>
      <c r="BS3" s="364"/>
    </row>
    <row r="4" s="134" customFormat="1" ht="208.05" customHeight="1" spans="1:72">
      <c r="A4" s="151" t="s">
        <v>190</v>
      </c>
      <c r="B4" s="152" t="s">
        <v>872</v>
      </c>
      <c r="C4" s="153" t="s">
        <v>873</v>
      </c>
      <c r="D4" s="153" t="s">
        <v>874</v>
      </c>
      <c r="E4" s="154" t="s">
        <v>208</v>
      </c>
      <c r="F4" s="155" t="s">
        <v>875</v>
      </c>
      <c r="G4" s="156" t="s">
        <v>876</v>
      </c>
      <c r="H4" s="156" t="s">
        <v>877</v>
      </c>
      <c r="I4" s="156" t="s">
        <v>878</v>
      </c>
      <c r="J4" s="156" t="s">
        <v>879</v>
      </c>
      <c r="K4" s="156" t="s">
        <v>880</v>
      </c>
      <c r="L4" s="156" t="s">
        <v>859</v>
      </c>
      <c r="M4" s="156" t="s">
        <v>881</v>
      </c>
      <c r="N4" s="229" t="s">
        <v>882</v>
      </c>
      <c r="O4" s="230" t="s">
        <v>883</v>
      </c>
      <c r="P4" s="231" t="s">
        <v>884</v>
      </c>
      <c r="Q4" s="253" t="s">
        <v>885</v>
      </c>
      <c r="R4" s="254" t="s">
        <v>886</v>
      </c>
      <c r="S4" s="254" t="s">
        <v>887</v>
      </c>
      <c r="T4" s="254" t="s">
        <v>888</v>
      </c>
      <c r="U4" s="254" t="s">
        <v>889</v>
      </c>
      <c r="V4" s="254" t="s">
        <v>890</v>
      </c>
      <c r="W4" s="254" t="s">
        <v>891</v>
      </c>
      <c r="X4" s="254" t="s">
        <v>892</v>
      </c>
      <c r="Y4" s="254" t="s">
        <v>893</v>
      </c>
      <c r="Z4" s="254" t="s">
        <v>894</v>
      </c>
      <c r="AA4" s="254" t="s">
        <v>895</v>
      </c>
      <c r="AB4" s="254" t="s">
        <v>896</v>
      </c>
      <c r="AC4" s="254" t="s">
        <v>897</v>
      </c>
      <c r="AD4" s="272" t="s">
        <v>898</v>
      </c>
      <c r="AE4" s="273" t="s">
        <v>899</v>
      </c>
      <c r="AF4" s="274" t="s">
        <v>900</v>
      </c>
      <c r="AG4" s="274" t="s">
        <v>901</v>
      </c>
      <c r="AH4" s="274" t="s">
        <v>902</v>
      </c>
      <c r="AI4" s="274" t="s">
        <v>903</v>
      </c>
      <c r="AJ4" s="254" t="s">
        <v>904</v>
      </c>
      <c r="AK4" s="254" t="s">
        <v>905</v>
      </c>
      <c r="AL4" s="272" t="s">
        <v>906</v>
      </c>
      <c r="AM4" s="291" t="s">
        <v>907</v>
      </c>
      <c r="AN4" s="291" t="s">
        <v>908</v>
      </c>
      <c r="AO4" s="313" t="s">
        <v>909</v>
      </c>
      <c r="AP4" s="314" t="s">
        <v>910</v>
      </c>
      <c r="AQ4" s="231" t="s">
        <v>911</v>
      </c>
      <c r="AR4" s="315" t="s">
        <v>912</v>
      </c>
      <c r="AS4" s="312" t="s">
        <v>913</v>
      </c>
      <c r="AT4" s="312" t="s">
        <v>914</v>
      </c>
      <c r="AU4" s="312" t="s">
        <v>915</v>
      </c>
      <c r="AV4" s="312" t="s">
        <v>916</v>
      </c>
      <c r="AW4" s="312" t="s">
        <v>917</v>
      </c>
      <c r="AX4" s="312" t="s">
        <v>918</v>
      </c>
      <c r="AY4" s="312" t="s">
        <v>919</v>
      </c>
      <c r="AZ4" s="312" t="s">
        <v>920</v>
      </c>
      <c r="BA4" s="312" t="s">
        <v>921</v>
      </c>
      <c r="BB4" s="312" t="s">
        <v>922</v>
      </c>
      <c r="BC4" s="312" t="s">
        <v>923</v>
      </c>
      <c r="BD4" s="333" t="s">
        <v>924</v>
      </c>
      <c r="BE4" s="333" t="s">
        <v>925</v>
      </c>
      <c r="BF4" s="333" t="s">
        <v>926</v>
      </c>
      <c r="BG4" s="343" t="s">
        <v>927</v>
      </c>
      <c r="BH4" s="343" t="s">
        <v>928</v>
      </c>
      <c r="BI4" s="343" t="s">
        <v>929</v>
      </c>
      <c r="BJ4" s="333" t="s">
        <v>930</v>
      </c>
      <c r="BK4" s="344" t="s">
        <v>931</v>
      </c>
      <c r="BL4" s="345" t="s">
        <v>932</v>
      </c>
      <c r="BM4" s="345" t="s">
        <v>933</v>
      </c>
      <c r="BN4" s="345" t="s">
        <v>934</v>
      </c>
      <c r="BO4" s="345" t="s">
        <v>935</v>
      </c>
      <c r="BP4" s="345" t="s">
        <v>936</v>
      </c>
      <c r="BQ4" s="365" t="s">
        <v>937</v>
      </c>
      <c r="BR4" s="366" t="s">
        <v>938</v>
      </c>
      <c r="BS4" s="312" t="s">
        <v>939</v>
      </c>
      <c r="BT4" s="151" t="s">
        <v>190</v>
      </c>
    </row>
    <row r="5" spans="1:72">
      <c r="A5" s="157">
        <v>1</v>
      </c>
      <c r="B5" s="158" t="str" cm="1">
        <f t="array" ref="B5">INDEX(Table_Household_Alloc[Owner],MATCH(1,(Table_Household_Alloc[Lot]=A5)*(Table_Household_Alloc[cluster]=$B$1),0))</f>
        <v>Aron Dyer
Jodie Passmore</v>
      </c>
      <c r="C5" s="159" cm="1">
        <f t="array" ref="C5">INDEX(Reading_import[Meter'#],MATCH(1,(Table_Household_Alloc[Lot]=A5)*(Table_Household_Alloc[cluster]=$B$1),0))</f>
        <v>50003397</v>
      </c>
      <c r="D5" s="160" cm="1">
        <f t="array" ref="D5">INDEX(Table_Household_Alloc[UE % over Cluster],MATCH(1,(Table_Household_Alloc[Lot]=A5)*(Table_Household_Alloc[cluster]=$B$1),0))</f>
        <v>0.042</v>
      </c>
      <c r="E5" s="161" t="str" cm="1">
        <f t="array" ref="E5">INDEX(Table_Household_Alloc[Stage of Dev.],MATCH(1,(Table_Household_Alloc[Lot]=A5)*(Table_Household_Alloc[cluster]=$B$1),0))</f>
        <v>O</v>
      </c>
      <c r="F5" s="162" cm="1">
        <f t="array" ref="F5">INDEX(Amanda_energy[Daily_Supply_incl_GST],MATCH(1,(Amanda_energy[Cluster]=$B$1)*(Amanda_energy[Month]=$F$2),0))/MAX($A:$A)</f>
        <v>8.97368421052632</v>
      </c>
      <c r="G5" s="163" cm="1">
        <f t="array" ref="G5">INDEX(Amanda_energy[Daily_Supply_incl_GST],MATCH(1,(Amanda_energy[Cluster]=$B$1)*(Amanda_energy[Month]=$G$2),0))/MAX($A:$A)</f>
        <v>8.10526315789474</v>
      </c>
      <c r="H5" s="163" cm="1">
        <f t="array" ref="H5">INDEX(Amanda_energy[Daily_Supply_incl_GST],MATCH(1,(Amanda_energy[Cluster]=$B$1)*(Amanda_energy[Month]=$H$2),0))/MAX($A:$A)</f>
        <v>8.97368421052632</v>
      </c>
      <c r="I5" s="163">
        <f t="shared" ref="I5:I23" si="1">$J$38/MAX($A:$A)</f>
        <v>3.22684210526316</v>
      </c>
      <c r="J5" s="232">
        <f>'Tariff Rates'!$B$8*$J$3</f>
        <v>13.5616438356164</v>
      </c>
      <c r="K5" s="232">
        <f>'Tariff Rates'!$C$8*Table1[[#This Row],[Percentage of Unit Entitlement (%)]]*'Energy billing Mastersheet_fml'!$K$3</f>
        <v>8.88558904109589</v>
      </c>
      <c r="L5" s="232">
        <f>$L$3*'Tariff Rates'!$D$8*IF(Table1[[#This Row],[Stage of Dev.]]="V",0,1)</f>
        <v>19.8</v>
      </c>
      <c r="M5" s="233">
        <v>1.1</v>
      </c>
      <c r="N5" s="234">
        <f t="shared" ref="N5:N21" si="2">SUM(F5:M5)</f>
        <v>72.6267065609229</v>
      </c>
      <c r="O5" s="235" cm="1">
        <f t="array" ref="O5">INDEX(Reading_import[1/1/2025],MATCH(1,(Reading_import[Lot]=A5)*(Reading_import[cluster]=$B$1),0))</f>
        <v>8252</v>
      </c>
      <c r="P5" s="236" cm="1">
        <f t="array" ref="P5">INDEX(Reading_import[01/04/2025],MATCH(1,(Reading_import[Lot]=A5)*(Reading_import[cluster]=$B$1),0))</f>
        <v>8745</v>
      </c>
      <c r="Q5" s="255">
        <f>Table1[[#This Row],[Last day of reporting period: import]]-Table1[[#This Row],[1st day of reporting period: import]]</f>
        <v>493</v>
      </c>
      <c r="R5" s="256">
        <f t="shared" ref="R5:R20" si="3">Q5/$N$3</f>
        <v>5.47777777777778</v>
      </c>
      <c r="S5" s="257">
        <f t="shared" ref="S5:S23" si="4">Q5/$Q$30</f>
        <v>0.0634785743716522</v>
      </c>
      <c r="T5" s="258">
        <f>IF(Table1[[#This Row],[Stage of Dev.]]="V",0,233*Table1[[#This Row],[Percentage of Unit Entitlement (%)]])</f>
        <v>9.786</v>
      </c>
      <c r="U5" s="259">
        <f t="shared" ref="U5:U20" si="5">IF(T5&gt;R5,R5,T5)</f>
        <v>5.47777777777778</v>
      </c>
      <c r="V5" s="259">
        <f>Table1[[#This Row],[Daily Battery allowance based on UE% (kWh)]]-Table1[[#This Row],[Applicable Battery Allowance Daily Consumption (kWh)]]</f>
        <v>4.30822222222222</v>
      </c>
      <c r="W5" s="260">
        <f>Table1[[#This Row],[Unused Daily Allowance (kWh)]]/$V$30</f>
        <v>0.0289689622530851</v>
      </c>
      <c r="X5" s="259">
        <f>IF(Table1[[#This Row],[Applicable Battery Allowance Daily Consumption (kWh)]]&gt;Table1[[#This Row],[Total Daily Average Consumptio for Billing Period (kWh)]],Table1[[#This Row],[Total Consumption Import  (kWh)]],U5*$N$3)</f>
        <v>493</v>
      </c>
      <c r="Y5" s="275">
        <f>IF(Table1[[#This Row],[Applicable Battery Allowance Daily Consumption (kWh)]]&gt;0,ABS(Q5-X5),0)</f>
        <v>0</v>
      </c>
      <c r="Z5" s="276">
        <f>IFERROR(Table1[[#This Row],[Energy Exceeding Battery Allowance (kWh)]]/$Y$30,0)</f>
        <v>0</v>
      </c>
      <c r="AA5" s="277">
        <f t="shared" ref="AA5:AA23" si="6">IF($Y$30-$E$38&gt;0,$Y$30-$E$38,0)</f>
        <v>72.54</v>
      </c>
      <c r="AB5" s="278">
        <f>IFERROR(Table1[[#This Row],[Total Cluster Energy Balance for P2P Trading (kWh)]]*Table1[[#This Row],[Energy Exceeding Battery Allowance %]],0)</f>
        <v>0</v>
      </c>
      <c r="AC5" s="279">
        <f>Table1[[#This Row],[P2P Import Consumption within Battery Allowance(kWh)]]+Table1[[#This Row],[P2P Import Consumption over Battery Allowance based on Energy Exceeding Allowance % (kWh)]]</f>
        <v>493</v>
      </c>
      <c r="AD5" s="279">
        <f>Table1[[#This Row],[Total Consumption Import  (kWh)]]-Table1[[#This Row],[Total P2P import (kWh)]]</f>
        <v>0</v>
      </c>
      <c r="AE5" s="280">
        <f>IFERROR(Table1[[#This Row],[Total P2P import (kWh)]]/$AC$30,0)</f>
        <v>0.0643782148299723</v>
      </c>
      <c r="AF5" s="281">
        <f t="shared" ref="AF5:AF23" si="7">($Q$24-$AR$24)</f>
        <v>1403</v>
      </c>
      <c r="AG5" s="281">
        <f t="shared" ref="AG5:AG20" si="8">AF5*AE5</f>
        <v>90.3226354064511</v>
      </c>
      <c r="AH5" s="292">
        <f t="shared" ref="AH5:AH23" si="9">SUM($Q$26:$Q$28)</f>
        <v>697</v>
      </c>
      <c r="AI5" s="292">
        <f>Table1[[#This Row],[Cluster''s Total Common Services (kWh)]]*Table1[[#This Row],[Percentage of Unit Entitlement (%)]]</f>
        <v>29.274</v>
      </c>
      <c r="AJ5" s="293">
        <f>AG5*'Tariff Rates'!$B$3</f>
        <v>19.8709797894193</v>
      </c>
      <c r="AK5" s="293">
        <f>Table1[[#This Row],[Common Services based on Split per Unit Entitlement % to battery (kWh)]]*'Tariff Rates'!$B$3</f>
        <v>6.44028</v>
      </c>
      <c r="AL5" s="294">
        <f>Table1[[#This Row],[Total P2P import (kWh)]]*IF(Table1[[#This Row],[Total Lot Export (kWh)]]=0,'Tariff Rates'!$L$3,'Tariff Rates'!$B$3)</f>
        <v>108.46</v>
      </c>
      <c r="AM5" s="295">
        <f>Table1[[#This Row],[P2P Import Consumption over Battery Allowance based on Energy Exceeding Allowance % (kWh)]]*'Tariff Rates'!$J$3</f>
        <v>0</v>
      </c>
      <c r="AN5" s="296">
        <f>Table1[[#This Row],[Energy Import from Grid (kWh)]]*'Tariff Rates'!$E$3</f>
        <v>0</v>
      </c>
      <c r="AO5" s="316">
        <f>SUM(AJ5:AN5)</f>
        <v>134.771259789419</v>
      </c>
      <c r="AP5" s="317" cm="1">
        <f t="array" ref="AP5">INDEX(Reading_export[1/1/2025],MATCH(1,(Reading_export[Lot]=A5)*(Reading_export[cluster]=$B$1),0))</f>
        <v>33585</v>
      </c>
      <c r="AQ5" s="317" cm="1">
        <f t="array" ref="AQ5">INDEX(Reading_export[01/04/2025],MATCH(1,(Reading_export[Lot]=A5)*(Reading_export[cluster]=$B$1),0))</f>
        <v>37477</v>
      </c>
      <c r="AR5" s="318">
        <f>Table1[[#This Row],[Last day of reporting period: export]]-Table1[[#This Row],[1st day of reporting period: export]]</f>
        <v>3892</v>
      </c>
      <c r="AS5" s="319">
        <f t="shared" ref="AS5:AS23" si="10">AR5/$AR$30</f>
        <v>0.0740812647872257</v>
      </c>
      <c r="AT5" s="320">
        <f>Table1[[#This Row],[Percentage of Total export for Billing Period (%)]]*$AC$30</f>
        <v>567.304695176152</v>
      </c>
      <c r="AU5" s="320">
        <f t="shared" ref="AU5:AU23" si="11">IF($Y$30-$E$38&gt;0,$Y$30-$E$38,0)</f>
        <v>72.54</v>
      </c>
      <c r="AV5" s="321">
        <f>IFERROR(Table1[[#This Row],[Total Cluster Energy Balance for P2P Trading (kWh)2]]*Table1[[#This Row],[Unused Daily Allowance %]],0)</f>
        <v>2.10140852183879</v>
      </c>
      <c r="AW5" s="320">
        <f t="shared" ref="AW5:AW20" si="12">AS5*AF5</f>
        <v>103.936014496478</v>
      </c>
      <c r="AX5" s="321">
        <f>Table1[[#This Row],[Cluster''s Total Common Services (kWh)]]*Table1[[#This Row],[Percentage of Total export for Billing Period (%)]]</f>
        <v>51.6346415566963</v>
      </c>
      <c r="AY5" s="321">
        <f>$Q$25*Table1[[#This Row],[Percentage of Total export for Billing Period (%)]]</f>
        <v>223.280932068698</v>
      </c>
      <c r="AZ5"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2945.84371670198</v>
      </c>
      <c r="BA5" s="321">
        <f t="shared" ref="BA5:BA23" si="13">IFERROR(IF($AZ$30-$F$38&gt;0,$AZ$30-$F$38,0),0)</f>
        <v>0</v>
      </c>
      <c r="BB5" s="321">
        <f>Table1[[#This Row],[Energy Losses When Export to Grid (kWh)]]*Table1[[#This Row],[Percentage of Total export for Billing Period (%)]]</f>
        <v>0</v>
      </c>
      <c r="BC5" s="321">
        <f>Table1[[#This Row],[Therotical Energy Export to Grid (kWh)]]-Table1[[#This Row],[Energy Losses When Export to Grid based up % total export (kWh)]]</f>
        <v>2945.84371670198</v>
      </c>
      <c r="BD5" s="334">
        <f>AW5*'Tariff Rates'!$C$3</f>
        <v>-22.8659231892251</v>
      </c>
      <c r="BE5" s="334">
        <f>Table1[[#This Row],[Common Service based upon % total export to battery (kWh)]]*'Tariff Rates'!$C$3</f>
        <v>-11.3596211424732</v>
      </c>
      <c r="BF5" s="334">
        <f>Table1[[#This Row],[EV Charger based upon % total export to battery (kWh)]]*'Tariff Rates'!$C$3</f>
        <v>-49.1218050551136</v>
      </c>
      <c r="BG5" s="346">
        <f>AT5*'Tariff Rates'!$C$3</f>
        <v>-124.807032938754</v>
      </c>
      <c r="BH5" s="346">
        <f>Table1[[#This Row],[Borrowed Allowance Based on Unused Daily Allowance % (kWh)]]*'Tariff Rates'!$K$3</f>
        <v>-0.0420281704367758</v>
      </c>
      <c r="BI5" s="346">
        <f>BC5*'Tariff Rates'!$F$3</f>
        <v>-113.414983093026</v>
      </c>
      <c r="BJ5" s="346">
        <f>SUM(BD5:BI5)</f>
        <v>-321.611393589028</v>
      </c>
      <c r="BK5" s="347">
        <f>$D$43*Table1[[#This Row],[Percentage of Unit Entitlement (%)]]</f>
        <v>0</v>
      </c>
      <c r="BL5" s="348">
        <f>BK5*'Tariff Rates'!$H$3</f>
        <v>0</v>
      </c>
      <c r="BM5" s="348">
        <f>($Q$25)*Table1[[#This Row],[Percentage of Unit Entitlement (%)]]*'Tariff Rates'!$B$3</f>
        <v>27.84936</v>
      </c>
      <c r="BN5" s="348">
        <f>SUM(BM5,BL5)</f>
        <v>27.84936</v>
      </c>
      <c r="BO5" s="348">
        <f>BK5</f>
        <v>0</v>
      </c>
      <c r="BP5" s="367">
        <f>BO5+BN5</f>
        <v>27.84936</v>
      </c>
      <c r="BQ5" s="368">
        <f t="shared" ref="BQ5:BQ21" si="14">AO5+BJ5+N5+BP5</f>
        <v>-86.3640672386862</v>
      </c>
      <c r="BR5" s="369"/>
      <c r="BS5" s="370"/>
      <c r="BT5" s="371">
        <v>1</v>
      </c>
    </row>
    <row r="6" spans="1:72">
      <c r="A6" s="164">
        <v>2</v>
      </c>
      <c r="B6" s="158" t="str" cm="1">
        <f t="array" ref="B6">INDEX(Table_Household_Alloc[Owner],MATCH(1,(Table_Household_Alloc[Lot]=A6)*(Table_Household_Alloc[cluster]=$B$1),0))</f>
        <v>Eli Sutton</v>
      </c>
      <c r="C6" s="159" cm="1">
        <f t="array" ref="C6">INDEX(Reading_import[Meter'#],MATCH(1,(Table_Household_Alloc[Lot]=A6)*(Table_Household_Alloc[cluster]=$B$1),0))</f>
        <v>50003402</v>
      </c>
      <c r="D6" s="160" cm="1">
        <f t="array" ref="D6">INDEX(Table_Household_Alloc[UE % over Cluster],MATCH(1,(Table_Household_Alloc[Lot]=A6)*(Table_Household_Alloc[cluster]=$B$1),0))</f>
        <v>0.043</v>
      </c>
      <c r="E6" s="161" t="str" cm="1">
        <f t="array" ref="E6">INDEX(Table_Household_Alloc[Stage of Dev.],MATCH(1,(Table_Household_Alloc[Lot]=A6)*(Table_Household_Alloc[cluster]=$B$1),0))</f>
        <v>O</v>
      </c>
      <c r="F6" s="162" cm="1">
        <f t="array" ref="F6">INDEX(Amanda_energy[Daily_Supply_incl_GST],MATCH(1,(Amanda_energy[Cluster]=$B$1)*(Amanda_energy[Month]=$F$2),0))/MAX($A:$A)</f>
        <v>8.97368421052632</v>
      </c>
      <c r="G6" s="163" cm="1">
        <f t="array" ref="G6">INDEX(Amanda_energy[Daily_Supply_incl_GST],MATCH(1,(Amanda_energy[Cluster]=$B$1)*(Amanda_energy[Month]=$G$2),0))/MAX($A:$A)</f>
        <v>8.10526315789474</v>
      </c>
      <c r="H6" s="163" cm="1">
        <f t="array" ref="H6">INDEX(Amanda_energy[Daily_Supply_incl_GST],MATCH(1,(Amanda_energy[Cluster]=$B$1)*(Amanda_energy[Month]=$H$2),0))/MAX($A:$A)</f>
        <v>8.97368421052632</v>
      </c>
      <c r="I6" s="163">
        <f t="shared" si="1"/>
        <v>3.22684210526316</v>
      </c>
      <c r="J6" s="232">
        <f>'Tariff Rates'!$B$8*$J$3</f>
        <v>13.5616438356164</v>
      </c>
      <c r="K6" s="232">
        <f>'Tariff Rates'!$C$8*Table1[[#This Row],[Percentage of Unit Entitlement (%)]]*'Energy billing Mastersheet_fml'!$K$3</f>
        <v>9.0971506849315</v>
      </c>
      <c r="L6" s="232">
        <f>$L$3*'Tariff Rates'!$D$8*IF(Table1[[#This Row],[Stage of Dev.]]="V",0,1)</f>
        <v>19.8</v>
      </c>
      <c r="M6" s="233">
        <v>1.1</v>
      </c>
      <c r="N6" s="234">
        <f t="shared" si="2"/>
        <v>72.8382682047585</v>
      </c>
      <c r="O6" s="235" cm="1">
        <f t="array" ref="O6">INDEX(Reading_import[1/1/2025],MATCH(1,(Reading_import[Lot]=A6)*(Reading_import[cluster]=$B$1),0))</f>
        <v>3795</v>
      </c>
      <c r="P6" s="236" cm="1">
        <f t="array" ref="P6">INDEX(Reading_import[01/04/2025],MATCH(1,(Reading_import[Lot]=A6)*(Reading_import[cluster]=$B$1),0))</f>
        <v>4028</v>
      </c>
      <c r="Q6" s="255">
        <f>Table1[[#This Row],[Last day of reporting period: import]]-Table1[[#This Row],[1st day of reporting period: import]]</f>
        <v>233</v>
      </c>
      <c r="R6" s="256">
        <f t="shared" si="3"/>
        <v>2.58888888888889</v>
      </c>
      <c r="S6" s="257">
        <f t="shared" si="4"/>
        <v>0.030001030078286</v>
      </c>
      <c r="T6" s="258">
        <f>IF(Table1[[#This Row],[Stage of Dev.]]="V",0,233*Table1[[#This Row],[Percentage of Unit Entitlement (%)]])</f>
        <v>10.019</v>
      </c>
      <c r="U6" s="259">
        <f t="shared" si="5"/>
        <v>2.58888888888889</v>
      </c>
      <c r="V6" s="259">
        <f>Table1[[#This Row],[Daily Battery allowance based on UE% (kWh)]]-Table1[[#This Row],[Applicable Battery Allowance Daily Consumption (kWh)]]</f>
        <v>7.43011111111111</v>
      </c>
      <c r="W6" s="260">
        <f>Table1[[#This Row],[Unused Daily Allowance (kWh)]]/$V$30</f>
        <v>0.049960888090629</v>
      </c>
      <c r="X6" s="259">
        <f>IF(Table1[[#This Row],[Applicable Battery Allowance Daily Consumption (kWh)]]&gt;Table1[[#This Row],[Total Daily Average Consumptio for Billing Period (kWh)]],Table1[[#This Row],[Total Consumption Import  (kWh)]],U6*$N$3)</f>
        <v>233</v>
      </c>
      <c r="Y6" s="275">
        <f>IF(Table1[[#This Row],[Applicable Battery Allowance Daily Consumption (kWh)]]&gt;0,ABS(Q6-X6),0)</f>
        <v>0</v>
      </c>
      <c r="Z6" s="276">
        <f>IFERROR(Table1[[#This Row],[Energy Exceeding Battery Allowance (kWh)]]/$Y$30,0)</f>
        <v>0</v>
      </c>
      <c r="AA6" s="277">
        <f t="shared" si="6"/>
        <v>72.54</v>
      </c>
      <c r="AB6" s="278">
        <f>IFERROR(Table1[[#This Row],[Total Cluster Energy Balance for P2P Trading (kWh)]]*Table1[[#This Row],[Energy Exceeding Battery Allowance %]],0)</f>
        <v>0</v>
      </c>
      <c r="AC6" s="279">
        <f>Table1[[#This Row],[P2P Import Consumption within Battery Allowance(kWh)]]+Table1[[#This Row],[P2P Import Consumption over Battery Allowance based on Energy Exceeding Allowance % (kWh)]]</f>
        <v>233</v>
      </c>
      <c r="AD6" s="279">
        <f>Table1[[#This Row],[Total Consumption Import  (kWh)]]-Table1[[#This Row],[Total P2P import (kWh)]]</f>
        <v>0</v>
      </c>
      <c r="AE6" s="280">
        <f>IFERROR(Table1[[#This Row],[Total P2P import (kWh)]]/$AC$30,0)</f>
        <v>0.0304262151224818</v>
      </c>
      <c r="AF6" s="281">
        <f t="shared" si="7"/>
        <v>1403</v>
      </c>
      <c r="AG6" s="281">
        <f t="shared" si="8"/>
        <v>42.687979816842</v>
      </c>
      <c r="AH6" s="292">
        <f t="shared" si="9"/>
        <v>697</v>
      </c>
      <c r="AI6" s="292">
        <f>Table1[[#This Row],[Cluster''s Total Common Services (kWh)]]*Table1[[#This Row],[Percentage of Unit Entitlement (%)]]</f>
        <v>29.971</v>
      </c>
      <c r="AJ6" s="293">
        <f>AG6*'Tariff Rates'!$B$3</f>
        <v>9.39135555970524</v>
      </c>
      <c r="AK6" s="293">
        <f>Table1[[#This Row],[Common Services based on Split per Unit Entitlement % to battery (kWh)]]*'Tariff Rates'!$B$3</f>
        <v>6.59362</v>
      </c>
      <c r="AL6" s="294">
        <f>Table1[[#This Row],[Total P2P import (kWh)]]*IF(Table1[[#This Row],[Total Lot Export (kWh)]]=0,'Tariff Rates'!$L$3,'Tariff Rates'!$B$3)</f>
        <v>51.26</v>
      </c>
      <c r="AM6" s="295">
        <f>Table1[[#This Row],[P2P Import Consumption over Battery Allowance based on Energy Exceeding Allowance % (kWh)]]*'Tariff Rates'!$J$3</f>
        <v>0</v>
      </c>
      <c r="AN6" s="296">
        <f>Table1[[#This Row],[Energy Import from Grid (kWh)]]*'Tariff Rates'!$E$3</f>
        <v>0</v>
      </c>
      <c r="AO6" s="316">
        <f t="shared" ref="AO6:AO20" si="15">SUM(AJ6:AN6)</f>
        <v>67.2449755597052</v>
      </c>
      <c r="AP6" s="317" cm="1">
        <f t="array" ref="AP6">INDEX(Reading_export[1/1/2025],MATCH(1,(Reading_export[Lot]=A6)*(Reading_export[cluster]=$B$1),0))</f>
        <v>15113</v>
      </c>
      <c r="AQ6" s="317" cm="1">
        <f t="array" ref="AQ6">INDEX(Reading_export[01/04/2025],MATCH(1,(Reading_export[Lot]=A6)*(Reading_export[cluster]=$B$1),0))</f>
        <v>17462</v>
      </c>
      <c r="AR6" s="318">
        <f>Table1[[#This Row],[Last day of reporting period: export]]-Table1[[#This Row],[1st day of reporting period: export]]</f>
        <v>2349</v>
      </c>
      <c r="AS6" s="319">
        <f t="shared" si="10"/>
        <v>0.0447114313939345</v>
      </c>
      <c r="AT6" s="320">
        <f>Table1[[#This Row],[Percentage of Total export for Billing Period (%)]]*$AC$30</f>
        <v>342.39432912867</v>
      </c>
      <c r="AU6" s="320">
        <f t="shared" si="11"/>
        <v>72.54</v>
      </c>
      <c r="AV6" s="321">
        <f>IFERROR(Table1[[#This Row],[Total Cluster Energy Balance for P2P Trading (kWh)2]]*Table1[[#This Row],[Unused Daily Allowance %]],0)</f>
        <v>3.62416282209423</v>
      </c>
      <c r="AW6" s="320">
        <f t="shared" si="12"/>
        <v>62.7301382456902</v>
      </c>
      <c r="AX6" s="321">
        <f>Table1[[#This Row],[Cluster''s Total Common Services (kWh)]]*Table1[[#This Row],[Percentage of Total export for Billing Period (%)]]</f>
        <v>31.1638676815724</v>
      </c>
      <c r="AY6" s="321">
        <f>$Q$25*Table1[[#This Row],[Percentage of Total export for Billing Period (%)]]</f>
        <v>134.760254221319</v>
      </c>
      <c r="AZ6"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1777.95141072275</v>
      </c>
      <c r="BA6" s="321">
        <f t="shared" si="13"/>
        <v>0</v>
      </c>
      <c r="BB6" s="321">
        <f>Table1[[#This Row],[Energy Losses When Export to Grid (kWh)]]*Table1[[#This Row],[Percentage of Total export for Billing Period (%)]]</f>
        <v>0</v>
      </c>
      <c r="BC6" s="321">
        <f>Table1[[#This Row],[Therotical Energy Export to Grid (kWh)]]-Table1[[#This Row],[Energy Losses When Export to Grid based up % total export (kWh)]]</f>
        <v>1777.95141072275</v>
      </c>
      <c r="BD6" s="334">
        <f>AW6*'Tariff Rates'!$C$3</f>
        <v>-13.8006304140518</v>
      </c>
      <c r="BE6" s="334">
        <f>Table1[[#This Row],[Common Service based upon % total export to battery (kWh)]]*'Tariff Rates'!$C$3</f>
        <v>-6.85605088994592</v>
      </c>
      <c r="BF6" s="334">
        <f>Table1[[#This Row],[EV Charger based upon % total export to battery (kWh)]]*'Tariff Rates'!$C$3</f>
        <v>-29.6472559286901</v>
      </c>
      <c r="BG6" s="346">
        <f>AT6*'Tariff Rates'!$C$3</f>
        <v>-75.3267524083073</v>
      </c>
      <c r="BH6" s="346">
        <f>Table1[[#This Row],[Borrowed Allowance Based on Unused Daily Allowance % (kWh)]]*'Tariff Rates'!$K$3</f>
        <v>-0.0724832564418846</v>
      </c>
      <c r="BI6" s="346">
        <f>BC6*'Tariff Rates'!$F$3</f>
        <v>-68.4511293128259</v>
      </c>
      <c r="BJ6" s="346">
        <f>SUM(BD6:BI6)</f>
        <v>-194.154302210263</v>
      </c>
      <c r="BK6" s="347">
        <f>$D$43*Table1[[#This Row],[Percentage of Unit Entitlement (%)]]</f>
        <v>0</v>
      </c>
      <c r="BL6" s="348">
        <f>BK6*'Tariff Rates'!$H$3</f>
        <v>0</v>
      </c>
      <c r="BM6" s="348">
        <f>($Q$25)*Table1[[#This Row],[Percentage of Unit Entitlement (%)]]*'Tariff Rates'!$B$3</f>
        <v>28.51244</v>
      </c>
      <c r="BN6" s="348">
        <f t="shared" ref="BN6:BN20" si="16">SUM(BM6,BL6)</f>
        <v>28.51244</v>
      </c>
      <c r="BO6" s="348">
        <f t="shared" ref="BO6:BO20" si="17">BK6</f>
        <v>0</v>
      </c>
      <c r="BP6" s="367">
        <f t="shared" ref="BP6:BP20" si="18">BO6+BN6</f>
        <v>28.51244</v>
      </c>
      <c r="BQ6" s="368">
        <f t="shared" si="14"/>
        <v>-25.5586184457992</v>
      </c>
      <c r="BR6" s="372"/>
      <c r="BS6" s="373"/>
      <c r="BT6" s="374">
        <v>2</v>
      </c>
    </row>
    <row r="7" spans="1:72">
      <c r="A7" s="157">
        <v>3</v>
      </c>
      <c r="B7" s="158" t="str" cm="1">
        <f t="array" ref="B7">INDEX(Table_Household_Alloc[Owner],MATCH(1,(Table_Household_Alloc[Lot]=A7)*(Table_Household_Alloc[cluster]=$B$1),0))</f>
        <v>Shelley Chapman
Cherry Chapman</v>
      </c>
      <c r="C7" s="159" cm="1">
        <f t="array" ref="C7">INDEX(Reading_import[Meter'#],MATCH(1,(Table_Household_Alloc[Lot]=A7)*(Table_Household_Alloc[cluster]=$B$1),0))</f>
        <v>50003431</v>
      </c>
      <c r="D7" s="160" cm="1">
        <f t="array" ref="D7">INDEX(Table_Household_Alloc[UE % over Cluster],MATCH(1,(Table_Household_Alloc[Lot]=A7)*(Table_Household_Alloc[cluster]=$B$1),0))</f>
        <v>0.044</v>
      </c>
      <c r="E7" s="161" t="str" cm="1">
        <f t="array" ref="E7">INDEX(Table_Household_Alloc[Stage of Dev.],MATCH(1,(Table_Household_Alloc[Lot]=A7)*(Table_Household_Alloc[cluster]=$B$1),0))</f>
        <v>O</v>
      </c>
      <c r="F7" s="162" cm="1">
        <f t="array" ref="F7">INDEX(Amanda_energy[Daily_Supply_incl_GST],MATCH(1,(Amanda_energy[Cluster]=$B$1)*(Amanda_energy[Month]=$F$2),0))/MAX($A:$A)</f>
        <v>8.97368421052632</v>
      </c>
      <c r="G7" s="163" cm="1">
        <f t="array" ref="G7">INDEX(Amanda_energy[Daily_Supply_incl_GST],MATCH(1,(Amanda_energy[Cluster]=$B$1)*(Amanda_energy[Month]=$G$2),0))/MAX($A:$A)</f>
        <v>8.10526315789474</v>
      </c>
      <c r="H7" s="163" cm="1">
        <f t="array" ref="H7">INDEX(Amanda_energy[Daily_Supply_incl_GST],MATCH(1,(Amanda_energy[Cluster]=$B$1)*(Amanda_energy[Month]=$H$2),0))/MAX($A:$A)</f>
        <v>8.97368421052632</v>
      </c>
      <c r="I7" s="163">
        <f t="shared" si="1"/>
        <v>3.22684210526316</v>
      </c>
      <c r="J7" s="232">
        <f>'Tariff Rates'!$B$8*$J$3</f>
        <v>13.5616438356164</v>
      </c>
      <c r="K7" s="232">
        <f>'Tariff Rates'!$C$8*Table1[[#This Row],[Percentage of Unit Entitlement (%)]]*'Energy billing Mastersheet_fml'!$K$3</f>
        <v>9.30871232876712</v>
      </c>
      <c r="L7" s="232">
        <f>$L$3*'Tariff Rates'!$D$8*IF(Table1[[#This Row],[Stage of Dev.]]="V",0,1)</f>
        <v>19.8</v>
      </c>
      <c r="M7" s="233">
        <v>1.1</v>
      </c>
      <c r="N7" s="234">
        <f t="shared" si="2"/>
        <v>73.0498298485941</v>
      </c>
      <c r="O7" s="235" cm="1">
        <f t="array" ref="O7">INDEX(Reading_import[1/1/2025],MATCH(1,(Reading_import[Lot]=A7)*(Reading_import[cluster]=$B$1),0))</f>
        <v>3227</v>
      </c>
      <c r="P7" s="236" cm="1">
        <f t="array" ref="P7">INDEX(Reading_import[01/04/2025],MATCH(1,(Reading_import[Lot]=A7)*(Reading_import[cluster]=$B$1),0))</f>
        <v>3513</v>
      </c>
      <c r="Q7" s="255">
        <f>Table1[[#This Row],[Last day of reporting period: import]]-Table1[[#This Row],[1st day of reporting period: import]]</f>
        <v>286</v>
      </c>
      <c r="R7" s="256">
        <f t="shared" si="3"/>
        <v>3.17777777777778</v>
      </c>
      <c r="S7" s="257">
        <f t="shared" si="4"/>
        <v>0.0368252987227029</v>
      </c>
      <c r="T7" s="258">
        <f>IF(Table1[[#This Row],[Stage of Dev.]]="V",0,233*Table1[[#This Row],[Percentage of Unit Entitlement (%)]])</f>
        <v>10.252</v>
      </c>
      <c r="U7" s="259">
        <f t="shared" si="5"/>
        <v>3.17777777777778</v>
      </c>
      <c r="V7" s="259">
        <f>Table1[[#This Row],[Daily Battery allowance based on UE% (kWh)]]-Table1[[#This Row],[Applicable Battery Allowance Daily Consumption (kWh)]]</f>
        <v>7.07422222222222</v>
      </c>
      <c r="W7" s="260">
        <f>Table1[[#This Row],[Unused Daily Allowance (kWh)]]/$V$30</f>
        <v>0.0475678518783056</v>
      </c>
      <c r="X7" s="259">
        <f>IF(Table1[[#This Row],[Applicable Battery Allowance Daily Consumption (kWh)]]&gt;Table1[[#This Row],[Total Daily Average Consumptio for Billing Period (kWh)]],Table1[[#This Row],[Total Consumption Import  (kWh)]],U7*$N$3)</f>
        <v>286</v>
      </c>
      <c r="Y7" s="275">
        <f>IF(Table1[[#This Row],[Applicable Battery Allowance Daily Consumption (kWh)]]&gt;0,ABS(Q7-X7),0)</f>
        <v>0</v>
      </c>
      <c r="Z7" s="276">
        <f>IFERROR(Table1[[#This Row],[Energy Exceeding Battery Allowance (kWh)]]/$Y$30,0)</f>
        <v>0</v>
      </c>
      <c r="AA7" s="277">
        <f t="shared" si="6"/>
        <v>72.54</v>
      </c>
      <c r="AB7" s="278">
        <f>IFERROR(Table1[[#This Row],[Total Cluster Energy Balance for P2P Trading (kWh)]]*Table1[[#This Row],[Energy Exceeding Battery Allowance %]],0)</f>
        <v>0</v>
      </c>
      <c r="AC7" s="279">
        <f>Table1[[#This Row],[P2P Import Consumption within Battery Allowance(kWh)]]+Table1[[#This Row],[P2P Import Consumption over Battery Allowance based on Energy Exceeding Allowance % (kWh)]]</f>
        <v>286</v>
      </c>
      <c r="AD7" s="279">
        <f>Table1[[#This Row],[Total Consumption Import  (kWh)]]-Table1[[#This Row],[Total P2P import (kWh)]]</f>
        <v>0</v>
      </c>
      <c r="AE7" s="280">
        <f>IFERROR(Table1[[#This Row],[Total P2P import (kWh)]]/$AC$30,0)</f>
        <v>0.0373471996782395</v>
      </c>
      <c r="AF7" s="281">
        <f t="shared" si="7"/>
        <v>1403</v>
      </c>
      <c r="AG7" s="281">
        <f t="shared" si="8"/>
        <v>52.39812114857</v>
      </c>
      <c r="AH7" s="292">
        <f t="shared" si="9"/>
        <v>697</v>
      </c>
      <c r="AI7" s="292">
        <f>Table1[[#This Row],[Cluster''s Total Common Services (kWh)]]*Table1[[#This Row],[Percentage of Unit Entitlement (%)]]</f>
        <v>30.668</v>
      </c>
      <c r="AJ7" s="293">
        <f>AG7*'Tariff Rates'!$B$3</f>
        <v>11.5275866526854</v>
      </c>
      <c r="AK7" s="293">
        <f>Table1[[#This Row],[Common Services based on Split per Unit Entitlement % to battery (kWh)]]*'Tariff Rates'!$B$3</f>
        <v>6.74696</v>
      </c>
      <c r="AL7" s="294">
        <f>Table1[[#This Row],[Total P2P import (kWh)]]*IF(Table1[[#This Row],[Total Lot Export (kWh)]]=0,'Tariff Rates'!$L$3,'Tariff Rates'!$B$3)</f>
        <v>62.92</v>
      </c>
      <c r="AM7" s="295">
        <f>Table1[[#This Row],[P2P Import Consumption over Battery Allowance based on Energy Exceeding Allowance % (kWh)]]*'Tariff Rates'!$J$3</f>
        <v>0</v>
      </c>
      <c r="AN7" s="296">
        <f>Table1[[#This Row],[Energy Import from Grid (kWh)]]*'Tariff Rates'!$E$3</f>
        <v>0</v>
      </c>
      <c r="AO7" s="316">
        <f t="shared" si="15"/>
        <v>81.1945466526854</v>
      </c>
      <c r="AP7" s="317" cm="1">
        <f t="array" ref="AP7">INDEX(Reading_export[1/1/2025],MATCH(1,(Reading_export[Lot]=A7)*(Reading_export[cluster]=$B$1),0))</f>
        <v>18755</v>
      </c>
      <c r="AQ7" s="317" cm="1">
        <f t="array" ref="AQ7">INDEX(Reading_export[01/04/2025],MATCH(1,(Reading_export[Lot]=A7)*(Reading_export[cluster]=$B$1),0))</f>
        <v>22749</v>
      </c>
      <c r="AR7" s="318">
        <f>Table1[[#This Row],[Last day of reporting period: export]]-Table1[[#This Row],[1st day of reporting period: export]]</f>
        <v>3994</v>
      </c>
      <c r="AS7" s="319">
        <f t="shared" si="10"/>
        <v>0.0760227573381756</v>
      </c>
      <c r="AT7" s="320">
        <f>Table1[[#This Row],[Percentage of Total export for Billing Period (%)]]*$AC$30</f>
        <v>582.172392737295</v>
      </c>
      <c r="AU7" s="320">
        <f t="shared" si="11"/>
        <v>72.54</v>
      </c>
      <c r="AV7" s="321">
        <f>IFERROR(Table1[[#This Row],[Total Cluster Energy Balance for P2P Trading (kWh)2]]*Table1[[#This Row],[Unused Daily Allowance %]],0)</f>
        <v>3.45057197525228</v>
      </c>
      <c r="AW7" s="320">
        <f t="shared" si="12"/>
        <v>106.65992854546</v>
      </c>
      <c r="AX7" s="321">
        <f>Table1[[#This Row],[Cluster''s Total Common Services (kWh)]]*Table1[[#This Row],[Percentage of Total export for Billing Period (%)]]</f>
        <v>52.9878618647084</v>
      </c>
      <c r="AY7" s="321">
        <f>$Q$25*Table1[[#This Row],[Percentage of Total export for Billing Period (%)]]</f>
        <v>229.132590617261</v>
      </c>
      <c r="AZ7"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3023.04722623527</v>
      </c>
      <c r="BA7" s="321">
        <f t="shared" si="13"/>
        <v>0</v>
      </c>
      <c r="BB7" s="321">
        <f>Table1[[#This Row],[Energy Losses When Export to Grid (kWh)]]*Table1[[#This Row],[Percentage of Total export for Billing Period (%)]]</f>
        <v>0</v>
      </c>
      <c r="BC7" s="321">
        <f>Table1[[#This Row],[Therotical Energy Export to Grid (kWh)]]-Table1[[#This Row],[Energy Losses When Export to Grid based up % total export (kWh)]]</f>
        <v>3023.04722623527</v>
      </c>
      <c r="BD7" s="334">
        <f>AW7*'Tariff Rates'!$C$3</f>
        <v>-23.4651842800013</v>
      </c>
      <c r="BE7" s="334">
        <f>Table1[[#This Row],[Common Service based upon % total export to battery (kWh)]]*'Tariff Rates'!$C$3</f>
        <v>-11.6573296102359</v>
      </c>
      <c r="BF7" s="334">
        <f>Table1[[#This Row],[EV Charger based upon % total export to battery (kWh)]]*'Tariff Rates'!$C$3</f>
        <v>-50.4091699357975</v>
      </c>
      <c r="BG7" s="346">
        <f>AT7*'Tariff Rates'!$C$3</f>
        <v>-128.077926402205</v>
      </c>
      <c r="BH7" s="346">
        <f>Table1[[#This Row],[Borrowed Allowance Based on Unused Daily Allowance % (kWh)]]*'Tariff Rates'!$K$3</f>
        <v>-0.0690114395050457</v>
      </c>
      <c r="BI7" s="346">
        <f>BC7*'Tariff Rates'!$F$3</f>
        <v>-116.387318210058</v>
      </c>
      <c r="BJ7" s="346">
        <f t="shared" ref="BJ7:BJ23" si="19">SUM(BD7:BI7)</f>
        <v>-330.065939877803</v>
      </c>
      <c r="BK7" s="347">
        <f>$D$43*Table1[[#This Row],[Percentage of Unit Entitlement (%)]]</f>
        <v>0</v>
      </c>
      <c r="BL7" s="348">
        <f>BK7*'Tariff Rates'!$H$3</f>
        <v>0</v>
      </c>
      <c r="BM7" s="348">
        <f>($Q$25)*Table1[[#This Row],[Percentage of Unit Entitlement (%)]]*'Tariff Rates'!$B$3</f>
        <v>29.17552</v>
      </c>
      <c r="BN7" s="348">
        <f t="shared" si="16"/>
        <v>29.17552</v>
      </c>
      <c r="BO7" s="348">
        <f t="shared" si="17"/>
        <v>0</v>
      </c>
      <c r="BP7" s="367">
        <f t="shared" si="18"/>
        <v>29.17552</v>
      </c>
      <c r="BQ7" s="368">
        <f t="shared" si="14"/>
        <v>-146.646043376523</v>
      </c>
      <c r="BR7" s="375"/>
      <c r="BS7" s="376"/>
      <c r="BT7" s="371">
        <v>3</v>
      </c>
    </row>
    <row r="8" spans="1:72">
      <c r="A8" s="164">
        <v>4</v>
      </c>
      <c r="B8" s="158" t="str" cm="1">
        <f t="array" ref="B8">INDEX(Table_Household_Alloc[Owner],MATCH(1,(Table_Household_Alloc[Lot]=A8)*(Table_Household_Alloc[cluster]=$B$1),0))</f>
        <v>Jillian Ann Luckhurst</v>
      </c>
      <c r="C8" s="159" cm="1">
        <f t="array" ref="C8">INDEX(Reading_import[Meter'#],MATCH(1,(Table_Household_Alloc[Lot]=A8)*(Table_Household_Alloc[cluster]=$B$1),0))</f>
        <v>50003394</v>
      </c>
      <c r="D8" s="160" cm="1">
        <f t="array" ref="D8">INDEX(Table_Household_Alloc[UE % over Cluster],MATCH(1,(Table_Household_Alloc[Lot]=A8)*(Table_Household_Alloc[cluster]=$B$1),0))</f>
        <v>0.045</v>
      </c>
      <c r="E8" s="161" t="str" cm="1">
        <f t="array" ref="E8">INDEX(Table_Household_Alloc[Stage of Dev.],MATCH(1,(Table_Household_Alloc[Lot]=A8)*(Table_Household_Alloc[cluster]=$B$1),0))</f>
        <v>O</v>
      </c>
      <c r="F8" s="162" cm="1">
        <f t="array" ref="F8">INDEX(Amanda_energy[Daily_Supply_incl_GST],MATCH(1,(Amanda_energy[Cluster]=$B$1)*(Amanda_energy[Month]=$F$2),0))/MAX($A:$A)</f>
        <v>8.97368421052632</v>
      </c>
      <c r="G8" s="163" cm="1">
        <f t="array" ref="G8">INDEX(Amanda_energy[Daily_Supply_incl_GST],MATCH(1,(Amanda_energy[Cluster]=$B$1)*(Amanda_energy[Month]=$G$2),0))/MAX($A:$A)</f>
        <v>8.10526315789474</v>
      </c>
      <c r="H8" s="163" cm="1">
        <f t="array" ref="H8">INDEX(Amanda_energy[Daily_Supply_incl_GST],MATCH(1,(Amanda_energy[Cluster]=$B$1)*(Amanda_energy[Month]=$H$2),0))/MAX($A:$A)</f>
        <v>8.97368421052632</v>
      </c>
      <c r="I8" s="163">
        <f t="shared" si="1"/>
        <v>3.22684210526316</v>
      </c>
      <c r="J8" s="232">
        <f>'Tariff Rates'!$B$8*$J$3</f>
        <v>13.5616438356164</v>
      </c>
      <c r="K8" s="232">
        <f>'Tariff Rates'!$C$8*Table1[[#This Row],[Percentage of Unit Entitlement (%)]]*'Energy billing Mastersheet_fml'!$K$3</f>
        <v>9.52027397260274</v>
      </c>
      <c r="L8" s="232">
        <f>$L$3*'Tariff Rates'!$D$8*IF(Table1[[#This Row],[Stage of Dev.]]="V",0,1)</f>
        <v>19.8</v>
      </c>
      <c r="M8" s="233">
        <v>1.1</v>
      </c>
      <c r="N8" s="234">
        <f t="shared" si="2"/>
        <v>73.2613914924297</v>
      </c>
      <c r="O8" s="235" cm="1">
        <f t="array" ref="O8">INDEX(Reading_import[1/1/2025],MATCH(1,(Reading_import[Lot]=A8)*(Reading_import[cluster]=$B$1),0))</f>
        <v>2811</v>
      </c>
      <c r="P8" s="236" cm="1">
        <f t="array" ref="P8">INDEX(Reading_import[01/04/2025],MATCH(1,(Reading_import[Lot]=A8)*(Reading_import[cluster]=$B$1),0))</f>
        <v>3033</v>
      </c>
      <c r="Q8" s="255">
        <f>Table1[[#This Row],[Last day of reporting period: import]]-Table1[[#This Row],[1st day of reporting period: import]]</f>
        <v>222</v>
      </c>
      <c r="R8" s="256">
        <f t="shared" si="3"/>
        <v>2.46666666666667</v>
      </c>
      <c r="S8" s="257">
        <f t="shared" si="4"/>
        <v>0.0285846724351051</v>
      </c>
      <c r="T8" s="258">
        <f>IF(Table1[[#This Row],[Stage of Dev.]]="V",0,233*Table1[[#This Row],[Percentage of Unit Entitlement (%)]])</f>
        <v>10.485</v>
      </c>
      <c r="U8" s="259">
        <f t="shared" si="5"/>
        <v>2.46666666666667</v>
      </c>
      <c r="V8" s="259">
        <f>Table1[[#This Row],[Daily Battery allowance based on UE% (kWh)]]-Table1[[#This Row],[Applicable Battery Allowance Daily Consumption (kWh)]]</f>
        <v>8.01833333333333</v>
      </c>
      <c r="W8" s="260">
        <f>Table1[[#This Row],[Unused Daily Allowance (kWh)]]/$V$30</f>
        <v>0.0539161593076258</v>
      </c>
      <c r="X8" s="259">
        <f>IF(Table1[[#This Row],[Applicable Battery Allowance Daily Consumption (kWh)]]&gt;Table1[[#This Row],[Total Daily Average Consumptio for Billing Period (kWh)]],Table1[[#This Row],[Total Consumption Import  (kWh)]],U8*$N$3)</f>
        <v>222</v>
      </c>
      <c r="Y8" s="275">
        <f>IF(Table1[[#This Row],[Applicable Battery Allowance Daily Consumption (kWh)]]&gt;0,ABS(Q8-X8),0)</f>
        <v>0</v>
      </c>
      <c r="Z8" s="276">
        <f>IFERROR(Table1[[#This Row],[Energy Exceeding Battery Allowance (kWh)]]/$Y$30,0)</f>
        <v>0</v>
      </c>
      <c r="AA8" s="277">
        <f t="shared" si="6"/>
        <v>72.54</v>
      </c>
      <c r="AB8" s="278">
        <f>IFERROR(Table1[[#This Row],[Total Cluster Energy Balance for P2P Trading (kWh)]]*Table1[[#This Row],[Energy Exceeding Battery Allowance %]],0)</f>
        <v>0</v>
      </c>
      <c r="AC8" s="279">
        <f>Table1[[#This Row],[P2P Import Consumption within Battery Allowance(kWh)]]+Table1[[#This Row],[P2P Import Consumption over Battery Allowance based on Energy Exceeding Allowance % (kWh)]]</f>
        <v>222</v>
      </c>
      <c r="AD8" s="279">
        <f>Table1[[#This Row],[Total Consumption Import  (kWh)]]-Table1[[#This Row],[Total P2P import (kWh)]]</f>
        <v>0</v>
      </c>
      <c r="AE8" s="280">
        <f>IFERROR(Table1[[#This Row],[Total P2P import (kWh)]]/$AC$30,0)</f>
        <v>0.0289897843656265</v>
      </c>
      <c r="AF8" s="281">
        <f t="shared" si="7"/>
        <v>1403</v>
      </c>
      <c r="AG8" s="281">
        <f t="shared" si="8"/>
        <v>40.6726674649739</v>
      </c>
      <c r="AH8" s="292">
        <f t="shared" si="9"/>
        <v>697</v>
      </c>
      <c r="AI8" s="292">
        <f>Table1[[#This Row],[Cluster''s Total Common Services (kWh)]]*Table1[[#This Row],[Percentage of Unit Entitlement (%)]]</f>
        <v>31.365</v>
      </c>
      <c r="AJ8" s="293">
        <f>AG8*'Tariff Rates'!$B$3</f>
        <v>8.94798684229427</v>
      </c>
      <c r="AK8" s="293">
        <f>Table1[[#This Row],[Common Services based on Split per Unit Entitlement % to battery (kWh)]]*'Tariff Rates'!$B$3</f>
        <v>6.9003</v>
      </c>
      <c r="AL8" s="294">
        <f>Table1[[#This Row],[Total P2P import (kWh)]]*IF(Table1[[#This Row],[Total Lot Export (kWh)]]=0,'Tariff Rates'!$L$3,'Tariff Rates'!$B$3)</f>
        <v>48.84</v>
      </c>
      <c r="AM8" s="295">
        <f>Table1[[#This Row],[P2P Import Consumption over Battery Allowance based on Energy Exceeding Allowance % (kWh)]]*'Tariff Rates'!$J$3</f>
        <v>0</v>
      </c>
      <c r="AN8" s="296">
        <f>Table1[[#This Row],[Energy Import from Grid (kWh)]]*'Tariff Rates'!$E$3</f>
        <v>0</v>
      </c>
      <c r="AO8" s="316">
        <f t="shared" si="15"/>
        <v>64.6882868422943</v>
      </c>
      <c r="AP8" s="317" cm="1">
        <f t="array" ref="AP8">INDEX(Reading_export[1/1/2025],MATCH(1,(Reading_export[Lot]=A8)*(Reading_export[cluster]=$B$1),0))</f>
        <v>11256</v>
      </c>
      <c r="AQ8" s="317" cm="1">
        <f t="array" ref="AQ8">INDEX(Reading_export[01/04/2025],MATCH(1,(Reading_export[Lot]=A8)*(Reading_export[cluster]=$B$1),0))</f>
        <v>13492</v>
      </c>
      <c r="AR8" s="318">
        <f>Table1[[#This Row],[Last day of reporting period: export]]-Table1[[#This Row],[1st day of reporting period: export]]</f>
        <v>2236</v>
      </c>
      <c r="AS8" s="319">
        <f t="shared" si="10"/>
        <v>0.0425605621953332</v>
      </c>
      <c r="AT8" s="320">
        <f>Table1[[#This Row],[Percentage of Total export for Billing Period (%)]]*$AC$30</f>
        <v>325.923252418776</v>
      </c>
      <c r="AU8" s="320">
        <f t="shared" si="11"/>
        <v>72.54</v>
      </c>
      <c r="AV8" s="321">
        <f>IFERROR(Table1[[#This Row],[Total Cluster Energy Balance for P2P Trading (kWh)2]]*Table1[[#This Row],[Unused Daily Allowance %]],0)</f>
        <v>3.91107819617517</v>
      </c>
      <c r="AW8" s="320">
        <f t="shared" si="12"/>
        <v>59.7124687600525</v>
      </c>
      <c r="AX8" s="321">
        <f>Table1[[#This Row],[Cluster''s Total Common Services (kWh)]]*Table1[[#This Row],[Percentage of Total export for Billing Period (%)]]</f>
        <v>29.6647118501472</v>
      </c>
      <c r="AY8" s="321">
        <f>$Q$25*Table1[[#This Row],[Percentage of Total export for Billing Period (%)]]</f>
        <v>128.277534456734</v>
      </c>
      <c r="AZ8"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1692.42203251429</v>
      </c>
      <c r="BA8" s="321">
        <f t="shared" si="13"/>
        <v>0</v>
      </c>
      <c r="BB8" s="321">
        <f>Table1[[#This Row],[Energy Losses When Export to Grid (kWh)]]*Table1[[#This Row],[Percentage of Total export for Billing Period (%)]]</f>
        <v>0</v>
      </c>
      <c r="BC8" s="321">
        <f>Table1[[#This Row],[Therotical Energy Export to Grid (kWh)]]-Table1[[#This Row],[Energy Losses When Export to Grid based up % total export (kWh)]]</f>
        <v>1692.42203251429</v>
      </c>
      <c r="BD8" s="334">
        <f>AW8*'Tariff Rates'!$C$3</f>
        <v>-13.1367431272115</v>
      </c>
      <c r="BE8" s="334">
        <f>Table1[[#This Row],[Common Service based upon % total export to battery (kWh)]]*'Tariff Rates'!$C$3</f>
        <v>-6.52623660703239</v>
      </c>
      <c r="BF8" s="334">
        <f>Table1[[#This Row],[EV Charger based upon % total export to battery (kWh)]]*'Tariff Rates'!$C$3</f>
        <v>-28.2210575804815</v>
      </c>
      <c r="BG8" s="346">
        <f>AT8*'Tariff Rates'!$C$3</f>
        <v>-71.7031155321308</v>
      </c>
      <c r="BH8" s="346">
        <f>Table1[[#This Row],[Borrowed Allowance Based on Unused Daily Allowance % (kWh)]]*'Tariff Rates'!$K$3</f>
        <v>-0.0782215639235035</v>
      </c>
      <c r="BI8" s="346">
        <f>BC8*'Tariff Rates'!$F$3</f>
        <v>-65.1582482518002</v>
      </c>
      <c r="BJ8" s="346">
        <f t="shared" si="19"/>
        <v>-184.82362266258</v>
      </c>
      <c r="BK8" s="347">
        <f>$D$43*Table1[[#This Row],[Percentage of Unit Entitlement (%)]]</f>
        <v>0</v>
      </c>
      <c r="BL8" s="348">
        <f>BK8*'Tariff Rates'!$H$3</f>
        <v>0</v>
      </c>
      <c r="BM8" s="348">
        <f>($Q$25)*Table1[[#This Row],[Percentage of Unit Entitlement (%)]]*'Tariff Rates'!$B$3</f>
        <v>29.8386</v>
      </c>
      <c r="BN8" s="348">
        <f t="shared" si="16"/>
        <v>29.8386</v>
      </c>
      <c r="BO8" s="348">
        <f t="shared" si="17"/>
        <v>0</v>
      </c>
      <c r="BP8" s="367">
        <f t="shared" si="18"/>
        <v>29.8386</v>
      </c>
      <c r="BQ8" s="368">
        <f t="shared" si="14"/>
        <v>-17.0353443278559</v>
      </c>
      <c r="BR8" s="372"/>
      <c r="BS8" s="373"/>
      <c r="BT8" s="374">
        <v>4</v>
      </c>
    </row>
    <row r="9" spans="1:72">
      <c r="A9" s="157">
        <v>5</v>
      </c>
      <c r="B9" s="158" t="str" cm="1">
        <f t="array" ref="B9">INDEX(Table_Household_Alloc[Owner],MATCH(1,(Table_Household_Alloc[Lot]=A9)*(Table_Household_Alloc[cluster]=$B$1),0))</f>
        <v>Samuel Vinciullo</v>
      </c>
      <c r="C9" s="159" cm="1">
        <f t="array" ref="C9">INDEX(Reading_import[Meter'#],MATCH(1,(Table_Household_Alloc[Lot]=A9)*(Table_Household_Alloc[cluster]=$B$1),0))</f>
        <v>50003433</v>
      </c>
      <c r="D9" s="160" cm="1">
        <f t="array" ref="D9">INDEX(Table_Household_Alloc[UE % over Cluster],MATCH(1,(Table_Household_Alloc[Lot]=A9)*(Table_Household_Alloc[cluster]=$B$1),0))</f>
        <v>0.046</v>
      </c>
      <c r="E9" s="161" t="str" cm="1">
        <f t="array" ref="E9">INDEX(Table_Household_Alloc[Stage of Dev.],MATCH(1,(Table_Household_Alloc[Lot]=A9)*(Table_Household_Alloc[cluster]=$B$1),0))</f>
        <v>O</v>
      </c>
      <c r="F9" s="162" cm="1">
        <f t="array" ref="F9">INDEX(Amanda_energy[Daily_Supply_incl_GST],MATCH(1,(Amanda_energy[Cluster]=$B$1)*(Amanda_energy[Month]=$F$2),0))/MAX($A:$A)</f>
        <v>8.97368421052632</v>
      </c>
      <c r="G9" s="163" cm="1">
        <f t="array" ref="G9">INDEX(Amanda_energy[Daily_Supply_incl_GST],MATCH(1,(Amanda_energy[Cluster]=$B$1)*(Amanda_energy[Month]=$G$2),0))/MAX($A:$A)</f>
        <v>8.10526315789474</v>
      </c>
      <c r="H9" s="163" cm="1">
        <f t="array" ref="H9">INDEX(Amanda_energy[Daily_Supply_incl_GST],MATCH(1,(Amanda_energy[Cluster]=$B$1)*(Amanda_energy[Month]=$H$2),0))/MAX($A:$A)</f>
        <v>8.97368421052632</v>
      </c>
      <c r="I9" s="163">
        <f t="shared" si="1"/>
        <v>3.22684210526316</v>
      </c>
      <c r="J9" s="232">
        <f>'Tariff Rates'!$B$8*$J$3</f>
        <v>13.5616438356164</v>
      </c>
      <c r="K9" s="232">
        <f>'Tariff Rates'!$C$8*Table1[[#This Row],[Percentage of Unit Entitlement (%)]]*'Energy billing Mastersheet_fml'!$K$3</f>
        <v>9.73183561643836</v>
      </c>
      <c r="L9" s="232">
        <f>$L$3*'Tariff Rates'!$D$8*IF(Table1[[#This Row],[Stage of Dev.]]="V",0,1)</f>
        <v>19.8</v>
      </c>
      <c r="M9" s="233">
        <v>1.1</v>
      </c>
      <c r="N9" s="234">
        <f t="shared" si="2"/>
        <v>73.4729531362653</v>
      </c>
      <c r="O9" s="235" cm="1">
        <f t="array" ref="O9">INDEX(Reading_import[1/1/2025],MATCH(1,(Reading_import[Lot]=A9)*(Reading_import[cluster]=$B$1),0))</f>
        <v>6084</v>
      </c>
      <c r="P9" s="236" cm="1">
        <f t="array" ref="P9">INDEX(Reading_import[01/04/2025],MATCH(1,(Reading_import[Lot]=A9)*(Reading_import[cluster]=$B$1),0))</f>
        <v>6998</v>
      </c>
      <c r="Q9" s="255">
        <f>Table1[[#This Row],[Last day of reporting period: import]]-Table1[[#This Row],[1st day of reporting period: import]]</f>
        <v>914</v>
      </c>
      <c r="R9" s="256">
        <f t="shared" si="3"/>
        <v>10.1555555555556</v>
      </c>
      <c r="S9" s="257">
        <f t="shared" si="4"/>
        <v>0.117686444169757</v>
      </c>
      <c r="T9" s="258">
        <f>IF(Table1[[#This Row],[Stage of Dev.]]="V",0,233*Table1[[#This Row],[Percentage of Unit Entitlement (%)]])</f>
        <v>10.718</v>
      </c>
      <c r="U9" s="259">
        <f t="shared" si="5"/>
        <v>10.1555555555556</v>
      </c>
      <c r="V9" s="259">
        <f>Table1[[#This Row],[Daily Battery allowance based on UE% (kWh)]]-Table1[[#This Row],[Applicable Battery Allowance Daily Consumption (kWh)]]</f>
        <v>0.562444444444445</v>
      </c>
      <c r="W9" s="260">
        <f>Table1[[#This Row],[Unused Daily Allowance (kWh)]]/$V$30</f>
        <v>0.00378193859094024</v>
      </c>
      <c r="X9" s="259">
        <f>IF(Table1[[#This Row],[Applicable Battery Allowance Daily Consumption (kWh)]]&gt;Table1[[#This Row],[Total Daily Average Consumptio for Billing Period (kWh)]],Table1[[#This Row],[Total Consumption Import  (kWh)]],U9*$N$3)</f>
        <v>914</v>
      </c>
      <c r="Y9" s="275">
        <f>IF(Table1[[#This Row],[Applicable Battery Allowance Daily Consumption (kWh)]]&gt;0,ABS(Q9-X9),0)</f>
        <v>0</v>
      </c>
      <c r="Z9" s="276">
        <f>IFERROR(Table1[[#This Row],[Energy Exceeding Battery Allowance (kWh)]]/$Y$30,0)</f>
        <v>0</v>
      </c>
      <c r="AA9" s="277">
        <f t="shared" si="6"/>
        <v>72.54</v>
      </c>
      <c r="AB9" s="278">
        <f>IFERROR(Table1[[#This Row],[Total Cluster Energy Balance for P2P Trading (kWh)]]*Table1[[#This Row],[Energy Exceeding Battery Allowance %]],0)</f>
        <v>0</v>
      </c>
      <c r="AC9" s="279">
        <f>Table1[[#This Row],[P2P Import Consumption within Battery Allowance(kWh)]]+Table1[[#This Row],[P2P Import Consumption over Battery Allowance based on Energy Exceeding Allowance % (kWh)]]</f>
        <v>914</v>
      </c>
      <c r="AD9" s="279">
        <f>Table1[[#This Row],[Total Consumption Import  (kWh)]]-Table1[[#This Row],[Total P2P import (kWh)]]</f>
        <v>0</v>
      </c>
      <c r="AE9" s="280">
        <f>IFERROR(Table1[[#This Row],[Total P2P import (kWh)]]/$AC$30,0)</f>
        <v>0.119354337433255</v>
      </c>
      <c r="AF9" s="281">
        <f t="shared" si="7"/>
        <v>1403</v>
      </c>
      <c r="AG9" s="281">
        <f t="shared" si="8"/>
        <v>167.454135418857</v>
      </c>
      <c r="AH9" s="292">
        <f t="shared" si="9"/>
        <v>697</v>
      </c>
      <c r="AI9" s="292">
        <f>Table1[[#This Row],[Cluster''s Total Common Services (kWh)]]*Table1[[#This Row],[Percentage of Unit Entitlement (%)]]</f>
        <v>32.062</v>
      </c>
      <c r="AJ9" s="293">
        <f>AG9*'Tariff Rates'!$B$3</f>
        <v>36.8399097921485</v>
      </c>
      <c r="AK9" s="293">
        <f>Table1[[#This Row],[Common Services based on Split per Unit Entitlement % to battery (kWh)]]*'Tariff Rates'!$B$3</f>
        <v>7.05364</v>
      </c>
      <c r="AL9" s="294">
        <f>Table1[[#This Row],[Total P2P import (kWh)]]*IF(Table1[[#This Row],[Total Lot Export (kWh)]]=0,'Tariff Rates'!$L$3,'Tariff Rates'!$B$3)</f>
        <v>201.08</v>
      </c>
      <c r="AM9" s="295">
        <f>Table1[[#This Row],[P2P Import Consumption over Battery Allowance based on Energy Exceeding Allowance % (kWh)]]*'Tariff Rates'!$J$3</f>
        <v>0</v>
      </c>
      <c r="AN9" s="296">
        <f>Table1[[#This Row],[Energy Import from Grid (kWh)]]*'Tariff Rates'!$E$3</f>
        <v>0</v>
      </c>
      <c r="AO9" s="316">
        <f t="shared" si="15"/>
        <v>244.973549792148</v>
      </c>
      <c r="AP9" s="317" cm="1">
        <f t="array" ref="AP9">INDEX(Reading_export[1/1/2025],MATCH(1,(Reading_export[Lot]=A9)*(Reading_export[cluster]=$B$1),0))</f>
        <v>34752</v>
      </c>
      <c r="AQ9" s="317" cm="1">
        <f t="array" ref="AQ9">INDEX(Reading_export[01/04/2025],MATCH(1,(Reading_export[Lot]=A9)*(Reading_export[cluster]=$B$1),0))</f>
        <v>38690</v>
      </c>
      <c r="AR9" s="318">
        <f>Table1[[#This Row],[Last day of reporting period: export]]-Table1[[#This Row],[1st day of reporting period: export]]</f>
        <v>3938</v>
      </c>
      <c r="AS9" s="319">
        <f t="shared" si="10"/>
        <v>0.0749568398592228</v>
      </c>
      <c r="AT9" s="320">
        <f>Table1[[#This Row],[Percentage of Total export for Billing Period (%)]]*$AC$30</f>
        <v>574.009735252746</v>
      </c>
      <c r="AU9" s="320">
        <f t="shared" si="11"/>
        <v>72.54</v>
      </c>
      <c r="AV9" s="321">
        <f>IFERROR(Table1[[#This Row],[Total Cluster Energy Balance for P2P Trading (kWh)2]]*Table1[[#This Row],[Unused Daily Allowance %]],0)</f>
        <v>0.274341825386805</v>
      </c>
      <c r="AW9" s="320">
        <f t="shared" si="12"/>
        <v>105.16444632249</v>
      </c>
      <c r="AX9" s="321">
        <f>Table1[[#This Row],[Cluster''s Total Common Services (kWh)]]*Table1[[#This Row],[Percentage of Total export for Billing Period (%)]]</f>
        <v>52.2449173818783</v>
      </c>
      <c r="AY9" s="321">
        <f>$Q$25*Table1[[#This Row],[Percentage of Total export for Billing Period (%)]]</f>
        <v>225.919915335697</v>
      </c>
      <c r="AZ9"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2980.66098570719</v>
      </c>
      <c r="BA9" s="321">
        <f t="shared" si="13"/>
        <v>0</v>
      </c>
      <c r="BB9" s="321">
        <f>Table1[[#This Row],[Energy Losses When Export to Grid (kWh)]]*Table1[[#This Row],[Percentage of Total export for Billing Period (%)]]</f>
        <v>0</v>
      </c>
      <c r="BC9" s="321">
        <f>Table1[[#This Row],[Therotical Energy Export to Grid (kWh)]]-Table1[[#This Row],[Energy Losses When Export to Grid based up % total export (kWh)]]</f>
        <v>2980.66098570719</v>
      </c>
      <c r="BD9" s="334">
        <f>AW9*'Tariff Rates'!$C$3</f>
        <v>-23.1361781909477</v>
      </c>
      <c r="BE9" s="334">
        <f>Table1[[#This Row],[Common Service based upon % total export to battery (kWh)]]*'Tariff Rates'!$C$3</f>
        <v>-11.4938818240132</v>
      </c>
      <c r="BF9" s="334">
        <f>Table1[[#This Row],[EV Charger based upon % total export to battery (kWh)]]*'Tariff Rates'!$C$3</f>
        <v>-49.7023813738534</v>
      </c>
      <c r="BG9" s="346">
        <f>AT9*'Tariff Rates'!$C$3</f>
        <v>-126.282141755604</v>
      </c>
      <c r="BH9" s="346">
        <f>Table1[[#This Row],[Borrowed Allowance Based on Unused Daily Allowance % (kWh)]]*'Tariff Rates'!$K$3</f>
        <v>-0.00548683650773609</v>
      </c>
      <c r="BI9" s="346">
        <f>BC9*'Tariff Rates'!$F$3</f>
        <v>-114.755447949727</v>
      </c>
      <c r="BJ9" s="346">
        <f t="shared" si="19"/>
        <v>-325.375517930653</v>
      </c>
      <c r="BK9" s="347">
        <f>$D$43*Table1[[#This Row],[Percentage of Unit Entitlement (%)]]</f>
        <v>0</v>
      </c>
      <c r="BL9" s="348">
        <f>BK9*'Tariff Rates'!$H$3</f>
        <v>0</v>
      </c>
      <c r="BM9" s="348">
        <f>($Q$25)*Table1[[#This Row],[Percentage of Unit Entitlement (%)]]*'Tariff Rates'!$B$3</f>
        <v>30.50168</v>
      </c>
      <c r="BN9" s="348">
        <f t="shared" si="16"/>
        <v>30.50168</v>
      </c>
      <c r="BO9" s="348">
        <f t="shared" si="17"/>
        <v>0</v>
      </c>
      <c r="BP9" s="367">
        <f t="shared" si="18"/>
        <v>30.50168</v>
      </c>
      <c r="BQ9" s="368">
        <f t="shared" si="14"/>
        <v>23.5726649977608</v>
      </c>
      <c r="BR9" s="375"/>
      <c r="BS9" s="376"/>
      <c r="BT9" s="371">
        <v>5</v>
      </c>
    </row>
    <row r="10" spans="1:72">
      <c r="A10" s="164">
        <v>6</v>
      </c>
      <c r="B10" s="158" t="str" cm="1">
        <f t="array" ref="B10">INDEX(Table_Household_Alloc[Owner],MATCH(1,(Table_Household_Alloc[Lot]=A10)*(Table_Household_Alloc[cluster]=$B$1),0))</f>
        <v>Christopher Paul Martin
Vicki Ann Martin </v>
      </c>
      <c r="C10" s="159" cm="1">
        <f t="array" ref="C10">INDEX(Reading_import[Meter'#],MATCH(1,(Table_Household_Alloc[Lot]=A10)*(Table_Household_Alloc[cluster]=$B$1),0))</f>
        <v>50003421</v>
      </c>
      <c r="D10" s="160" cm="1">
        <f t="array" ref="D10">INDEX(Table_Household_Alloc[UE % over Cluster],MATCH(1,(Table_Household_Alloc[Lot]=A10)*(Table_Household_Alloc[cluster]=$B$1),0))</f>
        <v>0.066</v>
      </c>
      <c r="E10" s="161" t="str" cm="1">
        <f t="array" ref="E10">INDEX(Table_Household_Alloc[Stage of Dev.],MATCH(1,(Table_Household_Alloc[Lot]=A10)*(Table_Household_Alloc[cluster]=$B$1),0))</f>
        <v>O</v>
      </c>
      <c r="F10" s="162" cm="1">
        <f t="array" ref="F10">INDEX(Amanda_energy[Daily_Supply_incl_GST],MATCH(1,(Amanda_energy[Cluster]=$B$1)*(Amanda_energy[Month]=$F$2),0))/MAX($A:$A)</f>
        <v>8.97368421052632</v>
      </c>
      <c r="G10" s="163" cm="1">
        <f t="array" ref="G10">INDEX(Amanda_energy[Daily_Supply_incl_GST],MATCH(1,(Amanda_energy[Cluster]=$B$1)*(Amanda_energy[Month]=$G$2),0))/MAX($A:$A)</f>
        <v>8.10526315789474</v>
      </c>
      <c r="H10" s="163" cm="1">
        <f t="array" ref="H10">INDEX(Amanda_energy[Daily_Supply_incl_GST],MATCH(1,(Amanda_energy[Cluster]=$B$1)*(Amanda_energy[Month]=$H$2),0))/MAX($A:$A)</f>
        <v>8.97368421052632</v>
      </c>
      <c r="I10" s="163">
        <f t="shared" si="1"/>
        <v>3.22684210526316</v>
      </c>
      <c r="J10" s="232">
        <f>'Tariff Rates'!$B$8*$J$3</f>
        <v>13.5616438356164</v>
      </c>
      <c r="K10" s="232">
        <f>'Tariff Rates'!$C$8*Table1[[#This Row],[Percentage of Unit Entitlement (%)]]*'Energy billing Mastersheet_fml'!$K$3</f>
        <v>13.9630684931507</v>
      </c>
      <c r="L10" s="232">
        <f>$L$3*'Tariff Rates'!$D$8*IF(Table1[[#This Row],[Stage of Dev.]]="V",0,1)</f>
        <v>19.8</v>
      </c>
      <c r="M10" s="233">
        <v>1.1</v>
      </c>
      <c r="N10" s="234">
        <f t="shared" si="2"/>
        <v>77.7041860129776</v>
      </c>
      <c r="O10" s="235" cm="1">
        <f t="array" ref="O10">INDEX(Reading_import[1/1/2025],MATCH(1,(Reading_import[Lot]=A10)*(Reading_import[cluster]=$B$1),0))</f>
        <v>5469</v>
      </c>
      <c r="P10" s="236" cm="1">
        <f t="array" ref="P10">INDEX(Reading_import[01/04/2025],MATCH(1,(Reading_import[Lot]=A10)*(Reading_import[cluster]=$B$1),0))</f>
        <v>5889</v>
      </c>
      <c r="Q10" s="255">
        <f>Table1[[#This Row],[Last day of reporting period: import]]-Table1[[#This Row],[1st day of reporting period: import]]</f>
        <v>420</v>
      </c>
      <c r="R10" s="256">
        <f t="shared" si="3"/>
        <v>4.66666666666667</v>
      </c>
      <c r="S10" s="257">
        <f t="shared" si="4"/>
        <v>0.0540791100123609</v>
      </c>
      <c r="T10" s="258">
        <f>IF(Table1[[#This Row],[Stage of Dev.]]="V",0,233*Table1[[#This Row],[Percentage of Unit Entitlement (%)]])</f>
        <v>15.378</v>
      </c>
      <c r="U10" s="259">
        <f t="shared" si="5"/>
        <v>4.66666666666667</v>
      </c>
      <c r="V10" s="259">
        <f>Table1[[#This Row],[Daily Battery allowance based on UE% (kWh)]]-Table1[[#This Row],[Applicable Battery Allowance Daily Consumption (kWh)]]</f>
        <v>10.7113333333333</v>
      </c>
      <c r="W10" s="260">
        <f>Table1[[#This Row],[Unused Daily Allowance (kWh)]]/$V$30</f>
        <v>0.0720241888668155</v>
      </c>
      <c r="X10" s="259">
        <f>IF(Table1[[#This Row],[Applicable Battery Allowance Daily Consumption (kWh)]]&gt;Table1[[#This Row],[Total Daily Average Consumptio for Billing Period (kWh)]],Table1[[#This Row],[Total Consumption Import  (kWh)]],U10*$N$3)</f>
        <v>420</v>
      </c>
      <c r="Y10" s="275">
        <f>IF(Table1[[#This Row],[Applicable Battery Allowance Daily Consumption (kWh)]]&gt;0,ABS(Q10-X10),0)</f>
        <v>0</v>
      </c>
      <c r="Z10" s="276">
        <f>IFERROR(Table1[[#This Row],[Energy Exceeding Battery Allowance (kWh)]]/$Y$30,0)</f>
        <v>0</v>
      </c>
      <c r="AA10" s="277">
        <f t="shared" si="6"/>
        <v>72.54</v>
      </c>
      <c r="AB10" s="278">
        <f>IFERROR(Table1[[#This Row],[Total Cluster Energy Balance for P2P Trading (kWh)]]*Table1[[#This Row],[Energy Exceeding Battery Allowance %]],0)</f>
        <v>0</v>
      </c>
      <c r="AC10" s="279">
        <f>Table1[[#This Row],[P2P Import Consumption within Battery Allowance(kWh)]]+Table1[[#This Row],[P2P Import Consumption over Battery Allowance based on Energy Exceeding Allowance % (kWh)]]</f>
        <v>420</v>
      </c>
      <c r="AD10" s="279">
        <f>Table1[[#This Row],[Total Consumption Import  (kWh)]]-Table1[[#This Row],[Total P2P import (kWh)]]</f>
        <v>0</v>
      </c>
      <c r="AE10" s="280">
        <f>IFERROR(Table1[[#This Row],[Total P2P import (kWh)]]/$AC$30,0)</f>
        <v>0.0548455379890231</v>
      </c>
      <c r="AF10" s="281">
        <f t="shared" si="7"/>
        <v>1403</v>
      </c>
      <c r="AG10" s="281">
        <f t="shared" si="8"/>
        <v>76.9482897985993</v>
      </c>
      <c r="AH10" s="292">
        <f t="shared" si="9"/>
        <v>697</v>
      </c>
      <c r="AI10" s="292">
        <f>Table1[[#This Row],[Cluster''s Total Common Services (kWh)]]*Table1[[#This Row],[Percentage of Unit Entitlement (%)]]</f>
        <v>46.002</v>
      </c>
      <c r="AJ10" s="293">
        <f>AG10*'Tariff Rates'!$B$3</f>
        <v>16.9286237556919</v>
      </c>
      <c r="AK10" s="293">
        <f>Table1[[#This Row],[Common Services based on Split per Unit Entitlement % to battery (kWh)]]*'Tariff Rates'!$B$3</f>
        <v>10.12044</v>
      </c>
      <c r="AL10" s="294">
        <f>Table1[[#This Row],[Total P2P import (kWh)]]*IF(Table1[[#This Row],[Total Lot Export (kWh)]]=0,'Tariff Rates'!$L$3,'Tariff Rates'!$B$3)</f>
        <v>92.4</v>
      </c>
      <c r="AM10" s="295">
        <f>Table1[[#This Row],[P2P Import Consumption over Battery Allowance based on Energy Exceeding Allowance % (kWh)]]*'Tariff Rates'!$J$3</f>
        <v>0</v>
      </c>
      <c r="AN10" s="296">
        <f>Table1[[#This Row],[Energy Import from Grid (kWh)]]*'Tariff Rates'!$E$3</f>
        <v>0</v>
      </c>
      <c r="AO10" s="316">
        <f t="shared" si="15"/>
        <v>119.449063755692</v>
      </c>
      <c r="AP10" s="317" cm="1">
        <f t="array" ref="AP10">INDEX(Reading_export[1/1/2025],MATCH(1,(Reading_export[Lot]=A10)*(Reading_export[cluster]=$B$1),0))</f>
        <v>15827</v>
      </c>
      <c r="AQ10" s="317" cm="1">
        <f t="array" ref="AQ10">INDEX(Reading_export[01/04/2025],MATCH(1,(Reading_export[Lot]=A10)*(Reading_export[cluster]=$B$1),0))</f>
        <v>20723</v>
      </c>
      <c r="AR10" s="318">
        <f>Table1[[#This Row],[Last day of reporting period: export]]-Table1[[#This Row],[1st day of reporting period: export]]</f>
        <v>4896</v>
      </c>
      <c r="AS10" s="319">
        <f t="shared" si="10"/>
        <v>0.0931916424455954</v>
      </c>
      <c r="AT10" s="320">
        <f>Table1[[#This Row],[Percentage of Total export for Billing Period (%)]]*$AC$30</f>
        <v>713.649482934852</v>
      </c>
      <c r="AU10" s="320">
        <f t="shared" si="11"/>
        <v>72.54</v>
      </c>
      <c r="AV10" s="321">
        <f>IFERROR(Table1[[#This Row],[Total Cluster Energy Balance for P2P Trading (kWh)2]]*Table1[[#This Row],[Unused Daily Allowance %]],0)</f>
        <v>5.2246346603988</v>
      </c>
      <c r="AW10" s="320">
        <f t="shared" si="12"/>
        <v>130.74787435117</v>
      </c>
      <c r="AX10" s="321">
        <f>Table1[[#This Row],[Cluster''s Total Common Services (kWh)]]*Table1[[#This Row],[Percentage of Total export for Billing Period (%)]]</f>
        <v>64.95457478458</v>
      </c>
      <c r="AY10" s="321">
        <f>$Q$25*Table1[[#This Row],[Percentage of Total export for Billing Period (%)]]</f>
        <v>280.879610331024</v>
      </c>
      <c r="AZ10"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3705.76845759837</v>
      </c>
      <c r="BA10" s="321">
        <f t="shared" si="13"/>
        <v>0</v>
      </c>
      <c r="BB10" s="321">
        <f>Table1[[#This Row],[Energy Losses When Export to Grid (kWh)]]*Table1[[#This Row],[Percentage of Total export for Billing Period (%)]]</f>
        <v>0</v>
      </c>
      <c r="BC10" s="321">
        <f>Table1[[#This Row],[Therotical Energy Export to Grid (kWh)]]-Table1[[#This Row],[Energy Losses When Export to Grid based up % total export (kWh)]]</f>
        <v>3705.76845759837</v>
      </c>
      <c r="BD10" s="334">
        <f>AW10*'Tariff Rates'!$C$3</f>
        <v>-28.7645323572575</v>
      </c>
      <c r="BE10" s="334">
        <f>Table1[[#This Row],[Common Service based upon % total export to battery (kWh)]]*'Tariff Rates'!$C$3</f>
        <v>-14.2900064526076</v>
      </c>
      <c r="BF10" s="334">
        <f>Table1[[#This Row],[EV Charger based upon % total export to battery (kWh)]]*'Tariff Rates'!$C$3</f>
        <v>-61.7935142728254</v>
      </c>
      <c r="BG10" s="346">
        <f>AT10*'Tariff Rates'!$C$3</f>
        <v>-157.002886245667</v>
      </c>
      <c r="BH10" s="346">
        <f>Table1[[#This Row],[Borrowed Allowance Based on Unused Daily Allowance % (kWh)]]*'Tariff Rates'!$K$3</f>
        <v>-0.104492693207976</v>
      </c>
      <c r="BI10" s="346">
        <f>BC10*'Tariff Rates'!$F$3</f>
        <v>-142.672085617537</v>
      </c>
      <c r="BJ10" s="346">
        <f t="shared" si="19"/>
        <v>-404.627517639103</v>
      </c>
      <c r="BK10" s="347">
        <f>$D$43*Table1[[#This Row],[Percentage of Unit Entitlement (%)]]</f>
        <v>0</v>
      </c>
      <c r="BL10" s="348">
        <f>BK10*'Tariff Rates'!$H$3</f>
        <v>0</v>
      </c>
      <c r="BM10" s="348">
        <f>($Q$25)*Table1[[#This Row],[Percentage of Unit Entitlement (%)]]*'Tariff Rates'!$B$3</f>
        <v>43.76328</v>
      </c>
      <c r="BN10" s="348">
        <f t="shared" si="16"/>
        <v>43.76328</v>
      </c>
      <c r="BO10" s="348">
        <f t="shared" si="17"/>
        <v>0</v>
      </c>
      <c r="BP10" s="367">
        <f t="shared" si="18"/>
        <v>43.76328</v>
      </c>
      <c r="BQ10" s="368">
        <f t="shared" si="14"/>
        <v>-163.710987870434</v>
      </c>
      <c r="BR10" s="372"/>
      <c r="BS10" s="373"/>
      <c r="BT10" s="374">
        <v>6</v>
      </c>
    </row>
    <row r="11" spans="1:72">
      <c r="A11" s="157">
        <v>7</v>
      </c>
      <c r="B11" s="158" t="str" cm="1">
        <f t="array" ref="B11">INDEX(Table_Household_Alloc[Owner],MATCH(1,(Table_Household_Alloc[Lot]=A11)*(Table_Household_Alloc[cluster]=$B$1),0))</f>
        <v>Dex Ezekiel,
Jeannine Penniment</v>
      </c>
      <c r="C11" s="159" cm="1">
        <f t="array" ref="C11">INDEX(Reading_import[Meter'#],MATCH(1,(Table_Household_Alloc[Lot]=A11)*(Table_Household_Alloc[cluster]=$B$1),0))</f>
        <v>50002953</v>
      </c>
      <c r="D11" s="160" cm="1">
        <f t="array" ref="D11">INDEX(Table_Household_Alloc[UE % over Cluster],MATCH(1,(Table_Household_Alloc[Lot]=A11)*(Table_Household_Alloc[cluster]=$B$1),0))</f>
        <v>0.066</v>
      </c>
      <c r="E11" s="161" t="str" cm="1">
        <f t="array" ref="E11">INDEX(Table_Household_Alloc[Stage of Dev.],MATCH(1,(Table_Household_Alloc[Lot]=A11)*(Table_Household_Alloc[cluster]=$B$1),0))</f>
        <v>UC/M/ND</v>
      </c>
      <c r="F11" s="162" cm="1">
        <f t="array" ref="F11">INDEX(Amanda_energy[Daily_Supply_incl_GST],MATCH(1,(Amanda_energy[Cluster]=$B$1)*(Amanda_energy[Month]=$F$2),0))/MAX($A:$A)</f>
        <v>8.97368421052632</v>
      </c>
      <c r="G11" s="163" cm="1">
        <f t="array" ref="G11">INDEX(Amanda_energy[Daily_Supply_incl_GST],MATCH(1,(Amanda_energy[Cluster]=$B$1)*(Amanda_energy[Month]=$G$2),0))/MAX($A:$A)</f>
        <v>8.10526315789474</v>
      </c>
      <c r="H11" s="163" cm="1">
        <f t="array" ref="H11">INDEX(Amanda_energy[Daily_Supply_incl_GST],MATCH(1,(Amanda_energy[Cluster]=$B$1)*(Amanda_energy[Month]=$H$2),0))/MAX($A:$A)</f>
        <v>8.97368421052632</v>
      </c>
      <c r="I11" s="163">
        <f t="shared" si="1"/>
        <v>3.22684210526316</v>
      </c>
      <c r="J11" s="232">
        <f>'Tariff Rates'!$B$8*$J$3</f>
        <v>13.5616438356164</v>
      </c>
      <c r="K11" s="232">
        <f>'Tariff Rates'!$C$8*Table1[[#This Row],[Percentage of Unit Entitlement (%)]]*'Energy billing Mastersheet_fml'!$K$3</f>
        <v>13.9630684931507</v>
      </c>
      <c r="L11" s="232">
        <f>$L$3*'Tariff Rates'!$D$8*IF(Table1[[#This Row],[Stage of Dev.]]="V",0,1)</f>
        <v>19.8</v>
      </c>
      <c r="M11" s="233">
        <v>1.1</v>
      </c>
      <c r="N11" s="234">
        <f t="shared" si="2"/>
        <v>77.7041860129776</v>
      </c>
      <c r="O11" s="235" cm="1">
        <f t="array" ref="O11">INDEX(Reading_import[1/1/2025],MATCH(1,(Reading_import[Lot]=A11)*(Reading_import[cluster]=$B$1),0))</f>
        <v>164</v>
      </c>
      <c r="P11" s="236" cm="1">
        <f t="array" ref="P11">INDEX(Reading_import[01/04/2025],MATCH(1,(Reading_import[Lot]=A11)*(Reading_import[cluster]=$B$1),0))</f>
        <v>166</v>
      </c>
      <c r="Q11" s="255">
        <f>Table1[[#This Row],[Last day of reporting period: import]]-Table1[[#This Row],[1st day of reporting period: import]]</f>
        <v>2</v>
      </c>
      <c r="R11" s="256">
        <f t="shared" si="3"/>
        <v>0.0222222222222222</v>
      </c>
      <c r="S11" s="257">
        <f t="shared" si="4"/>
        <v>0.000257519571487433</v>
      </c>
      <c r="T11" s="258">
        <f>IF(Table1[[#This Row],[Stage of Dev.]]="V",0,233*Table1[[#This Row],[Percentage of Unit Entitlement (%)]])</f>
        <v>15.378</v>
      </c>
      <c r="U11" s="259">
        <f t="shared" si="5"/>
        <v>0.0222222222222222</v>
      </c>
      <c r="V11" s="259">
        <f>Table1[[#This Row],[Daily Battery allowance based on UE% (kWh)]]-Table1[[#This Row],[Applicable Battery Allowance Daily Consumption (kWh)]]</f>
        <v>15.3557777777778</v>
      </c>
      <c r="W11" s="260">
        <f>Table1[[#This Row],[Unused Daily Allowance (kWh)]]/$V$30</f>
        <v>0.103253946492517</v>
      </c>
      <c r="X11" s="259">
        <f>IF(Table1[[#This Row],[Applicable Battery Allowance Daily Consumption (kWh)]]&gt;Table1[[#This Row],[Total Daily Average Consumptio for Billing Period (kWh)]],Table1[[#This Row],[Total Consumption Import  (kWh)]],U11*$N$3)</f>
        <v>2</v>
      </c>
      <c r="Y11" s="275">
        <f>IF(Table1[[#This Row],[Applicable Battery Allowance Daily Consumption (kWh)]]&gt;0,ABS(Q11-X11),0)</f>
        <v>0</v>
      </c>
      <c r="Z11" s="276">
        <f>IFERROR(Table1[[#This Row],[Energy Exceeding Battery Allowance (kWh)]]/$Y$30,0)</f>
        <v>0</v>
      </c>
      <c r="AA11" s="277">
        <f t="shared" si="6"/>
        <v>72.54</v>
      </c>
      <c r="AB11" s="278">
        <f>IFERROR(Table1[[#This Row],[Total Cluster Energy Balance for P2P Trading (kWh)]]*Table1[[#This Row],[Energy Exceeding Battery Allowance %]],0)</f>
        <v>0</v>
      </c>
      <c r="AC11" s="279">
        <f>Table1[[#This Row],[P2P Import Consumption within Battery Allowance(kWh)]]+Table1[[#This Row],[P2P Import Consumption over Battery Allowance based on Energy Exceeding Allowance % (kWh)]]</f>
        <v>2</v>
      </c>
      <c r="AD11" s="279">
        <f>Table1[[#This Row],[Total Consumption Import  (kWh)]]-Table1[[#This Row],[Total P2P import (kWh)]]</f>
        <v>0</v>
      </c>
      <c r="AE11" s="280">
        <f>IFERROR(Table1[[#This Row],[Total P2P import (kWh)]]/$AC$30,0)</f>
        <v>0.000261169228519157</v>
      </c>
      <c r="AF11" s="281">
        <f t="shared" si="7"/>
        <v>1403</v>
      </c>
      <c r="AG11" s="281">
        <f t="shared" si="8"/>
        <v>0.366420427612378</v>
      </c>
      <c r="AH11" s="292">
        <f t="shared" si="9"/>
        <v>697</v>
      </c>
      <c r="AI11" s="292">
        <f>Table1[[#This Row],[Cluster''s Total Common Services (kWh)]]*Table1[[#This Row],[Percentage of Unit Entitlement (%)]]</f>
        <v>46.002</v>
      </c>
      <c r="AJ11" s="293">
        <f>AG11*'Tariff Rates'!$B$3</f>
        <v>0.0806124940747231</v>
      </c>
      <c r="AK11" s="293">
        <f>Table1[[#This Row],[Common Services based on Split per Unit Entitlement % to battery (kWh)]]*'Tariff Rates'!$B$3</f>
        <v>10.12044</v>
      </c>
      <c r="AL11" s="294">
        <f>Table1[[#This Row],[Total P2P import (kWh)]]*IF(Table1[[#This Row],[Total Lot Export (kWh)]]=0,'Tariff Rates'!$L$3,'Tariff Rates'!$B$3)</f>
        <v>0.72</v>
      </c>
      <c r="AM11" s="295">
        <f>Table1[[#This Row],[P2P Import Consumption over Battery Allowance based on Energy Exceeding Allowance % (kWh)]]*'Tariff Rates'!$J$3</f>
        <v>0</v>
      </c>
      <c r="AN11" s="296">
        <f>Table1[[#This Row],[Energy Import from Grid (kWh)]]*'Tariff Rates'!$E$3</f>
        <v>0</v>
      </c>
      <c r="AO11" s="316">
        <f t="shared" si="15"/>
        <v>10.9210524940747</v>
      </c>
      <c r="AP11" s="317" cm="1">
        <f t="array" ref="AP11">INDEX(Reading_export[1/1/2025],MATCH(1,(Reading_export[Lot]=A11)*(Reading_export[cluster]=$B$1),0))</f>
        <v>142</v>
      </c>
      <c r="AQ11" s="317" cm="1">
        <f t="array" ref="AQ11">INDEX(Reading_export[01/04/2025],MATCH(1,(Reading_export[Lot]=A11)*(Reading_export[cluster]=$B$1),0))</f>
        <v>142</v>
      </c>
      <c r="AR11" s="318">
        <f>Table1[[#This Row],[Last day of reporting period: export]]-Table1[[#This Row],[1st day of reporting period: export]]</f>
        <v>0</v>
      </c>
      <c r="AS11" s="319">
        <f t="shared" si="10"/>
        <v>0</v>
      </c>
      <c r="AT11" s="320">
        <f>Table1[[#This Row],[Percentage of Total export for Billing Period (%)]]*$AC$30</f>
        <v>0</v>
      </c>
      <c r="AU11" s="320">
        <f t="shared" si="11"/>
        <v>72.54</v>
      </c>
      <c r="AV11" s="321">
        <f>IFERROR(Table1[[#This Row],[Total Cluster Energy Balance for P2P Trading (kWh)2]]*Table1[[#This Row],[Unused Daily Allowance %]],0)</f>
        <v>7.49004127856719</v>
      </c>
      <c r="AW11" s="320">
        <f t="shared" si="12"/>
        <v>0</v>
      </c>
      <c r="AX11" s="321">
        <f>Table1[[#This Row],[Cluster''s Total Common Services (kWh)]]*Table1[[#This Row],[Percentage of Total export for Billing Period (%)]]</f>
        <v>0</v>
      </c>
      <c r="AY11" s="321">
        <f>$Q$25*Table1[[#This Row],[Percentage of Total export for Billing Period (%)]]</f>
        <v>0</v>
      </c>
      <c r="AZ11"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1" s="321">
        <f t="shared" si="13"/>
        <v>0</v>
      </c>
      <c r="BB11" s="321">
        <f>Table1[[#This Row],[Energy Losses When Export to Grid (kWh)]]*Table1[[#This Row],[Percentage of Total export for Billing Period (%)]]</f>
        <v>0</v>
      </c>
      <c r="BC11" s="321">
        <f>Table1[[#This Row],[Therotical Energy Export to Grid (kWh)]]-Table1[[#This Row],[Energy Losses When Export to Grid based up % total export (kWh)]]</f>
        <v>0</v>
      </c>
      <c r="BD11" s="334">
        <f>AW11*'Tariff Rates'!$C$3</f>
        <v>0</v>
      </c>
      <c r="BE11" s="334">
        <f>Table1[[#This Row],[Common Service based upon % total export to battery (kWh)]]*'Tariff Rates'!$C$3</f>
        <v>0</v>
      </c>
      <c r="BF11" s="334">
        <f>Table1[[#This Row],[EV Charger based upon % total export to battery (kWh)]]*'Tariff Rates'!$C$3</f>
        <v>0</v>
      </c>
      <c r="BG11" s="346">
        <f>AT11*'Tariff Rates'!$C$3</f>
        <v>0</v>
      </c>
      <c r="BH11" s="346">
        <f>Table1[[#This Row],[Borrowed Allowance Based on Unused Daily Allowance % (kWh)]]*'Tariff Rates'!$K$3</f>
        <v>-0.149800825571344</v>
      </c>
      <c r="BI11" s="346">
        <f>BC11*'Tariff Rates'!$F$3</f>
        <v>0</v>
      </c>
      <c r="BJ11" s="346">
        <f t="shared" si="19"/>
        <v>-0.149800825571344</v>
      </c>
      <c r="BK11" s="347">
        <f>$D$43*Table1[[#This Row],[Percentage of Unit Entitlement (%)]]</f>
        <v>0</v>
      </c>
      <c r="BL11" s="348">
        <f>BK11*'Tariff Rates'!$H$3</f>
        <v>0</v>
      </c>
      <c r="BM11" s="348">
        <f>($Q$25)*Table1[[#This Row],[Percentage of Unit Entitlement (%)]]*'Tariff Rates'!$B$3</f>
        <v>43.76328</v>
      </c>
      <c r="BN11" s="348">
        <f t="shared" si="16"/>
        <v>43.76328</v>
      </c>
      <c r="BO11" s="348">
        <f t="shared" si="17"/>
        <v>0</v>
      </c>
      <c r="BP11" s="367">
        <f t="shared" si="18"/>
        <v>43.76328</v>
      </c>
      <c r="BQ11" s="368">
        <f t="shared" si="14"/>
        <v>132.238717681481</v>
      </c>
      <c r="BR11" s="375"/>
      <c r="BS11" s="376"/>
      <c r="BT11" s="371">
        <v>7</v>
      </c>
    </row>
    <row r="12" spans="1:72">
      <c r="A12" s="164">
        <v>8</v>
      </c>
      <c r="B12" s="158" t="str" cm="1">
        <f t="array" ref="B12">INDEX(Table_Household_Alloc[Owner],MATCH(1,(Table_Household_Alloc[Lot]=A12)*(Table_Household_Alloc[cluster]=$B$1),0))</f>
        <v>Eric Martini 
Karina Jean Martini</v>
      </c>
      <c r="C12" s="159" cm="1">
        <f t="array" ref="C12">INDEX(Reading_import[Meter'#],MATCH(1,(Table_Household_Alloc[Lot]=A12)*(Table_Household_Alloc[cluster]=$B$1),0))</f>
        <v>50003395</v>
      </c>
      <c r="D12" s="160" cm="1">
        <f t="array" ref="D12">INDEX(Table_Household_Alloc[UE % over Cluster],MATCH(1,(Table_Household_Alloc[Lot]=A12)*(Table_Household_Alloc[cluster]=$B$1),0))</f>
        <v>0.066</v>
      </c>
      <c r="E12" s="161" t="str" cm="1">
        <f t="array" ref="E12">INDEX(Table_Household_Alloc[Stage of Dev.],MATCH(1,(Table_Household_Alloc[Lot]=A12)*(Table_Household_Alloc[cluster]=$B$1),0))</f>
        <v>O</v>
      </c>
      <c r="F12" s="162" cm="1">
        <f t="array" ref="F12">INDEX(Amanda_energy[Daily_Supply_incl_GST],MATCH(1,(Amanda_energy[Cluster]=$B$1)*(Amanda_energy[Month]=$F$2),0))/MAX($A:$A)</f>
        <v>8.97368421052632</v>
      </c>
      <c r="G12" s="163" cm="1">
        <f t="array" ref="G12">INDEX(Amanda_energy[Daily_Supply_incl_GST],MATCH(1,(Amanda_energy[Cluster]=$B$1)*(Amanda_energy[Month]=$G$2),0))/MAX($A:$A)</f>
        <v>8.10526315789474</v>
      </c>
      <c r="H12" s="163" cm="1">
        <f t="array" ref="H12">INDEX(Amanda_energy[Daily_Supply_incl_GST],MATCH(1,(Amanda_energy[Cluster]=$B$1)*(Amanda_energy[Month]=$H$2),0))/MAX($A:$A)</f>
        <v>8.97368421052632</v>
      </c>
      <c r="I12" s="163">
        <f t="shared" si="1"/>
        <v>3.22684210526316</v>
      </c>
      <c r="J12" s="232">
        <f>'Tariff Rates'!$B$8*$J$3</f>
        <v>13.5616438356164</v>
      </c>
      <c r="K12" s="232">
        <f>'Tariff Rates'!$C$8*Table1[[#This Row],[Percentage of Unit Entitlement (%)]]*'Energy billing Mastersheet_fml'!$K$3</f>
        <v>13.9630684931507</v>
      </c>
      <c r="L12" s="232">
        <f>$L$3*'Tariff Rates'!$D$8*IF(Table1[[#This Row],[Stage of Dev.]]="V",0,1)</f>
        <v>19.8</v>
      </c>
      <c r="M12" s="233">
        <v>1.1</v>
      </c>
      <c r="N12" s="234">
        <f t="shared" si="2"/>
        <v>77.7041860129776</v>
      </c>
      <c r="O12" s="235" cm="1">
        <f t="array" ref="O12">INDEX(Reading_import[1/1/2025],MATCH(1,(Reading_import[Lot]=A12)*(Reading_import[cluster]=$B$1),0))</f>
        <v>12726</v>
      </c>
      <c r="P12" s="236" cm="1">
        <f t="array" ref="P12">INDEX(Reading_import[01/04/2025],MATCH(1,(Reading_import[Lot]=A12)*(Reading_import[cluster]=$B$1),0))</f>
        <v>13279</v>
      </c>
      <c r="Q12" s="255">
        <f>Table1[[#This Row],[Last day of reporting period: import]]-Table1[[#This Row],[1st day of reporting period: import]]</f>
        <v>553</v>
      </c>
      <c r="R12" s="256">
        <f t="shared" si="3"/>
        <v>6.14444444444444</v>
      </c>
      <c r="S12" s="257">
        <f t="shared" si="4"/>
        <v>0.0712041615162752</v>
      </c>
      <c r="T12" s="258">
        <f>IF(Table1[[#This Row],[Stage of Dev.]]="V",0,233*Table1[[#This Row],[Percentage of Unit Entitlement (%)]])</f>
        <v>15.378</v>
      </c>
      <c r="U12" s="259">
        <f t="shared" si="5"/>
        <v>6.14444444444444</v>
      </c>
      <c r="V12" s="259">
        <f>Table1[[#This Row],[Daily Battery allowance based on UE% (kWh)]]-Table1[[#This Row],[Applicable Battery Allowance Daily Consumption (kWh)]]</f>
        <v>9.23355555555555</v>
      </c>
      <c r="W12" s="260">
        <f>Table1[[#This Row],[Unused Daily Allowance (kWh)]]/$V$30</f>
        <v>0.0620874478040923</v>
      </c>
      <c r="X12" s="259">
        <f>IF(Table1[[#This Row],[Applicable Battery Allowance Daily Consumption (kWh)]]&gt;Table1[[#This Row],[Total Daily Average Consumptio for Billing Period (kWh)]],Table1[[#This Row],[Total Consumption Import  (kWh)]],U12*$N$3)</f>
        <v>553</v>
      </c>
      <c r="Y12" s="275">
        <f>IF(Table1[[#This Row],[Applicable Battery Allowance Daily Consumption (kWh)]]&gt;0,ABS(Q12-X12),0)</f>
        <v>0</v>
      </c>
      <c r="Z12" s="276">
        <f>IFERROR(Table1[[#This Row],[Energy Exceeding Battery Allowance (kWh)]]/$Y$30,0)</f>
        <v>0</v>
      </c>
      <c r="AA12" s="277">
        <f t="shared" si="6"/>
        <v>72.54</v>
      </c>
      <c r="AB12" s="278">
        <f>IFERROR(Table1[[#This Row],[Total Cluster Energy Balance for P2P Trading (kWh)]]*Table1[[#This Row],[Energy Exceeding Battery Allowance %]],0)</f>
        <v>0</v>
      </c>
      <c r="AC12" s="279">
        <f>Table1[[#This Row],[P2P Import Consumption within Battery Allowance(kWh)]]+Table1[[#This Row],[P2P Import Consumption over Battery Allowance based on Energy Exceeding Allowance % (kWh)]]</f>
        <v>553</v>
      </c>
      <c r="AD12" s="279">
        <f>Table1[[#This Row],[Total Consumption Import  (kWh)]]-Table1[[#This Row],[Total P2P import (kWh)]]</f>
        <v>0</v>
      </c>
      <c r="AE12" s="280">
        <f>IFERROR(Table1[[#This Row],[Total P2P import (kWh)]]/$AC$30,0)</f>
        <v>0.072213291685547</v>
      </c>
      <c r="AF12" s="281">
        <f t="shared" si="7"/>
        <v>1403</v>
      </c>
      <c r="AG12" s="281">
        <f t="shared" si="8"/>
        <v>101.315248234822</v>
      </c>
      <c r="AH12" s="292">
        <f t="shared" si="9"/>
        <v>697</v>
      </c>
      <c r="AI12" s="292">
        <f>Table1[[#This Row],[Cluster''s Total Common Services (kWh)]]*Table1[[#This Row],[Percentage of Unit Entitlement (%)]]</f>
        <v>46.002</v>
      </c>
      <c r="AJ12" s="293">
        <f>AG12*'Tariff Rates'!$B$3</f>
        <v>22.2893546116609</v>
      </c>
      <c r="AK12" s="293">
        <f>Table1[[#This Row],[Common Services based on Split per Unit Entitlement % to battery (kWh)]]*'Tariff Rates'!$B$3</f>
        <v>10.12044</v>
      </c>
      <c r="AL12" s="294">
        <f>Table1[[#This Row],[Total P2P import (kWh)]]*IF(Table1[[#This Row],[Total Lot Export (kWh)]]=0,'Tariff Rates'!$L$3,'Tariff Rates'!$B$3)</f>
        <v>121.66</v>
      </c>
      <c r="AM12" s="295">
        <f>Table1[[#This Row],[P2P Import Consumption over Battery Allowance based on Energy Exceeding Allowance % (kWh)]]*'Tariff Rates'!$J$3</f>
        <v>0</v>
      </c>
      <c r="AN12" s="296">
        <f>Table1[[#This Row],[Energy Import from Grid (kWh)]]*'Tariff Rates'!$E$3</f>
        <v>0</v>
      </c>
      <c r="AO12" s="316">
        <f t="shared" si="15"/>
        <v>154.069794611661</v>
      </c>
      <c r="AP12" s="317" cm="1">
        <f t="array" ref="AP12">INDEX(Reading_export[1/1/2025],MATCH(1,(Reading_export[Lot]=A12)*(Reading_export[cluster]=$B$1),0))</f>
        <v>41841</v>
      </c>
      <c r="AQ12" s="317" cm="1">
        <f t="array" ref="AQ12">INDEX(Reading_export[01/04/2025],MATCH(1,(Reading_export[Lot]=A12)*(Reading_export[cluster]=$B$1),0))</f>
        <v>46064</v>
      </c>
      <c r="AR12" s="318">
        <f>Table1[[#This Row],[Last day of reporting period: export]]-Table1[[#This Row],[1st day of reporting period: export]]</f>
        <v>4223</v>
      </c>
      <c r="AS12" s="319">
        <f t="shared" si="10"/>
        <v>0.0803815984574651</v>
      </c>
      <c r="AT12" s="320">
        <f>Table1[[#This Row],[Percentage of Total export for Billing Period (%)]]*$AC$30</f>
        <v>615.551831379468</v>
      </c>
      <c r="AU12" s="320">
        <f t="shared" si="11"/>
        <v>72.54</v>
      </c>
      <c r="AV12" s="321">
        <f>IFERROR(Table1[[#This Row],[Total Cluster Energy Balance for P2P Trading (kWh)2]]*Table1[[#This Row],[Unused Daily Allowance %]],0)</f>
        <v>4.50382346370885</v>
      </c>
      <c r="AW12" s="320">
        <f t="shared" si="12"/>
        <v>112.775382635824</v>
      </c>
      <c r="AX12" s="321">
        <f>Table1[[#This Row],[Cluster''s Total Common Services (kWh)]]*Table1[[#This Row],[Percentage of Total export for Billing Period (%)]]</f>
        <v>56.0259741248532</v>
      </c>
      <c r="AY12" s="321">
        <f>$Q$25*Table1[[#This Row],[Percentage of Total export for Billing Period (%)]]</f>
        <v>242.2701377508</v>
      </c>
      <c r="AZ12"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3196.37667410905</v>
      </c>
      <c r="BA12" s="321">
        <f t="shared" si="13"/>
        <v>0</v>
      </c>
      <c r="BB12" s="321">
        <f>Table1[[#This Row],[Energy Losses When Export to Grid (kWh)]]*Table1[[#This Row],[Percentage of Total export for Billing Period (%)]]</f>
        <v>0</v>
      </c>
      <c r="BC12" s="321">
        <f>Table1[[#This Row],[Therotical Energy Export to Grid (kWh)]]-Table1[[#This Row],[Energy Losses When Export to Grid based up % total export (kWh)]]</f>
        <v>3196.37667410905</v>
      </c>
      <c r="BD12" s="334">
        <f>AW12*'Tariff Rates'!$C$3</f>
        <v>-24.8105841798812</v>
      </c>
      <c r="BE12" s="334">
        <f>Table1[[#This Row],[Common Service based upon % total export to battery (kWh)]]*'Tariff Rates'!$C$3</f>
        <v>-12.3257143074677</v>
      </c>
      <c r="BF12" s="334">
        <f>Table1[[#This Row],[EV Charger based upon % total export to battery (kWh)]]*'Tariff Rates'!$C$3</f>
        <v>-53.299430305176</v>
      </c>
      <c r="BG12" s="346">
        <f>AT12*'Tariff Rates'!$C$3</f>
        <v>-135.421402903483</v>
      </c>
      <c r="BH12" s="346">
        <f>Table1[[#This Row],[Borrowed Allowance Based on Unused Daily Allowance % (kWh)]]*'Tariff Rates'!$K$3</f>
        <v>-0.0900764692741771</v>
      </c>
      <c r="BI12" s="346">
        <f>BC12*'Tariff Rates'!$F$3</f>
        <v>-123.060501953199</v>
      </c>
      <c r="BJ12" s="346">
        <f t="shared" si="19"/>
        <v>-349.007710118481</v>
      </c>
      <c r="BK12" s="347">
        <f>$D$43*Table1[[#This Row],[Percentage of Unit Entitlement (%)]]</f>
        <v>0</v>
      </c>
      <c r="BL12" s="348">
        <f>BK12*'Tariff Rates'!$H$3</f>
        <v>0</v>
      </c>
      <c r="BM12" s="348">
        <f>($Q$25)*Table1[[#This Row],[Percentage of Unit Entitlement (%)]]*'Tariff Rates'!$B$3</f>
        <v>43.76328</v>
      </c>
      <c r="BN12" s="348">
        <f t="shared" si="16"/>
        <v>43.76328</v>
      </c>
      <c r="BO12" s="348">
        <f t="shared" si="17"/>
        <v>0</v>
      </c>
      <c r="BP12" s="367">
        <f t="shared" si="18"/>
        <v>43.76328</v>
      </c>
      <c r="BQ12" s="368">
        <f t="shared" si="14"/>
        <v>-73.4704494938422</v>
      </c>
      <c r="BR12" s="372"/>
      <c r="BS12" s="373"/>
      <c r="BT12" s="374">
        <v>8</v>
      </c>
    </row>
    <row r="13" spans="1:72">
      <c r="A13" s="157">
        <v>9</v>
      </c>
      <c r="B13" s="158" t="str" cm="1">
        <f t="array" ref="B13">INDEX(Table_Household_Alloc[Owner],MATCH(1,(Table_Household_Alloc[Lot]=A13)*(Table_Household_Alloc[cluster]=$B$1),0))</f>
        <v>Christopher van Etten
Emmanuelle van Etten</v>
      </c>
      <c r="C13" s="159" cm="1">
        <f t="array" ref="C13">INDEX(Reading_import[Meter'#],MATCH(1,(Table_Household_Alloc[Lot]=A13)*(Table_Household_Alloc[cluster]=$B$1),0))</f>
        <v>50003435</v>
      </c>
      <c r="D13" s="160" cm="1">
        <f t="array" ref="D13">INDEX(Table_Household_Alloc[UE % over Cluster],MATCH(1,(Table_Household_Alloc[Lot]=A13)*(Table_Household_Alloc[cluster]=$B$1),0))</f>
        <v>0.066</v>
      </c>
      <c r="E13" s="161" t="str" cm="1">
        <f t="array" ref="E13">INDEX(Table_Household_Alloc[Stage of Dev.],MATCH(1,(Table_Household_Alloc[Lot]=A13)*(Table_Household_Alloc[cluster]=$B$1),0))</f>
        <v>UC</v>
      </c>
      <c r="F13" s="162" cm="1">
        <f t="array" ref="F13">INDEX(Amanda_energy[Daily_Supply_incl_GST],MATCH(1,(Amanda_energy[Cluster]=$B$1)*(Amanda_energy[Month]=$F$2),0))/MAX($A:$A)</f>
        <v>8.97368421052632</v>
      </c>
      <c r="G13" s="163" cm="1">
        <f t="array" ref="G13">INDEX(Amanda_energy[Daily_Supply_incl_GST],MATCH(1,(Amanda_energy[Cluster]=$B$1)*(Amanda_energy[Month]=$G$2),0))/MAX($A:$A)</f>
        <v>8.10526315789474</v>
      </c>
      <c r="H13" s="163" cm="1">
        <f t="array" ref="H13">INDEX(Amanda_energy[Daily_Supply_incl_GST],MATCH(1,(Amanda_energy[Cluster]=$B$1)*(Amanda_energy[Month]=$H$2),0))/MAX($A:$A)</f>
        <v>8.97368421052632</v>
      </c>
      <c r="I13" s="163">
        <f t="shared" si="1"/>
        <v>3.22684210526316</v>
      </c>
      <c r="J13" s="232">
        <f>'Tariff Rates'!$B$8*$J$3</f>
        <v>13.5616438356164</v>
      </c>
      <c r="K13" s="232">
        <f>'Tariff Rates'!$C$8*Table1[[#This Row],[Percentage of Unit Entitlement (%)]]*'Energy billing Mastersheet_fml'!$K$3</f>
        <v>13.9630684931507</v>
      </c>
      <c r="L13" s="232">
        <f>$L$3*'Tariff Rates'!$D$8*IF(Table1[[#This Row],[Stage of Dev.]]="V",0,1)</f>
        <v>19.8</v>
      </c>
      <c r="M13" s="233">
        <v>1.1</v>
      </c>
      <c r="N13" s="234">
        <f t="shared" si="2"/>
        <v>77.7041860129776</v>
      </c>
      <c r="O13" s="235" cm="1">
        <f t="array" ref="O13">INDEX(Reading_import[1/1/2025],MATCH(1,(Reading_import[Lot]=A13)*(Reading_import[cluster]=$B$1),0))</f>
        <v>76</v>
      </c>
      <c r="P13" s="236" cm="1">
        <f t="array" ref="P13">INDEX(Reading_import[01/04/2025],MATCH(1,(Reading_import[Lot]=A13)*(Reading_import[cluster]=$B$1),0))</f>
        <v>158</v>
      </c>
      <c r="Q13" s="255">
        <f>Table1[[#This Row],[Last day of reporting period: import]]-Table1[[#This Row],[1st day of reporting period: import]]</f>
        <v>82</v>
      </c>
      <c r="R13" s="256">
        <f t="shared" si="3"/>
        <v>0.911111111111111</v>
      </c>
      <c r="S13" s="257">
        <f t="shared" si="4"/>
        <v>0.0105583024309848</v>
      </c>
      <c r="T13" s="258">
        <f>IF(Table1[[#This Row],[Stage of Dev.]]="V",0,233*Table1[[#This Row],[Percentage of Unit Entitlement (%)]])</f>
        <v>15.378</v>
      </c>
      <c r="U13" s="259">
        <f t="shared" si="5"/>
        <v>0.911111111111111</v>
      </c>
      <c r="V13" s="259">
        <f>Table1[[#This Row],[Daily Battery allowance based on UE% (kWh)]]-Table1[[#This Row],[Applicable Battery Allowance Daily Consumption (kWh)]]</f>
        <v>14.4668888888889</v>
      </c>
      <c r="W13" s="260">
        <f>Table1[[#This Row],[Unused Daily Allowance (kWh)]]/$V$30</f>
        <v>0.0972769593871197</v>
      </c>
      <c r="X13" s="259">
        <f>IF(Table1[[#This Row],[Applicable Battery Allowance Daily Consumption (kWh)]]&gt;Table1[[#This Row],[Total Daily Average Consumptio for Billing Period (kWh)]],Table1[[#This Row],[Total Consumption Import  (kWh)]],U13*$N$3)</f>
        <v>82</v>
      </c>
      <c r="Y13" s="275">
        <f>IF(Table1[[#This Row],[Applicable Battery Allowance Daily Consumption (kWh)]]&gt;0,ABS(Q13-X13),0)</f>
        <v>0</v>
      </c>
      <c r="Z13" s="276">
        <f>IFERROR(Table1[[#This Row],[Energy Exceeding Battery Allowance (kWh)]]/$Y$30,0)</f>
        <v>0</v>
      </c>
      <c r="AA13" s="277">
        <f t="shared" si="6"/>
        <v>72.54</v>
      </c>
      <c r="AB13" s="278">
        <f>IFERROR(Table1[[#This Row],[Total Cluster Energy Balance for P2P Trading (kWh)]]*Table1[[#This Row],[Energy Exceeding Battery Allowance %]],0)</f>
        <v>0</v>
      </c>
      <c r="AC13" s="279">
        <f>Table1[[#This Row],[P2P Import Consumption within Battery Allowance(kWh)]]+Table1[[#This Row],[P2P Import Consumption over Battery Allowance based on Energy Exceeding Allowance % (kWh)]]</f>
        <v>82</v>
      </c>
      <c r="AD13" s="279">
        <f>Table1[[#This Row],[Total Consumption Import  (kWh)]]-Table1[[#This Row],[Total P2P import (kWh)]]</f>
        <v>0</v>
      </c>
      <c r="AE13" s="280">
        <f>IFERROR(Table1[[#This Row],[Total P2P import (kWh)]]/$AC$30,0)</f>
        <v>0.0107079383692855</v>
      </c>
      <c r="AF13" s="281">
        <f t="shared" si="7"/>
        <v>1403</v>
      </c>
      <c r="AG13" s="281">
        <f t="shared" si="8"/>
        <v>15.0232375321075</v>
      </c>
      <c r="AH13" s="292">
        <f t="shared" si="9"/>
        <v>697</v>
      </c>
      <c r="AI13" s="292">
        <f>Table1[[#This Row],[Cluster''s Total Common Services (kWh)]]*Table1[[#This Row],[Percentage of Unit Entitlement (%)]]</f>
        <v>46.002</v>
      </c>
      <c r="AJ13" s="293">
        <f>AG13*'Tariff Rates'!$B$3</f>
        <v>3.30511225706365</v>
      </c>
      <c r="AK13" s="293">
        <f>Table1[[#This Row],[Common Services based on Split per Unit Entitlement % to battery (kWh)]]*'Tariff Rates'!$B$3</f>
        <v>10.12044</v>
      </c>
      <c r="AL13" s="294">
        <f>Table1[[#This Row],[Total P2P import (kWh)]]*IF(Table1[[#This Row],[Total Lot Export (kWh)]]=0,'Tariff Rates'!$L$3,'Tariff Rates'!$B$3)</f>
        <v>29.52</v>
      </c>
      <c r="AM13" s="295">
        <f>Table1[[#This Row],[P2P Import Consumption over Battery Allowance based on Energy Exceeding Allowance % (kWh)]]*'Tariff Rates'!$J$3</f>
        <v>0</v>
      </c>
      <c r="AN13" s="296">
        <f>Table1[[#This Row],[Energy Import from Grid (kWh)]]*'Tariff Rates'!$E$3</f>
        <v>0</v>
      </c>
      <c r="AO13" s="316">
        <f t="shared" si="15"/>
        <v>42.9455522570636</v>
      </c>
      <c r="AP13" s="317" cm="1">
        <f t="array" ref="AP13">INDEX(Reading_export[1/1/2025],MATCH(1,(Reading_export[Lot]=A13)*(Reading_export[cluster]=$B$1),0))</f>
        <v>0</v>
      </c>
      <c r="AQ13" s="317" cm="1">
        <f t="array" ref="AQ13">INDEX(Reading_export[01/04/2025],MATCH(1,(Reading_export[Lot]=A13)*(Reading_export[cluster]=$B$1),0))</f>
        <v>0</v>
      </c>
      <c r="AR13" s="318">
        <f>Table1[[#This Row],[Last day of reporting period: export]]-Table1[[#This Row],[1st day of reporting period: export]]</f>
        <v>0</v>
      </c>
      <c r="AS13" s="319">
        <f t="shared" si="10"/>
        <v>0</v>
      </c>
      <c r="AT13" s="320">
        <f>Table1[[#This Row],[Percentage of Total export for Billing Period (%)]]*$AC$30</f>
        <v>0</v>
      </c>
      <c r="AU13" s="320">
        <f t="shared" si="11"/>
        <v>72.54</v>
      </c>
      <c r="AV13" s="321">
        <f>IFERROR(Table1[[#This Row],[Total Cluster Energy Balance for P2P Trading (kWh)2]]*Table1[[#This Row],[Unused Daily Allowance %]],0)</f>
        <v>7.05647063394166</v>
      </c>
      <c r="AW13" s="320">
        <f t="shared" si="12"/>
        <v>0</v>
      </c>
      <c r="AX13" s="321">
        <f>Table1[[#This Row],[Cluster''s Total Common Services (kWh)]]*Table1[[#This Row],[Percentage of Total export for Billing Period (%)]]</f>
        <v>0</v>
      </c>
      <c r="AY13" s="321">
        <f>$Q$25*Table1[[#This Row],[Percentage of Total export for Billing Period (%)]]</f>
        <v>0</v>
      </c>
      <c r="AZ13"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3" s="321">
        <f t="shared" si="13"/>
        <v>0</v>
      </c>
      <c r="BB13" s="321">
        <f>Table1[[#This Row],[Energy Losses When Export to Grid (kWh)]]*Table1[[#This Row],[Percentage of Total export for Billing Period (%)]]</f>
        <v>0</v>
      </c>
      <c r="BC13" s="321">
        <f>Table1[[#This Row],[Therotical Energy Export to Grid (kWh)]]-Table1[[#This Row],[Energy Losses When Export to Grid based up % total export (kWh)]]</f>
        <v>0</v>
      </c>
      <c r="BD13" s="334">
        <f>AW13*'Tariff Rates'!$C$3</f>
        <v>0</v>
      </c>
      <c r="BE13" s="334">
        <f>Table1[[#This Row],[Common Service based upon % total export to battery (kWh)]]*'Tariff Rates'!$C$3</f>
        <v>0</v>
      </c>
      <c r="BF13" s="334">
        <f>Table1[[#This Row],[EV Charger based upon % total export to battery (kWh)]]*'Tariff Rates'!$C$3</f>
        <v>0</v>
      </c>
      <c r="BG13" s="346">
        <f>AT13*'Tariff Rates'!$C$3</f>
        <v>0</v>
      </c>
      <c r="BH13" s="346">
        <f>Table1[[#This Row],[Borrowed Allowance Based on Unused Daily Allowance % (kWh)]]*'Tariff Rates'!$K$3</f>
        <v>-0.141129412678833</v>
      </c>
      <c r="BI13" s="346">
        <f>BC13*'Tariff Rates'!$F$3</f>
        <v>0</v>
      </c>
      <c r="BJ13" s="346">
        <f t="shared" si="19"/>
        <v>-0.141129412678833</v>
      </c>
      <c r="BK13" s="347">
        <f>$D$43*Table1[[#This Row],[Percentage of Unit Entitlement (%)]]</f>
        <v>0</v>
      </c>
      <c r="BL13" s="348">
        <f>BK13*'Tariff Rates'!$H$3</f>
        <v>0</v>
      </c>
      <c r="BM13" s="348">
        <f>($Q$25)*Table1[[#This Row],[Percentage of Unit Entitlement (%)]]*'Tariff Rates'!$B$3</f>
        <v>43.76328</v>
      </c>
      <c r="BN13" s="348">
        <f t="shared" si="16"/>
        <v>43.76328</v>
      </c>
      <c r="BO13" s="348">
        <f t="shared" si="17"/>
        <v>0</v>
      </c>
      <c r="BP13" s="367">
        <f t="shared" si="18"/>
        <v>43.76328</v>
      </c>
      <c r="BQ13" s="368">
        <f t="shared" si="14"/>
        <v>164.271888857362</v>
      </c>
      <c r="BR13" s="375"/>
      <c r="BS13" s="376"/>
      <c r="BT13" s="371">
        <v>9</v>
      </c>
    </row>
    <row r="14" spans="1:72">
      <c r="A14" s="157">
        <v>10</v>
      </c>
      <c r="B14" s="158" t="str" cm="1">
        <f t="array" ref="B14">INDEX(Table_Household_Alloc[Owner],MATCH(1,(Table_Household_Alloc[Lot]=A14)*(Table_Household_Alloc[cluster]=$B$1),0))</f>
        <v>Peter Smith</v>
      </c>
      <c r="C14" s="159" cm="1">
        <f t="array" ref="C14">INDEX(Reading_import[Meter'#],MATCH(1,(Table_Household_Alloc[Lot]=A14)*(Table_Household_Alloc[cluster]=$B$1),0))</f>
        <v>50002952</v>
      </c>
      <c r="D14" s="160" cm="1">
        <f t="array" ref="D14">INDEX(Table_Household_Alloc[UE % over Cluster],MATCH(1,(Table_Household_Alloc[Lot]=A14)*(Table_Household_Alloc[cluster]=$B$1),0))</f>
        <v>0.031</v>
      </c>
      <c r="E14" s="161" t="str" cm="1">
        <f t="array" ref="E14">INDEX(Table_Household_Alloc[Stage of Dev.],MATCH(1,(Table_Household_Alloc[Lot]=A14)*(Table_Household_Alloc[cluster]=$B$1),0))</f>
        <v>O</v>
      </c>
      <c r="F14" s="162" cm="1">
        <f t="array" ref="F14">INDEX(Amanda_energy[Daily_Supply_incl_GST],MATCH(1,(Amanda_energy[Cluster]=$B$1)*(Amanda_energy[Month]=$F$2),0))/MAX($A:$A)</f>
        <v>8.97368421052632</v>
      </c>
      <c r="G14" s="163" cm="1">
        <f t="array" ref="G14">INDEX(Amanda_energy[Daily_Supply_incl_GST],MATCH(1,(Amanda_energy[Cluster]=$B$1)*(Amanda_energy[Month]=$G$2),0))/MAX($A:$A)</f>
        <v>8.10526315789474</v>
      </c>
      <c r="H14" s="163" cm="1">
        <f t="array" ref="H14">INDEX(Amanda_energy[Daily_Supply_incl_GST],MATCH(1,(Amanda_energy[Cluster]=$B$1)*(Amanda_energy[Month]=$H$2),0))/MAX($A:$A)</f>
        <v>8.97368421052632</v>
      </c>
      <c r="I14" s="163">
        <f t="shared" si="1"/>
        <v>3.22684210526316</v>
      </c>
      <c r="J14" s="232">
        <f>'Tariff Rates'!$B$8*$J$3</f>
        <v>13.5616438356164</v>
      </c>
      <c r="K14" s="232">
        <f>'Tariff Rates'!$C$8*Table1[[#This Row],[Percentage of Unit Entitlement (%)]]*'Energy billing Mastersheet_fml'!$K$3</f>
        <v>6.55841095890411</v>
      </c>
      <c r="L14" s="232">
        <f>$L$3*'Tariff Rates'!$D$8*IF(Table1[[#This Row],[Stage of Dev.]]="V",0,1)</f>
        <v>19.8</v>
      </c>
      <c r="M14" s="233">
        <v>1.1</v>
      </c>
      <c r="N14" s="234">
        <f t="shared" si="2"/>
        <v>70.2995284787311</v>
      </c>
      <c r="O14" s="235" cm="1">
        <f t="array" ref="O14">INDEX(Reading_import[1/1/2025],MATCH(1,(Reading_import[Lot]=A14)*(Reading_import[cluster]=$B$1),0))</f>
        <v>6735</v>
      </c>
      <c r="P14" s="236" cm="1">
        <f t="array" ref="P14">INDEX(Reading_import[01/04/2025],MATCH(1,(Reading_import[Lot]=A14)*(Reading_import[cluster]=$B$1),0))</f>
        <v>6989</v>
      </c>
      <c r="Q14" s="255">
        <f>Table1[[#This Row],[Last day of reporting period: import]]-Table1[[#This Row],[1st day of reporting period: import]]</f>
        <v>254</v>
      </c>
      <c r="R14" s="256">
        <f t="shared" si="3"/>
        <v>2.82222222222222</v>
      </c>
      <c r="S14" s="257">
        <f t="shared" si="4"/>
        <v>0.032704985578904</v>
      </c>
      <c r="T14" s="258">
        <f>IF(Table1[[#This Row],[Stage of Dev.]]="V",0,233*Table1[[#This Row],[Percentage of Unit Entitlement (%)]])</f>
        <v>7.223</v>
      </c>
      <c r="U14" s="259">
        <f t="shared" si="5"/>
        <v>2.82222222222222</v>
      </c>
      <c r="V14" s="259">
        <f>Table1[[#This Row],[Daily Battery allowance based on UE% (kWh)]]-Table1[[#This Row],[Applicable Battery Allowance Daily Consumption (kWh)]]</f>
        <v>4.40077777777778</v>
      </c>
      <c r="W14" s="260">
        <f>Table1[[#This Row],[Unused Daily Allowance (kWh)]]/$V$30</f>
        <v>0.0295913160354346</v>
      </c>
      <c r="X14" s="259">
        <f>IF(Table1[[#This Row],[Applicable Battery Allowance Daily Consumption (kWh)]]&gt;Table1[[#This Row],[Total Daily Average Consumptio for Billing Period (kWh)]],Table1[[#This Row],[Total Consumption Import  (kWh)]],U14*$N$3)</f>
        <v>254</v>
      </c>
      <c r="Y14" s="275">
        <f>IF(Table1[[#This Row],[Applicable Battery Allowance Daily Consumption (kWh)]]&gt;0,ABS(Q14-X14),0)</f>
        <v>2.8421709430404e-14</v>
      </c>
      <c r="Z14" s="276">
        <f>IFERROR(Table1[[#This Row],[Energy Exceeding Battery Allowance (kWh)]]/$Y$30,0)</f>
        <v>1.56965314134887e-16</v>
      </c>
      <c r="AA14" s="277">
        <f t="shared" si="6"/>
        <v>72.54</v>
      </c>
      <c r="AB14" s="278">
        <f>IFERROR(Table1[[#This Row],[Total Cluster Energy Balance for P2P Trading (kWh)]]*Table1[[#This Row],[Energy Exceeding Battery Allowance %]],0)</f>
        <v>1.13862638873447e-14</v>
      </c>
      <c r="AC14" s="279">
        <f>Table1[[#This Row],[P2P Import Consumption within Battery Allowance(kWh)]]+Table1[[#This Row],[P2P Import Consumption over Battery Allowance based on Energy Exceeding Allowance % (kWh)]]</f>
        <v>254</v>
      </c>
      <c r="AD14" s="279">
        <f>Table1[[#This Row],[Total Consumption Import  (kWh)]]-Table1[[#This Row],[Total P2P import (kWh)]]</f>
        <v>0</v>
      </c>
      <c r="AE14" s="280">
        <f>IFERROR(Table1[[#This Row],[Total P2P import (kWh)]]/$AC$30,0)</f>
        <v>0.033168492021933</v>
      </c>
      <c r="AF14" s="281">
        <f t="shared" si="7"/>
        <v>1403</v>
      </c>
      <c r="AG14" s="281">
        <f t="shared" si="8"/>
        <v>46.535394306772</v>
      </c>
      <c r="AH14" s="292">
        <f t="shared" si="9"/>
        <v>697</v>
      </c>
      <c r="AI14" s="292">
        <f>Table1[[#This Row],[Cluster''s Total Common Services (kWh)]]*Table1[[#This Row],[Percentage of Unit Entitlement (%)]]</f>
        <v>21.607</v>
      </c>
      <c r="AJ14" s="293">
        <f>AG14*'Tariff Rates'!$B$3</f>
        <v>10.2377867474898</v>
      </c>
      <c r="AK14" s="293">
        <f>Table1[[#This Row],[Common Services based on Split per Unit Entitlement % to battery (kWh)]]*'Tariff Rates'!$B$3</f>
        <v>4.75354</v>
      </c>
      <c r="AL14" s="294">
        <f>Table1[[#This Row],[Total P2P import (kWh)]]*IF(Table1[[#This Row],[Total Lot Export (kWh)]]=0,'Tariff Rates'!$L$3,'Tariff Rates'!$B$3)</f>
        <v>55.88</v>
      </c>
      <c r="AM14" s="295">
        <f>Table1[[#This Row],[P2P Import Consumption over Battery Allowance based on Energy Exceeding Allowance % (kWh)]]*'Tariff Rates'!$J$3</f>
        <v>2.27725277746894e-16</v>
      </c>
      <c r="AN14" s="296">
        <f>Table1[[#This Row],[Energy Import from Grid (kWh)]]*'Tariff Rates'!$E$3</f>
        <v>0</v>
      </c>
      <c r="AO14" s="316">
        <f t="shared" si="15"/>
        <v>70.8713267474898</v>
      </c>
      <c r="AP14" s="317" cm="1">
        <f t="array" ref="AP14">INDEX(Reading_export[1/1/2025],MATCH(1,(Reading_export[Lot]=A14)*(Reading_export[cluster]=$B$1),0))</f>
        <v>10088</v>
      </c>
      <c r="AQ14" s="317" cm="1">
        <f t="array" ref="AQ14">INDEX(Reading_export[01/04/2025],MATCH(1,(Reading_export[Lot]=A14)*(Reading_export[cluster]=$B$1),0))</f>
        <v>12402</v>
      </c>
      <c r="AR14" s="318">
        <f>Table1[[#This Row],[Last day of reporting period: export]]-Table1[[#This Row],[1st day of reporting period: export]]</f>
        <v>2314</v>
      </c>
      <c r="AS14" s="319">
        <f t="shared" si="10"/>
        <v>0.044045232969589</v>
      </c>
      <c r="AT14" s="320">
        <f>Table1[[#This Row],[Percentage of Total export for Billing Period (%)]]*$AC$30</f>
        <v>337.292668200826</v>
      </c>
      <c r="AU14" s="320">
        <f t="shared" si="11"/>
        <v>72.54</v>
      </c>
      <c r="AV14" s="321">
        <f>IFERROR(Table1[[#This Row],[Total Cluster Energy Balance for P2P Trading (kWh)2]]*Table1[[#This Row],[Unused Daily Allowance %]],0)</f>
        <v>2.14655406521042</v>
      </c>
      <c r="AW14" s="320">
        <f t="shared" si="12"/>
        <v>61.7954618563334</v>
      </c>
      <c r="AX14" s="321">
        <f>Table1[[#This Row],[Cluster''s Total Common Services (kWh)]]*Table1[[#This Row],[Percentage of Total export for Billing Period (%)]]</f>
        <v>30.6995273798035</v>
      </c>
      <c r="AY14" s="321">
        <f>$Q$25*Table1[[#This Row],[Percentage of Total export for Billing Period (%)]]</f>
        <v>132.752332170341</v>
      </c>
      <c r="AZ14"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1751.4600103927</v>
      </c>
      <c r="BA14" s="321">
        <f t="shared" si="13"/>
        <v>0</v>
      </c>
      <c r="BB14" s="321">
        <f>Table1[[#This Row],[Energy Losses When Export to Grid (kWh)]]*Table1[[#This Row],[Percentage of Total export for Billing Period (%)]]</f>
        <v>0</v>
      </c>
      <c r="BC14" s="321">
        <f>Table1[[#This Row],[Therotical Energy Export to Grid (kWh)]]-Table1[[#This Row],[Energy Losses When Export to Grid based up % total export (kWh)]]</f>
        <v>1751.4600103927</v>
      </c>
      <c r="BD14" s="334">
        <f>AW14*'Tariff Rates'!$C$3</f>
        <v>-13.5950016083933</v>
      </c>
      <c r="BE14" s="334">
        <f>Table1[[#This Row],[Common Service based upon % total export to battery (kWh)]]*'Tariff Rates'!$C$3</f>
        <v>-6.75389602355678</v>
      </c>
      <c r="BF14" s="334">
        <f>Table1[[#This Row],[EV Charger based upon % total export to battery (kWh)]]*'Tariff Rates'!$C$3</f>
        <v>-29.2055130774751</v>
      </c>
      <c r="BG14" s="346">
        <f>AT14*'Tariff Rates'!$C$3</f>
        <v>-74.2043870041818</v>
      </c>
      <c r="BH14" s="346">
        <f>Table1[[#This Row],[Borrowed Allowance Based on Unused Daily Allowance % (kWh)]]*'Tariff Rates'!$K$3</f>
        <v>-0.0429310813042085</v>
      </c>
      <c r="BI14" s="346">
        <f>BC14*'Tariff Rates'!$F$3</f>
        <v>-67.4312104001188</v>
      </c>
      <c r="BJ14" s="346">
        <f t="shared" si="19"/>
        <v>-191.23293919503</v>
      </c>
      <c r="BK14" s="347">
        <f>$D$43*Table1[[#This Row],[Percentage of Unit Entitlement (%)]]</f>
        <v>0</v>
      </c>
      <c r="BL14" s="348">
        <f>BK14*'Tariff Rates'!$H$3</f>
        <v>0</v>
      </c>
      <c r="BM14" s="348">
        <f>($Q$25)*Table1[[#This Row],[Percentage of Unit Entitlement (%)]]*'Tariff Rates'!$B$3</f>
        <v>20.55548</v>
      </c>
      <c r="BN14" s="348">
        <f t="shared" si="16"/>
        <v>20.55548</v>
      </c>
      <c r="BO14" s="348">
        <f t="shared" si="17"/>
        <v>0</v>
      </c>
      <c r="BP14" s="367">
        <f t="shared" si="18"/>
        <v>20.55548</v>
      </c>
      <c r="BQ14" s="368">
        <f t="shared" si="14"/>
        <v>-29.5066039688091</v>
      </c>
      <c r="BR14" s="375"/>
      <c r="BS14" s="376"/>
      <c r="BT14" s="371">
        <v>10</v>
      </c>
    </row>
    <row r="15" spans="1:72">
      <c r="A15" s="164">
        <v>11</v>
      </c>
      <c r="B15" s="158" t="str" cm="1">
        <f t="array" ref="B15">INDEX(Table_Household_Alloc[Owner],MATCH(1,(Table_Household_Alloc[Lot]=A15)*(Table_Household_Alloc[cluster]=$B$1),0))</f>
        <v>Peter Andre Grant</v>
      </c>
      <c r="C15" s="159" cm="1">
        <f t="array" ref="C15">INDEX(Reading_import[Meter'#],MATCH(1,(Table_Household_Alloc[Lot]=A15)*(Table_Household_Alloc[cluster]=$B$1),0))</f>
        <v>50002944</v>
      </c>
      <c r="D15" s="160" cm="1">
        <f t="array" ref="D15">INDEX(Table_Household_Alloc[UE % over Cluster],MATCH(1,(Table_Household_Alloc[Lot]=A15)*(Table_Household_Alloc[cluster]=$B$1),0))</f>
        <v>0.031</v>
      </c>
      <c r="E15" s="161" t="str" cm="1">
        <f t="array" ref="E15">INDEX(Table_Household_Alloc[Stage of Dev.],MATCH(1,(Table_Household_Alloc[Lot]=A15)*(Table_Household_Alloc[cluster]=$B$1),0))</f>
        <v>UC/M/ND</v>
      </c>
      <c r="F15" s="162" cm="1">
        <f t="array" ref="F15">INDEX(Amanda_energy[Daily_Supply_incl_GST],MATCH(1,(Amanda_energy[Cluster]=$B$1)*(Amanda_energy[Month]=$F$2),0))/MAX($A:$A)</f>
        <v>8.97368421052632</v>
      </c>
      <c r="G15" s="163" cm="1">
        <f t="array" ref="G15">INDEX(Amanda_energy[Daily_Supply_incl_GST],MATCH(1,(Amanda_energy[Cluster]=$B$1)*(Amanda_energy[Month]=$G$2),0))/MAX($A:$A)</f>
        <v>8.10526315789474</v>
      </c>
      <c r="H15" s="163" cm="1">
        <f t="array" ref="H15">INDEX(Amanda_energy[Daily_Supply_incl_GST],MATCH(1,(Amanda_energy[Cluster]=$B$1)*(Amanda_energy[Month]=$H$2),0))/MAX($A:$A)</f>
        <v>8.97368421052632</v>
      </c>
      <c r="I15" s="163">
        <f t="shared" si="1"/>
        <v>3.22684210526316</v>
      </c>
      <c r="J15" s="232">
        <f>'Tariff Rates'!$B$8*$J$3</f>
        <v>13.5616438356164</v>
      </c>
      <c r="K15" s="232">
        <f>'Tariff Rates'!$C$8*Table1[[#This Row],[Percentage of Unit Entitlement (%)]]*'Energy billing Mastersheet_fml'!$K$3</f>
        <v>6.55841095890411</v>
      </c>
      <c r="L15" s="232">
        <f>$L$3*'Tariff Rates'!$D$8*IF(Table1[[#This Row],[Stage of Dev.]]="V",0,1)</f>
        <v>19.8</v>
      </c>
      <c r="M15" s="233">
        <v>1.1</v>
      </c>
      <c r="N15" s="234">
        <f t="shared" si="2"/>
        <v>70.2995284787311</v>
      </c>
      <c r="O15" s="235" cm="1">
        <f t="array" ref="O15">INDEX(Reading_import[1/1/2025],MATCH(1,(Reading_import[Lot]=A15)*(Reading_import[cluster]=$B$1),0))</f>
        <v>36</v>
      </c>
      <c r="P15" s="236" cm="1">
        <f t="array" ref="P15">INDEX(Reading_import[01/04/2025],MATCH(1,(Reading_import[Lot]=A15)*(Reading_import[cluster]=$B$1),0))</f>
        <v>149</v>
      </c>
      <c r="Q15" s="255">
        <f>Table1[[#This Row],[Last day of reporting period: import]]-Table1[[#This Row],[1st day of reporting period: import]]</f>
        <v>113</v>
      </c>
      <c r="R15" s="256">
        <f t="shared" si="3"/>
        <v>1.25555555555556</v>
      </c>
      <c r="S15" s="257">
        <f t="shared" si="4"/>
        <v>0.01454985578904</v>
      </c>
      <c r="T15" s="258">
        <f>IF(Table1[[#This Row],[Stage of Dev.]]="V",0,233*Table1[[#This Row],[Percentage of Unit Entitlement (%)]])</f>
        <v>7.223</v>
      </c>
      <c r="U15" s="259">
        <f t="shared" si="5"/>
        <v>1.25555555555556</v>
      </c>
      <c r="V15" s="259">
        <f>Table1[[#This Row],[Daily Battery allowance based on UE% (kWh)]]-Table1[[#This Row],[Applicable Battery Allowance Daily Consumption (kWh)]]</f>
        <v>5.96744444444444</v>
      </c>
      <c r="W15" s="260">
        <f>Table1[[#This Row],[Unused Daily Allowance (kWh)]]/$V$30</f>
        <v>0.0401257558086976</v>
      </c>
      <c r="X15" s="259">
        <f>IF(Table1[[#This Row],[Applicable Battery Allowance Daily Consumption (kWh)]]&gt;Table1[[#This Row],[Total Daily Average Consumptio for Billing Period (kWh)]],Table1[[#This Row],[Total Consumption Import  (kWh)]],U15*$N$3)</f>
        <v>113</v>
      </c>
      <c r="Y15" s="275">
        <f>IF(Table1[[#This Row],[Applicable Battery Allowance Daily Consumption (kWh)]]&gt;0,ABS(Q15-X15),0)</f>
        <v>0</v>
      </c>
      <c r="Z15" s="276">
        <f>IFERROR(Table1[[#This Row],[Energy Exceeding Battery Allowance (kWh)]]/$Y$30,0)</f>
        <v>0</v>
      </c>
      <c r="AA15" s="277">
        <f t="shared" si="6"/>
        <v>72.54</v>
      </c>
      <c r="AB15" s="278">
        <f>IFERROR(Table1[[#This Row],[Total Cluster Energy Balance for P2P Trading (kWh)]]*Table1[[#This Row],[Energy Exceeding Battery Allowance %]],0)</f>
        <v>0</v>
      </c>
      <c r="AC15" s="279">
        <f>Table1[[#This Row],[P2P Import Consumption within Battery Allowance(kWh)]]+Table1[[#This Row],[P2P Import Consumption over Battery Allowance based on Energy Exceeding Allowance % (kWh)]]</f>
        <v>113</v>
      </c>
      <c r="AD15" s="279">
        <f>Table1[[#This Row],[Total Consumption Import  (kWh)]]-Table1[[#This Row],[Total P2P import (kWh)]]</f>
        <v>0</v>
      </c>
      <c r="AE15" s="280">
        <f>IFERROR(Table1[[#This Row],[Total P2P import (kWh)]]/$AC$30,0)</f>
        <v>0.0147560614113324</v>
      </c>
      <c r="AF15" s="281">
        <f t="shared" si="7"/>
        <v>1403</v>
      </c>
      <c r="AG15" s="281">
        <f t="shared" si="8"/>
        <v>20.7027541600993</v>
      </c>
      <c r="AH15" s="292">
        <f t="shared" si="9"/>
        <v>697</v>
      </c>
      <c r="AI15" s="292">
        <f>Table1[[#This Row],[Cluster''s Total Common Services (kWh)]]*Table1[[#This Row],[Percentage of Unit Entitlement (%)]]</f>
        <v>21.607</v>
      </c>
      <c r="AJ15" s="293">
        <f>AG15*'Tariff Rates'!$B$3</f>
        <v>4.55460591522186</v>
      </c>
      <c r="AK15" s="293">
        <f>Table1[[#This Row],[Common Services based on Split per Unit Entitlement % to battery (kWh)]]*'Tariff Rates'!$B$3</f>
        <v>4.75354</v>
      </c>
      <c r="AL15" s="294">
        <f>Table1[[#This Row],[Total P2P import (kWh)]]*IF(Table1[[#This Row],[Total Lot Export (kWh)]]=0,'Tariff Rates'!$L$3,'Tariff Rates'!$B$3)</f>
        <v>40.68</v>
      </c>
      <c r="AM15" s="295">
        <f>Table1[[#This Row],[P2P Import Consumption over Battery Allowance based on Energy Exceeding Allowance % (kWh)]]*'Tariff Rates'!$J$3</f>
        <v>0</v>
      </c>
      <c r="AN15" s="296">
        <f>Table1[[#This Row],[Energy Import from Grid (kWh)]]*'Tariff Rates'!$E$3</f>
        <v>0</v>
      </c>
      <c r="AO15" s="316">
        <f t="shared" si="15"/>
        <v>49.9881459152219</v>
      </c>
      <c r="AP15" s="317" cm="1">
        <f t="array" ref="AP15">INDEX(Reading_export[1/1/2025],MATCH(1,(Reading_export[Lot]=A15)*(Reading_export[cluster]=$B$1),0))</f>
        <v>0</v>
      </c>
      <c r="AQ15" s="317" cm="1">
        <f t="array" ref="AQ15">INDEX(Reading_export[01/04/2025],MATCH(1,(Reading_export[Lot]=A15)*(Reading_export[cluster]=$B$1),0))</f>
        <v>0</v>
      </c>
      <c r="AR15" s="318">
        <f>Table1[[#This Row],[Last day of reporting period: export]]-Table1[[#This Row],[1st day of reporting period: export]]</f>
        <v>0</v>
      </c>
      <c r="AS15" s="319">
        <f t="shared" si="10"/>
        <v>0</v>
      </c>
      <c r="AT15" s="320">
        <f>Table1[[#This Row],[Percentage of Total export for Billing Period (%)]]*$AC$30</f>
        <v>0</v>
      </c>
      <c r="AU15" s="320">
        <f t="shared" si="11"/>
        <v>72.54</v>
      </c>
      <c r="AV15" s="321">
        <f>IFERROR(Table1[[#This Row],[Total Cluster Energy Balance for P2P Trading (kWh)2]]*Table1[[#This Row],[Unused Daily Allowance %]],0)</f>
        <v>2.91072232636292</v>
      </c>
      <c r="AW15" s="320">
        <f t="shared" si="12"/>
        <v>0</v>
      </c>
      <c r="AX15" s="321">
        <f>Table1[[#This Row],[Cluster''s Total Common Services (kWh)]]*Table1[[#This Row],[Percentage of Total export for Billing Period (%)]]</f>
        <v>0</v>
      </c>
      <c r="AY15" s="321">
        <f>$Q$25*Table1[[#This Row],[Percentage of Total export for Billing Period (%)]]</f>
        <v>0</v>
      </c>
      <c r="AZ15"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15" s="321">
        <f t="shared" si="13"/>
        <v>0</v>
      </c>
      <c r="BB15" s="321">
        <f>Table1[[#This Row],[Energy Losses When Export to Grid (kWh)]]*Table1[[#This Row],[Percentage of Total export for Billing Period (%)]]</f>
        <v>0</v>
      </c>
      <c r="BC15" s="321">
        <f>Table1[[#This Row],[Therotical Energy Export to Grid (kWh)]]-Table1[[#This Row],[Energy Losses When Export to Grid based up % total export (kWh)]]</f>
        <v>0</v>
      </c>
      <c r="BD15" s="334">
        <f>AW15*'Tariff Rates'!$C$3</f>
        <v>0</v>
      </c>
      <c r="BE15" s="334">
        <f>Table1[[#This Row],[Common Service based upon % total export to battery (kWh)]]*'Tariff Rates'!$C$3</f>
        <v>0</v>
      </c>
      <c r="BF15" s="334">
        <f>Table1[[#This Row],[EV Charger based upon % total export to battery (kWh)]]*'Tariff Rates'!$C$3</f>
        <v>0</v>
      </c>
      <c r="BG15" s="346">
        <f>AT15*'Tariff Rates'!$C$3</f>
        <v>0</v>
      </c>
      <c r="BH15" s="346">
        <f>Table1[[#This Row],[Borrowed Allowance Based on Unused Daily Allowance % (kWh)]]*'Tariff Rates'!$K$3</f>
        <v>-0.0582144465272584</v>
      </c>
      <c r="BI15" s="346">
        <f>BC15*'Tariff Rates'!$F$3</f>
        <v>0</v>
      </c>
      <c r="BJ15" s="346">
        <f t="shared" si="19"/>
        <v>-0.0582144465272584</v>
      </c>
      <c r="BK15" s="347">
        <f>$D$43*Table1[[#This Row],[Percentage of Unit Entitlement (%)]]</f>
        <v>0</v>
      </c>
      <c r="BL15" s="348">
        <f>BK15*'Tariff Rates'!$H$3</f>
        <v>0</v>
      </c>
      <c r="BM15" s="348">
        <f>($Q$25)*Table1[[#This Row],[Percentage of Unit Entitlement (%)]]*'Tariff Rates'!$B$3</f>
        <v>20.55548</v>
      </c>
      <c r="BN15" s="348">
        <f t="shared" si="16"/>
        <v>20.55548</v>
      </c>
      <c r="BO15" s="348">
        <f t="shared" si="17"/>
        <v>0</v>
      </c>
      <c r="BP15" s="367">
        <f t="shared" si="18"/>
        <v>20.55548</v>
      </c>
      <c r="BQ15" s="368">
        <f t="shared" si="14"/>
        <v>140.784939947426</v>
      </c>
      <c r="BR15" s="372"/>
      <c r="BS15" s="373"/>
      <c r="BT15" s="374">
        <v>11</v>
      </c>
    </row>
    <row r="16" spans="1:72">
      <c r="A16" s="157">
        <v>12</v>
      </c>
      <c r="B16" s="158" t="str" cm="1">
        <f t="array" ref="B16">INDEX(Table_Household_Alloc[Owner],MATCH(1,(Table_Household_Alloc[Lot]=A16)*(Table_Household_Alloc[cluster]=$B$1),0))</f>
        <v>Sandra Handy</v>
      </c>
      <c r="C16" s="159" cm="1">
        <f t="array" ref="C16">INDEX(Reading_import[Meter'#],MATCH(1,(Table_Household_Alloc[Lot]=A16)*(Table_Household_Alloc[cluster]=$B$1),0))</f>
        <v>3308026898</v>
      </c>
      <c r="D16" s="160" cm="1">
        <f t="array" ref="D16">INDEX(Table_Household_Alloc[UE % over Cluster],MATCH(1,(Table_Household_Alloc[Lot]=A16)*(Table_Household_Alloc[cluster]=$B$1),0))</f>
        <v>0.031</v>
      </c>
      <c r="E16" s="161" t="str" cm="1">
        <f t="array" ref="E16">INDEX(Table_Household_Alloc[Stage of Dev.],MATCH(1,(Table_Household_Alloc[Lot]=A16)*(Table_Household_Alloc[cluster]=$B$1),0))</f>
        <v>O</v>
      </c>
      <c r="F16" s="162" cm="1">
        <f t="array" ref="F16">INDEX(Amanda_energy[Daily_Supply_incl_GST],MATCH(1,(Amanda_energy[Cluster]=$B$1)*(Amanda_energy[Month]=$F$2),0))/MAX($A:$A)</f>
        <v>8.97368421052632</v>
      </c>
      <c r="G16" s="163" cm="1">
        <f t="array" ref="G16">INDEX(Amanda_energy[Daily_Supply_incl_GST],MATCH(1,(Amanda_energy[Cluster]=$B$1)*(Amanda_energy[Month]=$G$2),0))/MAX($A:$A)</f>
        <v>8.10526315789474</v>
      </c>
      <c r="H16" s="163" cm="1">
        <f t="array" ref="H16">INDEX(Amanda_energy[Daily_Supply_incl_GST],MATCH(1,(Amanda_energy[Cluster]=$B$1)*(Amanda_energy[Month]=$H$2),0))/MAX($A:$A)</f>
        <v>8.97368421052632</v>
      </c>
      <c r="I16" s="163">
        <f t="shared" si="1"/>
        <v>3.22684210526316</v>
      </c>
      <c r="J16" s="232">
        <f>'Tariff Rates'!$B$8*$J$3</f>
        <v>13.5616438356164</v>
      </c>
      <c r="K16" s="232">
        <f>'Tariff Rates'!$C$8*Table1[[#This Row],[Percentage of Unit Entitlement (%)]]*'Energy billing Mastersheet_fml'!$K$3</f>
        <v>6.55841095890411</v>
      </c>
      <c r="L16" s="232">
        <f>$L$3*'Tariff Rates'!$D$8*IF(Table1[[#This Row],[Stage of Dev.]]="V",0,1)</f>
        <v>19.8</v>
      </c>
      <c r="M16" s="233">
        <v>1.1</v>
      </c>
      <c r="N16" s="234">
        <f t="shared" si="2"/>
        <v>70.2995284787311</v>
      </c>
      <c r="O16" s="235" cm="1">
        <f t="array" ref="O16">INDEX(Reading_import[1/1/2025],MATCH(1,(Reading_import[Lot]=A16)*(Reading_import[cluster]=$B$1),0))</f>
        <v>1704.76</v>
      </c>
      <c r="P16" s="236" cm="1">
        <f t="array" ref="P16">INDEX(Reading_import[01/04/2025],MATCH(1,(Reading_import[Lot]=A16)*(Reading_import[cluster]=$B$1),0))</f>
        <v>1900.16</v>
      </c>
      <c r="Q16" s="255">
        <f>Table1[[#This Row],[Last day of reporting period: import]]-Table1[[#This Row],[1st day of reporting period: import]]</f>
        <v>195.4</v>
      </c>
      <c r="R16" s="256">
        <f t="shared" si="3"/>
        <v>2.17111111111111</v>
      </c>
      <c r="S16" s="257">
        <f t="shared" si="4"/>
        <v>0.0251596621343222</v>
      </c>
      <c r="T16" s="258">
        <f>IF(Table1[[#This Row],[Stage of Dev.]]="V",0,233*Table1[[#This Row],[Percentage of Unit Entitlement (%)]])</f>
        <v>7.223</v>
      </c>
      <c r="U16" s="259">
        <f t="shared" si="5"/>
        <v>2.17111111111111</v>
      </c>
      <c r="V16" s="259">
        <f>Table1[[#This Row],[Daily Battery allowance based on UE% (kWh)]]-Table1[[#This Row],[Applicable Battery Allowance Daily Consumption (kWh)]]</f>
        <v>5.05188888888889</v>
      </c>
      <c r="W16" s="260">
        <f>Table1[[#This Row],[Unused Daily Allowance (kWh)]]/$V$30</f>
        <v>0.0339694590901382</v>
      </c>
      <c r="X16" s="259">
        <f>IF(Table1[[#This Row],[Applicable Battery Allowance Daily Consumption (kWh)]]&gt;Table1[[#This Row],[Total Daily Average Consumptio for Billing Period (kWh)]],Table1[[#This Row],[Total Consumption Import  (kWh)]],U16*$N$3)</f>
        <v>195.4</v>
      </c>
      <c r="Y16" s="275">
        <f>IF(Table1[[#This Row],[Applicable Battery Allowance Daily Consumption (kWh)]]&gt;0,ABS(Q16-X16),0)</f>
        <v>0</v>
      </c>
      <c r="Z16" s="276">
        <f>IFERROR(Table1[[#This Row],[Energy Exceeding Battery Allowance (kWh)]]/$Y$30,0)</f>
        <v>0</v>
      </c>
      <c r="AA16" s="277">
        <f t="shared" si="6"/>
        <v>72.54</v>
      </c>
      <c r="AB16" s="278">
        <f>IFERROR(Table1[[#This Row],[Total Cluster Energy Balance for P2P Trading (kWh)]]*Table1[[#This Row],[Energy Exceeding Battery Allowance %]],0)</f>
        <v>0</v>
      </c>
      <c r="AC16" s="279">
        <f>Table1[[#This Row],[P2P Import Consumption within Battery Allowance(kWh)]]+Table1[[#This Row],[P2P Import Consumption over Battery Allowance based on Energy Exceeding Allowance % (kWh)]]</f>
        <v>195.4</v>
      </c>
      <c r="AD16" s="279">
        <f>Table1[[#This Row],[Total Consumption Import  (kWh)]]-Table1[[#This Row],[Total P2P import (kWh)]]</f>
        <v>0</v>
      </c>
      <c r="AE16" s="280">
        <f>IFERROR(Table1[[#This Row],[Total P2P import (kWh)]]/$AC$30,0)</f>
        <v>0.0255162336263217</v>
      </c>
      <c r="AF16" s="281">
        <f t="shared" si="7"/>
        <v>1403</v>
      </c>
      <c r="AG16" s="281">
        <f t="shared" si="8"/>
        <v>35.7992757777293</v>
      </c>
      <c r="AH16" s="292">
        <f t="shared" si="9"/>
        <v>697</v>
      </c>
      <c r="AI16" s="292">
        <f>Table1[[#This Row],[Cluster''s Total Common Services (kWh)]]*Table1[[#This Row],[Percentage of Unit Entitlement (%)]]</f>
        <v>21.607</v>
      </c>
      <c r="AJ16" s="293">
        <f>AG16*'Tariff Rates'!$B$3</f>
        <v>7.87584067110045</v>
      </c>
      <c r="AK16" s="293">
        <f>Table1[[#This Row],[Common Services based on Split per Unit Entitlement % to battery (kWh)]]*'Tariff Rates'!$B$3</f>
        <v>4.75354</v>
      </c>
      <c r="AL16" s="294">
        <f>Table1[[#This Row],[Total P2P import (kWh)]]*IF(Table1[[#This Row],[Total Lot Export (kWh)]]=0,'Tariff Rates'!$L$3,'Tariff Rates'!$B$3)</f>
        <v>42.988</v>
      </c>
      <c r="AM16" s="295">
        <f>Table1[[#This Row],[P2P Import Consumption over Battery Allowance based on Energy Exceeding Allowance % (kWh)]]*'Tariff Rates'!$J$3</f>
        <v>0</v>
      </c>
      <c r="AN16" s="296">
        <f>Table1[[#This Row],[Energy Import from Grid (kWh)]]*'Tariff Rates'!$E$3</f>
        <v>0</v>
      </c>
      <c r="AO16" s="316">
        <f t="shared" si="15"/>
        <v>55.6173806711005</v>
      </c>
      <c r="AP16" s="317" cm="1">
        <f t="array" ref="AP16">INDEX(Reading_export[1/1/2025],MATCH(1,(Reading_export[Lot]=A16)*(Reading_export[cluster]=$B$1),0))</f>
        <v>3279.89</v>
      </c>
      <c r="AQ16" s="317" cm="1">
        <f t="array" ref="AQ16">INDEX(Reading_export[01/04/2025],MATCH(1,(Reading_export[Lot]=A16)*(Reading_export[cluster]=$B$1),0))</f>
        <v>5683.79</v>
      </c>
      <c r="AR16" s="318">
        <f>Table1[[#This Row],[Last day of reporting period: export]]-Table1[[#This Row],[1st day of reporting period: export]]</f>
        <v>2403.9</v>
      </c>
      <c r="AS16" s="319">
        <f t="shared" si="10"/>
        <v>0.0457564112081223</v>
      </c>
      <c r="AT16" s="320">
        <f>Table1[[#This Row],[Percentage of Total export for Billing Period (%)]]*$AC$30</f>
        <v>350.396648698343</v>
      </c>
      <c r="AU16" s="320">
        <f t="shared" si="11"/>
        <v>72.54</v>
      </c>
      <c r="AV16" s="321">
        <f>IFERROR(Table1[[#This Row],[Total Cluster Energy Balance for P2P Trading (kWh)2]]*Table1[[#This Row],[Unused Daily Allowance %]],0)</f>
        <v>2.46414456239862</v>
      </c>
      <c r="AW16" s="320">
        <f t="shared" si="12"/>
        <v>64.1962449249956</v>
      </c>
      <c r="AX16" s="321">
        <f>Table1[[#This Row],[Cluster''s Total Common Services (kWh)]]*Table1[[#This Row],[Percentage of Total export for Billing Period (%)]]</f>
        <v>31.8922186120612</v>
      </c>
      <c r="AY16" s="321">
        <f>$Q$25*Table1[[#This Row],[Percentage of Total export for Billing Period (%)]]</f>
        <v>137.909823381281</v>
      </c>
      <c r="AZ16"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1819.50506438332</v>
      </c>
      <c r="BA16" s="321">
        <f t="shared" si="13"/>
        <v>0</v>
      </c>
      <c r="BB16" s="321">
        <f>Table1[[#This Row],[Energy Losses When Export to Grid (kWh)]]*Table1[[#This Row],[Percentage of Total export for Billing Period (%)]]</f>
        <v>0</v>
      </c>
      <c r="BC16" s="321">
        <f>Table1[[#This Row],[Therotical Energy Export to Grid (kWh)]]-Table1[[#This Row],[Energy Losses When Export to Grid based up % total export (kWh)]]</f>
        <v>1819.50506438332</v>
      </c>
      <c r="BD16" s="334">
        <f>AW16*'Tariff Rates'!$C$3</f>
        <v>-14.123173883499</v>
      </c>
      <c r="BE16" s="334">
        <f>Table1[[#This Row],[Common Service based upon % total export to battery (kWh)]]*'Tariff Rates'!$C$3</f>
        <v>-7.01628809465347</v>
      </c>
      <c r="BF16" s="334">
        <f>Table1[[#This Row],[EV Charger based upon % total export to battery (kWh)]]*'Tariff Rates'!$C$3</f>
        <v>-30.3401611438817</v>
      </c>
      <c r="BG16" s="346">
        <f>AT16*'Tariff Rates'!$C$3</f>
        <v>-77.0872627136356</v>
      </c>
      <c r="BH16" s="346">
        <f>Table1[[#This Row],[Borrowed Allowance Based on Unused Daily Allowance % (kWh)]]*'Tariff Rates'!$K$3</f>
        <v>-0.0492828912479725</v>
      </c>
      <c r="BI16" s="346">
        <f>BC16*'Tariff Rates'!$F$3</f>
        <v>-70.0509449787578</v>
      </c>
      <c r="BJ16" s="346">
        <f t="shared" si="19"/>
        <v>-198.667113705676</v>
      </c>
      <c r="BK16" s="347">
        <f>$D$43*Table1[[#This Row],[Percentage of Unit Entitlement (%)]]</f>
        <v>0</v>
      </c>
      <c r="BL16" s="348">
        <f>BK16*'Tariff Rates'!$H$3</f>
        <v>0</v>
      </c>
      <c r="BM16" s="348">
        <f>($Q$25)*Table1[[#This Row],[Percentage of Unit Entitlement (%)]]*'Tariff Rates'!$B$3</f>
        <v>20.55548</v>
      </c>
      <c r="BN16" s="348">
        <f t="shared" si="16"/>
        <v>20.55548</v>
      </c>
      <c r="BO16" s="348">
        <f t="shared" si="17"/>
        <v>0</v>
      </c>
      <c r="BP16" s="367">
        <f t="shared" si="18"/>
        <v>20.55548</v>
      </c>
      <c r="BQ16" s="368">
        <f t="shared" si="14"/>
        <v>-52.194724555844</v>
      </c>
      <c r="BR16" s="375"/>
      <c r="BS16" s="376"/>
      <c r="BT16" s="371">
        <v>12</v>
      </c>
    </row>
    <row r="17" spans="1:72">
      <c r="A17" s="164">
        <v>13</v>
      </c>
      <c r="B17" s="158" t="str" cm="1">
        <f t="array" ref="B17">INDEX(Table_Household_Alloc[Owner],MATCH(1,(Table_Household_Alloc[Lot]=A17)*(Table_Household_Alloc[cluster]=$B$1),0))</f>
        <v>Miles Durand</v>
      </c>
      <c r="C17" s="159" cm="1">
        <f t="array" ref="C17">INDEX(Reading_import[Meter'#],MATCH(1,(Table_Household_Alloc[Lot]=A17)*(Table_Household_Alloc[cluster]=$B$1),0))</f>
        <v>50003424</v>
      </c>
      <c r="D17" s="160" cm="1">
        <f t="array" ref="D17">INDEX(Table_Household_Alloc[UE % over Cluster],MATCH(1,(Table_Household_Alloc[Lot]=A17)*(Table_Household_Alloc[cluster]=$B$1),0))</f>
        <v>0.031</v>
      </c>
      <c r="E17" s="161" t="str" cm="1">
        <f t="array" ref="E17">INDEX(Table_Household_Alloc[Stage of Dev.],MATCH(1,(Table_Household_Alloc[Lot]=A17)*(Table_Household_Alloc[cluster]=$B$1),0))</f>
        <v>O</v>
      </c>
      <c r="F17" s="162" cm="1">
        <f t="array" ref="F17">INDEX(Amanda_energy[Daily_Supply_incl_GST],MATCH(1,(Amanda_energy[Cluster]=$B$1)*(Amanda_energy[Month]=$F$2),0))/MAX($A:$A)</f>
        <v>8.97368421052632</v>
      </c>
      <c r="G17" s="163" cm="1">
        <f t="array" ref="G17">INDEX(Amanda_energy[Daily_Supply_incl_GST],MATCH(1,(Amanda_energy[Cluster]=$B$1)*(Amanda_energy[Month]=$G$2),0))/MAX($A:$A)</f>
        <v>8.10526315789474</v>
      </c>
      <c r="H17" s="163" cm="1">
        <f t="array" ref="H17">INDEX(Amanda_energy[Daily_Supply_incl_GST],MATCH(1,(Amanda_energy[Cluster]=$B$1)*(Amanda_energy[Month]=$H$2),0))/MAX($A:$A)</f>
        <v>8.97368421052632</v>
      </c>
      <c r="I17" s="163">
        <f t="shared" si="1"/>
        <v>3.22684210526316</v>
      </c>
      <c r="J17" s="232">
        <f>'Tariff Rates'!$B$8*$J$3</f>
        <v>13.5616438356164</v>
      </c>
      <c r="K17" s="232">
        <f>'Tariff Rates'!$C$8*Table1[[#This Row],[Percentage of Unit Entitlement (%)]]*'Energy billing Mastersheet_fml'!$K$3</f>
        <v>6.55841095890411</v>
      </c>
      <c r="L17" s="232">
        <f>$L$3*'Tariff Rates'!$D$8*IF(Table1[[#This Row],[Stage of Dev.]]="V",0,1)</f>
        <v>19.8</v>
      </c>
      <c r="M17" s="233">
        <v>1.1</v>
      </c>
      <c r="N17" s="234">
        <f t="shared" si="2"/>
        <v>70.2995284787311</v>
      </c>
      <c r="O17" s="235" cm="1">
        <f t="array" ref="O17">INDEX(Reading_import[1/1/2025],MATCH(1,(Reading_import[Lot]=A17)*(Reading_import[cluster]=$B$1),0))</f>
        <v>6030</v>
      </c>
      <c r="P17" s="236" cm="1">
        <f t="array" ref="P17">INDEX(Reading_import[01/04/2025],MATCH(1,(Reading_import[Lot]=A17)*(Reading_import[cluster]=$B$1),0))</f>
        <v>6221</v>
      </c>
      <c r="Q17" s="255">
        <f>Table1[[#This Row],[Last day of reporting period: import]]-Table1[[#This Row],[1st day of reporting period: import]]</f>
        <v>191</v>
      </c>
      <c r="R17" s="256">
        <f t="shared" si="3"/>
        <v>2.12222222222222</v>
      </c>
      <c r="S17" s="257">
        <f t="shared" si="4"/>
        <v>0.0245931190770499</v>
      </c>
      <c r="T17" s="258">
        <f>IF(Table1[[#This Row],[Stage of Dev.]]="V",0,233*Table1[[#This Row],[Percentage of Unit Entitlement (%)]])</f>
        <v>7.223</v>
      </c>
      <c r="U17" s="259">
        <f t="shared" si="5"/>
        <v>2.12222222222222</v>
      </c>
      <c r="V17" s="259">
        <f>Table1[[#This Row],[Daily Battery allowance based on UE% (kWh)]]-Table1[[#This Row],[Applicable Battery Allowance Daily Consumption (kWh)]]</f>
        <v>5.10077777777778</v>
      </c>
      <c r="W17" s="260">
        <f>Table1[[#This Row],[Unused Daily Allowance (kWh)]]/$V$30</f>
        <v>0.0342981933809351</v>
      </c>
      <c r="X17" s="259">
        <f>IF(Table1[[#This Row],[Applicable Battery Allowance Daily Consumption (kWh)]]&gt;Table1[[#This Row],[Total Daily Average Consumptio for Billing Period (kWh)]],Table1[[#This Row],[Total Consumption Import  (kWh)]],U17*$N$3)</f>
        <v>191</v>
      </c>
      <c r="Y17" s="275">
        <f>IF(Table1[[#This Row],[Applicable Battery Allowance Daily Consumption (kWh)]]&gt;0,ABS(Q17-X17),0)</f>
        <v>0</v>
      </c>
      <c r="Z17" s="276">
        <f>IFERROR(Table1[[#This Row],[Energy Exceeding Battery Allowance (kWh)]]/$Y$30,0)</f>
        <v>0</v>
      </c>
      <c r="AA17" s="277">
        <f t="shared" si="6"/>
        <v>72.54</v>
      </c>
      <c r="AB17" s="278">
        <f>IFERROR(Table1[[#This Row],[Total Cluster Energy Balance for P2P Trading (kWh)]]*Table1[[#This Row],[Energy Exceeding Battery Allowance %]],0)</f>
        <v>0</v>
      </c>
      <c r="AC17" s="279">
        <f>Table1[[#This Row],[P2P Import Consumption within Battery Allowance(kWh)]]+Table1[[#This Row],[P2P Import Consumption over Battery Allowance based on Energy Exceeding Allowance % (kWh)]]</f>
        <v>191</v>
      </c>
      <c r="AD17" s="279">
        <f>Table1[[#This Row],[Total Consumption Import  (kWh)]]-Table1[[#This Row],[Total P2P import (kWh)]]</f>
        <v>0</v>
      </c>
      <c r="AE17" s="280">
        <f>IFERROR(Table1[[#This Row],[Total P2P import (kWh)]]/$AC$30,0)</f>
        <v>0.0249416613235795</v>
      </c>
      <c r="AF17" s="281">
        <f t="shared" si="7"/>
        <v>1403</v>
      </c>
      <c r="AG17" s="281">
        <f t="shared" si="8"/>
        <v>34.9931508369821</v>
      </c>
      <c r="AH17" s="292">
        <f t="shared" si="9"/>
        <v>697</v>
      </c>
      <c r="AI17" s="292">
        <f>Table1[[#This Row],[Cluster''s Total Common Services (kWh)]]*Table1[[#This Row],[Percentage of Unit Entitlement (%)]]</f>
        <v>21.607</v>
      </c>
      <c r="AJ17" s="293">
        <f>AG17*'Tariff Rates'!$B$3</f>
        <v>7.69849318413606</v>
      </c>
      <c r="AK17" s="293">
        <f>Table1[[#This Row],[Common Services based on Split per Unit Entitlement % to battery (kWh)]]*'Tariff Rates'!$B$3</f>
        <v>4.75354</v>
      </c>
      <c r="AL17" s="294">
        <f>Table1[[#This Row],[Total P2P import (kWh)]]*IF(Table1[[#This Row],[Total Lot Export (kWh)]]=0,'Tariff Rates'!$L$3,'Tariff Rates'!$B$3)</f>
        <v>42.02</v>
      </c>
      <c r="AM17" s="295">
        <f>Table1[[#This Row],[P2P Import Consumption over Battery Allowance based on Energy Exceeding Allowance % (kWh)]]*'Tariff Rates'!$J$3</f>
        <v>0</v>
      </c>
      <c r="AN17" s="296">
        <f>Table1[[#This Row],[Energy Import from Grid (kWh)]]*'Tariff Rates'!$E$3</f>
        <v>0</v>
      </c>
      <c r="AO17" s="316">
        <f t="shared" si="15"/>
        <v>54.4720331841361</v>
      </c>
      <c r="AP17" s="317" cm="1">
        <f t="array" ref="AP17">INDEX(Reading_export[1/1/2025],MATCH(1,(Reading_export[Lot]=A17)*(Reading_export[cluster]=$B$1),0))</f>
        <v>9864</v>
      </c>
      <c r="AQ17" s="317" cm="1">
        <f t="array" ref="AQ17">INDEX(Reading_export[01/04/2025],MATCH(1,(Reading_export[Lot]=A17)*(Reading_export[cluster]=$B$1),0))</f>
        <v>12061</v>
      </c>
      <c r="AR17" s="318">
        <f>Table1[[#This Row],[Last day of reporting period: export]]-Table1[[#This Row],[1st day of reporting period: export]]</f>
        <v>2197</v>
      </c>
      <c r="AS17" s="319">
        <f t="shared" si="10"/>
        <v>0.0418182268082053</v>
      </c>
      <c r="AT17" s="320">
        <f>Table1[[#This Row],[Percentage of Total export for Billing Period (%)]]*$AC$30</f>
        <v>320.238544527751</v>
      </c>
      <c r="AU17" s="320">
        <f t="shared" si="11"/>
        <v>72.54</v>
      </c>
      <c r="AV17" s="321">
        <f>IFERROR(Table1[[#This Row],[Total Cluster Energy Balance for P2P Trading (kWh)2]]*Table1[[#This Row],[Unused Daily Allowance %]],0)</f>
        <v>2.48799094785303</v>
      </c>
      <c r="AW17" s="320">
        <f t="shared" si="12"/>
        <v>58.670972211912</v>
      </c>
      <c r="AX17" s="321">
        <f>Table1[[#This Row],[Cluster''s Total Common Services (kWh)]]*Table1[[#This Row],[Percentage of Total export for Billing Period (%)]]</f>
        <v>29.1473040853191</v>
      </c>
      <c r="AY17" s="321">
        <f>$Q$25*Table1[[#This Row],[Percentage of Total export for Billing Period (%)]]</f>
        <v>126.040135599931</v>
      </c>
      <c r="AZ17"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1662.90304357509</v>
      </c>
      <c r="BA17" s="321">
        <f t="shared" si="13"/>
        <v>0</v>
      </c>
      <c r="BB17" s="321">
        <f>Table1[[#This Row],[Energy Losses When Export to Grid (kWh)]]*Table1[[#This Row],[Percentage of Total export for Billing Period (%)]]</f>
        <v>0</v>
      </c>
      <c r="BC17" s="321">
        <f>Table1[[#This Row],[Therotical Energy Export to Grid (kWh)]]-Table1[[#This Row],[Energy Losses When Export to Grid based up % total export (kWh)]]</f>
        <v>1662.90304357509</v>
      </c>
      <c r="BD17" s="334">
        <f>AW17*'Tariff Rates'!$C$3</f>
        <v>-12.9076138866206</v>
      </c>
      <c r="BE17" s="334">
        <f>Table1[[#This Row],[Common Service based upon % total export to battery (kWh)]]*'Tariff Rates'!$C$3</f>
        <v>-6.4124068987702</v>
      </c>
      <c r="BF17" s="334">
        <f>Table1[[#This Row],[EV Charger based upon % total export to battery (kWh)]]*'Tariff Rates'!$C$3</f>
        <v>-27.7288298319848</v>
      </c>
      <c r="BG17" s="346">
        <f>AT17*'Tariff Rates'!$C$3</f>
        <v>-70.4524797961052</v>
      </c>
      <c r="BH17" s="346">
        <f>Table1[[#This Row],[Borrowed Allowance Based on Unused Daily Allowance % (kWh)]]*'Tariff Rates'!$K$3</f>
        <v>-0.0497598189570606</v>
      </c>
      <c r="BI17" s="346">
        <f>BC17*'Tariff Rates'!$F$3</f>
        <v>-64.0217671776409</v>
      </c>
      <c r="BJ17" s="346">
        <f t="shared" si="19"/>
        <v>-181.572857410079</v>
      </c>
      <c r="BK17" s="347">
        <f>$D$43*Table1[[#This Row],[Percentage of Unit Entitlement (%)]]</f>
        <v>0</v>
      </c>
      <c r="BL17" s="348">
        <f>BK17*'Tariff Rates'!$H$3</f>
        <v>0</v>
      </c>
      <c r="BM17" s="348">
        <f>($Q$25)*Table1[[#This Row],[Percentage of Unit Entitlement (%)]]*'Tariff Rates'!$B$3</f>
        <v>20.55548</v>
      </c>
      <c r="BN17" s="348">
        <f t="shared" si="16"/>
        <v>20.55548</v>
      </c>
      <c r="BO17" s="348">
        <f t="shared" si="17"/>
        <v>0</v>
      </c>
      <c r="BP17" s="367">
        <f t="shared" si="18"/>
        <v>20.55548</v>
      </c>
      <c r="BQ17" s="368">
        <f t="shared" si="14"/>
        <v>-36.2458157472116</v>
      </c>
      <c r="BR17" s="372"/>
      <c r="BS17" s="373"/>
      <c r="BT17" s="374">
        <v>13</v>
      </c>
    </row>
    <row r="18" spans="1:72">
      <c r="A18" s="157">
        <v>14</v>
      </c>
      <c r="B18" s="158" t="str" cm="1">
        <f t="array" ref="B18">INDEX(Table_Household_Alloc[Owner],MATCH(1,(Table_Household_Alloc[Lot]=A18)*(Table_Household_Alloc[cluster]=$B$1),0))</f>
        <v>Lawrence Bycroft
Anu Grace</v>
      </c>
      <c r="C18" s="159" cm="1">
        <f t="array" ref="C18">INDEX(Reading_import[Meter'#],MATCH(1,(Table_Household_Alloc[Lot]=A18)*(Table_Household_Alloc[cluster]=$B$1),0))</f>
        <v>50003438</v>
      </c>
      <c r="D18" s="160" cm="1">
        <f t="array" ref="D18">INDEX(Table_Household_Alloc[UE % over Cluster],MATCH(1,(Table_Household_Alloc[Lot]=A18)*(Table_Household_Alloc[cluster]=$B$1),0))</f>
        <v>0.037</v>
      </c>
      <c r="E18" s="161" t="str" cm="1">
        <f t="array" ref="E18">INDEX(Table_Household_Alloc[Stage of Dev.],MATCH(1,(Table_Household_Alloc[Lot]=A18)*(Table_Household_Alloc[cluster]=$B$1),0))</f>
        <v>O</v>
      </c>
      <c r="F18" s="162" cm="1">
        <f t="array" ref="F18">INDEX(Amanda_energy[Daily_Supply_incl_GST],MATCH(1,(Amanda_energy[Cluster]=$B$1)*(Amanda_energy[Month]=$F$2),0))/MAX($A:$A)</f>
        <v>8.97368421052632</v>
      </c>
      <c r="G18" s="163" cm="1">
        <f t="array" ref="G18">INDEX(Amanda_energy[Daily_Supply_incl_GST],MATCH(1,(Amanda_energy[Cluster]=$B$1)*(Amanda_energy[Month]=$G$2),0))/MAX($A:$A)</f>
        <v>8.10526315789474</v>
      </c>
      <c r="H18" s="163" cm="1">
        <f t="array" ref="H18">INDEX(Amanda_energy[Daily_Supply_incl_GST],MATCH(1,(Amanda_energy[Cluster]=$B$1)*(Amanda_energy[Month]=$H$2),0))/MAX($A:$A)</f>
        <v>8.97368421052632</v>
      </c>
      <c r="I18" s="163">
        <f t="shared" si="1"/>
        <v>3.22684210526316</v>
      </c>
      <c r="J18" s="232">
        <f>'Tariff Rates'!$B$8*$J$3</f>
        <v>13.5616438356164</v>
      </c>
      <c r="K18" s="232">
        <f>'Tariff Rates'!$C$8*Table1[[#This Row],[Percentage of Unit Entitlement (%)]]*'Energy billing Mastersheet_fml'!$K$3</f>
        <v>7.82778082191781</v>
      </c>
      <c r="L18" s="232">
        <f>$L$3*'Tariff Rates'!$D$8*IF(Table1[[#This Row],[Stage of Dev.]]="V",0,1)</f>
        <v>19.8</v>
      </c>
      <c r="M18" s="233">
        <v>1.1</v>
      </c>
      <c r="N18" s="234">
        <f t="shared" si="2"/>
        <v>71.5688983417448</v>
      </c>
      <c r="O18" s="235" cm="1">
        <f t="array" ref="O18">INDEX(Reading_import[1/1/2025],MATCH(1,(Reading_import[Lot]=A18)*(Reading_import[cluster]=$B$1),0))</f>
        <v>12736</v>
      </c>
      <c r="P18" s="236" cm="1">
        <f t="array" ref="P18">INDEX(Reading_import[01/04/2025],MATCH(1,(Reading_import[Lot]=A18)*(Reading_import[cluster]=$B$1),0))</f>
        <v>13164</v>
      </c>
      <c r="Q18" s="255">
        <f>Table1[[#This Row],[Last day of reporting period: import]]-Table1[[#This Row],[1st day of reporting period: import]]</f>
        <v>428</v>
      </c>
      <c r="R18" s="256">
        <f t="shared" si="3"/>
        <v>4.75555555555556</v>
      </c>
      <c r="S18" s="257">
        <f t="shared" si="4"/>
        <v>0.0551091882983107</v>
      </c>
      <c r="T18" s="258">
        <f>IF(Table1[[#This Row],[Stage of Dev.]]="V",0,233*Table1[[#This Row],[Percentage of Unit Entitlement (%)]])</f>
        <v>8.621</v>
      </c>
      <c r="U18" s="259">
        <f t="shared" si="5"/>
        <v>4.75555555555556</v>
      </c>
      <c r="V18" s="259">
        <f>Table1[[#This Row],[Daily Battery allowance based on UE% (kWh)]]-Table1[[#This Row],[Applicable Battery Allowance Daily Consumption (kWh)]]</f>
        <v>3.86544444444444</v>
      </c>
      <c r="W18" s="260">
        <f>Table1[[#This Row],[Unused Daily Allowance (kWh)]]/$V$30</f>
        <v>0.025991675551209</v>
      </c>
      <c r="X18" s="259">
        <f>IF(Table1[[#This Row],[Applicable Battery Allowance Daily Consumption (kWh)]]&gt;Table1[[#This Row],[Total Daily Average Consumptio for Billing Period (kWh)]],Table1[[#This Row],[Total Consumption Import  (kWh)]],U18*$N$3)</f>
        <v>428</v>
      </c>
      <c r="Y18" s="275">
        <f>IF(Table1[[#This Row],[Applicable Battery Allowance Daily Consumption (kWh)]]&gt;0,ABS(Q18-X18),0)</f>
        <v>0</v>
      </c>
      <c r="Z18" s="276">
        <f>IFERROR(Table1[[#This Row],[Energy Exceeding Battery Allowance (kWh)]]/$Y$30,0)</f>
        <v>0</v>
      </c>
      <c r="AA18" s="277">
        <f t="shared" si="6"/>
        <v>72.54</v>
      </c>
      <c r="AB18" s="278">
        <f>IFERROR(Table1[[#This Row],[Total Cluster Energy Balance for P2P Trading (kWh)]]*Table1[[#This Row],[Energy Exceeding Battery Allowance %]],0)</f>
        <v>0</v>
      </c>
      <c r="AC18" s="279">
        <f>Table1[[#This Row],[P2P Import Consumption within Battery Allowance(kWh)]]+Table1[[#This Row],[P2P Import Consumption over Battery Allowance based on Energy Exceeding Allowance % (kWh)]]</f>
        <v>428</v>
      </c>
      <c r="AD18" s="279">
        <f>Table1[[#This Row],[Total Consumption Import  (kWh)]]-Table1[[#This Row],[Total P2P import (kWh)]]</f>
        <v>0</v>
      </c>
      <c r="AE18" s="280">
        <f>IFERROR(Table1[[#This Row],[Total P2P import (kWh)]]/$AC$30,0)</f>
        <v>0.0558902149030997</v>
      </c>
      <c r="AF18" s="281">
        <f t="shared" si="7"/>
        <v>1403</v>
      </c>
      <c r="AG18" s="281">
        <f t="shared" si="8"/>
        <v>78.4139715090489</v>
      </c>
      <c r="AH18" s="292">
        <f t="shared" si="9"/>
        <v>697</v>
      </c>
      <c r="AI18" s="292">
        <f>Table1[[#This Row],[Cluster''s Total Common Services (kWh)]]*Table1[[#This Row],[Percentage of Unit Entitlement (%)]]</f>
        <v>25.789</v>
      </c>
      <c r="AJ18" s="293">
        <f>AG18*'Tariff Rates'!$B$3</f>
        <v>17.2510737319908</v>
      </c>
      <c r="AK18" s="293">
        <f>Table1[[#This Row],[Common Services based on Split per Unit Entitlement % to battery (kWh)]]*'Tariff Rates'!$B$3</f>
        <v>5.67358</v>
      </c>
      <c r="AL18" s="294">
        <f>Table1[[#This Row],[Total P2P import (kWh)]]*IF(Table1[[#This Row],[Total Lot Export (kWh)]]=0,'Tariff Rates'!$L$3,'Tariff Rates'!$B$3)</f>
        <v>94.16</v>
      </c>
      <c r="AM18" s="295">
        <f>Table1[[#This Row],[P2P Import Consumption over Battery Allowance based on Energy Exceeding Allowance % (kWh)]]*'Tariff Rates'!$J$3</f>
        <v>0</v>
      </c>
      <c r="AN18" s="296">
        <f>Table1[[#This Row],[Energy Import from Grid (kWh)]]*'Tariff Rates'!$E$3</f>
        <v>0</v>
      </c>
      <c r="AO18" s="316">
        <f t="shared" si="15"/>
        <v>117.084653731991</v>
      </c>
      <c r="AP18" s="317" cm="1">
        <f t="array" ref="AP18">INDEX(Reading_export[1/1/2025],MATCH(1,(Reading_export[Lot]=A18)*(Reading_export[cluster]=$B$1),0))</f>
        <v>9306</v>
      </c>
      <c r="AQ18" s="317" cm="1">
        <f t="array" ref="AQ18">INDEX(Reading_export[01/04/2025],MATCH(1,(Reading_export[Lot]=A18)*(Reading_export[cluster]=$B$1),0))</f>
        <v>11592</v>
      </c>
      <c r="AR18" s="318">
        <f>Table1[[#This Row],[Last day of reporting period: export]]-Table1[[#This Row],[1st day of reporting period: export]]</f>
        <v>2286</v>
      </c>
      <c r="AS18" s="319">
        <f t="shared" si="10"/>
        <v>0.0435122742301126</v>
      </c>
      <c r="AT18" s="320">
        <f>Table1[[#This Row],[Percentage of Total export for Billing Period (%)]]*$AC$30</f>
        <v>333.211339458552</v>
      </c>
      <c r="AU18" s="320">
        <f t="shared" si="11"/>
        <v>72.54</v>
      </c>
      <c r="AV18" s="321">
        <f>IFERROR(Table1[[#This Row],[Total Cluster Energy Balance for P2P Trading (kWh)2]]*Table1[[#This Row],[Unused Daily Allowance %]],0)</f>
        <v>1.8854361444847</v>
      </c>
      <c r="AW18" s="320">
        <f t="shared" si="12"/>
        <v>61.0477207448479</v>
      </c>
      <c r="AX18" s="321">
        <f>Table1[[#This Row],[Cluster''s Total Common Services (kWh)]]*Table1[[#This Row],[Percentage of Total export for Billing Period (%)]]</f>
        <v>30.3280551383884</v>
      </c>
      <c r="AY18" s="321">
        <f>$Q$25*Table1[[#This Row],[Percentage of Total export for Billing Period (%)]]</f>
        <v>131.145994529559</v>
      </c>
      <c r="AZ18"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1730.26689012865</v>
      </c>
      <c r="BA18" s="321">
        <f t="shared" si="13"/>
        <v>0</v>
      </c>
      <c r="BB18" s="321">
        <f>Table1[[#This Row],[Energy Losses When Export to Grid (kWh)]]*Table1[[#This Row],[Percentage of Total export for Billing Period (%)]]</f>
        <v>0</v>
      </c>
      <c r="BC18" s="321">
        <f>Table1[[#This Row],[Therotical Energy Export to Grid (kWh)]]-Table1[[#This Row],[Energy Losses When Export to Grid based up % total export (kWh)]]</f>
        <v>1730.26689012865</v>
      </c>
      <c r="BD18" s="334">
        <f>AW18*'Tariff Rates'!$C$3</f>
        <v>-13.4304985638665</v>
      </c>
      <c r="BE18" s="334">
        <f>Table1[[#This Row],[Common Service based upon % total export to battery (kWh)]]*'Tariff Rates'!$C$3</f>
        <v>-6.67217213044546</v>
      </c>
      <c r="BF18" s="334">
        <f>Table1[[#This Row],[EV Charger based upon % total export to battery (kWh)]]*'Tariff Rates'!$C$3</f>
        <v>-28.852118796503</v>
      </c>
      <c r="BG18" s="346">
        <f>AT18*'Tariff Rates'!$C$3</f>
        <v>-73.3064946808814</v>
      </c>
      <c r="BH18" s="346">
        <f>Table1[[#This Row],[Borrowed Allowance Based on Unused Daily Allowance % (kWh)]]*'Tariff Rates'!$K$3</f>
        <v>-0.037708722889694</v>
      </c>
      <c r="BI18" s="346">
        <f>BC18*'Tariff Rates'!$F$3</f>
        <v>-66.6152752699531</v>
      </c>
      <c r="BJ18" s="346">
        <f t="shared" si="19"/>
        <v>-188.914268164539</v>
      </c>
      <c r="BK18" s="347">
        <f>$D$43*Table1[[#This Row],[Percentage of Unit Entitlement (%)]]</f>
        <v>0</v>
      </c>
      <c r="BL18" s="348">
        <f>BK18*'Tariff Rates'!$H$3</f>
        <v>0</v>
      </c>
      <c r="BM18" s="348">
        <f>($Q$25)*Table1[[#This Row],[Percentage of Unit Entitlement (%)]]*'Tariff Rates'!$B$3</f>
        <v>24.53396</v>
      </c>
      <c r="BN18" s="348">
        <f t="shared" si="16"/>
        <v>24.53396</v>
      </c>
      <c r="BO18" s="348">
        <f t="shared" si="17"/>
        <v>0</v>
      </c>
      <c r="BP18" s="367">
        <f t="shared" si="18"/>
        <v>24.53396</v>
      </c>
      <c r="BQ18" s="368">
        <f t="shared" si="14"/>
        <v>24.2732439091962</v>
      </c>
      <c r="BR18" s="375"/>
      <c r="BS18" s="376"/>
      <c r="BT18" s="371">
        <v>14</v>
      </c>
    </row>
    <row r="19" spans="1:72">
      <c r="A19" s="164">
        <v>15</v>
      </c>
      <c r="B19" s="158" t="str" cm="1">
        <f t="array" ref="B19">INDEX(Table_Household_Alloc[Owner],MATCH(1,(Table_Household_Alloc[Lot]=A19)*(Table_Household_Alloc[cluster]=$B$1),0))</f>
        <v>Kaine Grigg (Hudson)</v>
      </c>
      <c r="C19" s="159" cm="1">
        <f t="array" ref="C19">INDEX(Reading_import[Meter'#],MATCH(1,(Table_Household_Alloc[Lot]=A19)*(Table_Household_Alloc[cluster]=$B$1),0))</f>
        <v>50003404</v>
      </c>
      <c r="D19" s="160" cm="1">
        <f t="array" ref="D19">INDEX(Table_Household_Alloc[UE % over Cluster],MATCH(1,(Table_Household_Alloc[Lot]=A19)*(Table_Household_Alloc[cluster]=$B$1),0))</f>
        <v>0.069</v>
      </c>
      <c r="E19" s="161" t="str" cm="1">
        <f t="array" ref="E19">INDEX(Table_Household_Alloc[Stage of Dev.],MATCH(1,(Table_Household_Alloc[Lot]=A19)*(Table_Household_Alloc[cluster]=$B$1),0))</f>
        <v>O</v>
      </c>
      <c r="F19" s="162" cm="1">
        <f t="array" ref="F19">INDEX(Amanda_energy[Daily_Supply_incl_GST],MATCH(1,(Amanda_energy[Cluster]=$B$1)*(Amanda_energy[Month]=$F$2),0))/MAX($A:$A)</f>
        <v>8.97368421052632</v>
      </c>
      <c r="G19" s="163" cm="1">
        <f t="array" ref="G19">INDEX(Amanda_energy[Daily_Supply_incl_GST],MATCH(1,(Amanda_energy[Cluster]=$B$1)*(Amanda_energy[Month]=$G$2),0))/MAX($A:$A)</f>
        <v>8.10526315789474</v>
      </c>
      <c r="H19" s="163" cm="1">
        <f t="array" ref="H19">INDEX(Amanda_energy[Daily_Supply_incl_GST],MATCH(1,(Amanda_energy[Cluster]=$B$1)*(Amanda_energy[Month]=$H$2),0))/MAX($A:$A)</f>
        <v>8.97368421052632</v>
      </c>
      <c r="I19" s="163">
        <f t="shared" si="1"/>
        <v>3.22684210526316</v>
      </c>
      <c r="J19" s="232">
        <f>'Tariff Rates'!$B$8*$J$3</f>
        <v>13.5616438356164</v>
      </c>
      <c r="K19" s="232">
        <f>'Tariff Rates'!$C$8*Table1[[#This Row],[Percentage of Unit Entitlement (%)]]*'Energy billing Mastersheet_fml'!$K$3</f>
        <v>14.5977534246575</v>
      </c>
      <c r="L19" s="232">
        <f>$L$3*'Tariff Rates'!$D$8*IF(Table1[[#This Row],[Stage of Dev.]]="V",0,1)</f>
        <v>19.8</v>
      </c>
      <c r="M19" s="233">
        <v>1.1</v>
      </c>
      <c r="N19" s="234">
        <f t="shared" si="2"/>
        <v>78.3388709444845</v>
      </c>
      <c r="O19" s="235" cm="1">
        <f t="array" ref="O19">INDEX(Reading_import[1/1/2025],MATCH(1,(Reading_import[Lot]=A19)*(Reading_import[cluster]=$B$1),0))</f>
        <v>7111</v>
      </c>
      <c r="P19" s="236" cm="1">
        <f t="array" ref="P19">INDEX(Reading_import[01/04/2025],MATCH(1,(Reading_import[Lot]=A19)*(Reading_import[cluster]=$B$1),0))</f>
        <v>7561</v>
      </c>
      <c r="Q19" s="255">
        <f>Table1[[#This Row],[Last day of reporting period: import]]-Table1[[#This Row],[1st day of reporting period: import]]</f>
        <v>450</v>
      </c>
      <c r="R19" s="256">
        <f t="shared" si="3"/>
        <v>5</v>
      </c>
      <c r="S19" s="257">
        <f t="shared" si="4"/>
        <v>0.0579419035846724</v>
      </c>
      <c r="T19" s="258">
        <f>IF(Table1[[#This Row],[Stage of Dev.]]="V",0,233*Table1[[#This Row],[Percentage of Unit Entitlement (%)]])</f>
        <v>16.077</v>
      </c>
      <c r="U19" s="259">
        <f t="shared" si="5"/>
        <v>5</v>
      </c>
      <c r="V19" s="259">
        <f>Table1[[#This Row],[Daily Battery allowance based on UE% (kWh)]]-Table1[[#This Row],[Applicable Battery Allowance Daily Consumption (kWh)]]</f>
        <v>11.077</v>
      </c>
      <c r="W19" s="260">
        <f>Table1[[#This Row],[Unused Daily Allowance (kWh)]]/$V$30</f>
        <v>0.0744829719372984</v>
      </c>
      <c r="X19" s="259">
        <f>IF(Table1[[#This Row],[Applicable Battery Allowance Daily Consumption (kWh)]]&gt;Table1[[#This Row],[Total Daily Average Consumptio for Billing Period (kWh)]],Table1[[#This Row],[Total Consumption Import  (kWh)]],U19*$N$3)</f>
        <v>450</v>
      </c>
      <c r="Y19" s="275">
        <f>IF(Table1[[#This Row],[Applicable Battery Allowance Daily Consumption (kWh)]]&gt;0,ABS(Q19-X19),0)</f>
        <v>0</v>
      </c>
      <c r="Z19" s="276">
        <f>IFERROR(Table1[[#This Row],[Energy Exceeding Battery Allowance (kWh)]]/$Y$30,0)</f>
        <v>0</v>
      </c>
      <c r="AA19" s="277">
        <f t="shared" si="6"/>
        <v>72.54</v>
      </c>
      <c r="AB19" s="278">
        <f>IFERROR(Table1[[#This Row],[Total Cluster Energy Balance for P2P Trading (kWh)]]*Table1[[#This Row],[Energy Exceeding Battery Allowance %]],0)</f>
        <v>0</v>
      </c>
      <c r="AC19" s="279">
        <f>Table1[[#This Row],[P2P Import Consumption within Battery Allowance(kWh)]]+Table1[[#This Row],[P2P Import Consumption over Battery Allowance based on Energy Exceeding Allowance % (kWh)]]</f>
        <v>450</v>
      </c>
      <c r="AD19" s="279">
        <f>Table1[[#This Row],[Total Consumption Import  (kWh)]]-Table1[[#This Row],[Total P2P import (kWh)]]</f>
        <v>0</v>
      </c>
      <c r="AE19" s="280">
        <f>IFERROR(Table1[[#This Row],[Total P2P import (kWh)]]/$AC$30,0)</f>
        <v>0.0587630764168104</v>
      </c>
      <c r="AF19" s="281">
        <f t="shared" si="7"/>
        <v>1403</v>
      </c>
      <c r="AG19" s="281">
        <f t="shared" si="8"/>
        <v>82.444596212785</v>
      </c>
      <c r="AH19" s="292">
        <f t="shared" si="9"/>
        <v>697</v>
      </c>
      <c r="AI19" s="292">
        <f>Table1[[#This Row],[Cluster''s Total Common Services (kWh)]]*Table1[[#This Row],[Percentage of Unit Entitlement (%)]]</f>
        <v>48.093</v>
      </c>
      <c r="AJ19" s="293">
        <f>AG19*'Tariff Rates'!$B$3</f>
        <v>18.1378111668127</v>
      </c>
      <c r="AK19" s="293">
        <f>Table1[[#This Row],[Common Services based on Split per Unit Entitlement % to battery (kWh)]]*'Tariff Rates'!$B$3</f>
        <v>10.58046</v>
      </c>
      <c r="AL19" s="294">
        <f>Table1[[#This Row],[Total P2P import (kWh)]]*IF(Table1[[#This Row],[Total Lot Export (kWh)]]=0,'Tariff Rates'!$L$3,'Tariff Rates'!$B$3)</f>
        <v>99</v>
      </c>
      <c r="AM19" s="295">
        <f>Table1[[#This Row],[P2P Import Consumption over Battery Allowance based on Energy Exceeding Allowance % (kWh)]]*'Tariff Rates'!$J$3</f>
        <v>0</v>
      </c>
      <c r="AN19" s="296">
        <f>Table1[[#This Row],[Energy Import from Grid (kWh)]]*'Tariff Rates'!$E$3</f>
        <v>0</v>
      </c>
      <c r="AO19" s="316">
        <f t="shared" si="15"/>
        <v>127.718271166813</v>
      </c>
      <c r="AP19" s="317" cm="1">
        <f t="array" ref="AP19">INDEX(Reading_export[1/1/2025],MATCH(1,(Reading_export[Lot]=A19)*(Reading_export[cluster]=$B$1),0))</f>
        <v>16919</v>
      </c>
      <c r="AQ19" s="317" cm="1">
        <f t="array" ref="AQ19">INDEX(Reading_export[01/04/2025],MATCH(1,(Reading_export[Lot]=A19)*(Reading_export[cluster]=$B$1),0))</f>
        <v>20916</v>
      </c>
      <c r="AR19" s="318">
        <f>Table1[[#This Row],[Last day of reporting period: export]]-Table1[[#This Row],[1st day of reporting period: export]]</f>
        <v>3997</v>
      </c>
      <c r="AS19" s="319">
        <f t="shared" si="10"/>
        <v>0.0760798600602624</v>
      </c>
      <c r="AT19" s="320">
        <f>Table1[[#This Row],[Percentage of Total export for Billing Period (%)]]*$AC$30</f>
        <v>582.609677959682</v>
      </c>
      <c r="AU19" s="320">
        <f t="shared" si="11"/>
        <v>72.54</v>
      </c>
      <c r="AV19" s="321">
        <f>IFERROR(Table1[[#This Row],[Total Cluster Energy Balance for P2P Trading (kWh)2]]*Table1[[#This Row],[Unused Daily Allowance %]],0)</f>
        <v>5.40299478433163</v>
      </c>
      <c r="AW19" s="320">
        <f t="shared" si="12"/>
        <v>106.740043664548</v>
      </c>
      <c r="AX19" s="321">
        <f>Table1[[#This Row],[Cluster''s Total Common Services (kWh)]]*Table1[[#This Row],[Percentage of Total export for Billing Period (%)]]</f>
        <v>53.0276624620029</v>
      </c>
      <c r="AY19" s="321">
        <f>$Q$25*Table1[[#This Row],[Percentage of Total export for Billing Period (%)]]</f>
        <v>229.304698221631</v>
      </c>
      <c r="AZ19"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3025.31791769214</v>
      </c>
      <c r="BA19" s="321">
        <f t="shared" si="13"/>
        <v>0</v>
      </c>
      <c r="BB19" s="321">
        <f>Table1[[#This Row],[Energy Losses When Export to Grid (kWh)]]*Table1[[#This Row],[Percentage of Total export for Billing Period (%)]]</f>
        <v>0</v>
      </c>
      <c r="BC19" s="321">
        <f>Table1[[#This Row],[Therotical Energy Export to Grid (kWh)]]-Table1[[#This Row],[Energy Losses When Export to Grid based up % total export (kWh)]]</f>
        <v>3025.31791769214</v>
      </c>
      <c r="BD19" s="334">
        <f>AW19*'Tariff Rates'!$C$3</f>
        <v>-23.4828096062006</v>
      </c>
      <c r="BE19" s="334">
        <f>Table1[[#This Row],[Common Service based upon % total export to battery (kWh)]]*'Tariff Rates'!$C$3</f>
        <v>-11.6660857416406</v>
      </c>
      <c r="BF19" s="334">
        <f>Table1[[#This Row],[EV Charger based upon % total export to battery (kWh)]]*'Tariff Rates'!$C$3</f>
        <v>-50.4470336087588</v>
      </c>
      <c r="BG19" s="346">
        <f>AT19*'Tariff Rates'!$C$3</f>
        <v>-128.17412915113</v>
      </c>
      <c r="BH19" s="346">
        <f>Table1[[#This Row],[Borrowed Allowance Based on Unused Daily Allowance % (kWh)]]*'Tariff Rates'!$K$3</f>
        <v>-0.108059895686633</v>
      </c>
      <c r="BI19" s="346">
        <f>BC19*'Tariff Rates'!$F$3</f>
        <v>-116.474739831147</v>
      </c>
      <c r="BJ19" s="346">
        <f t="shared" si="19"/>
        <v>-330.352857834564</v>
      </c>
      <c r="BK19" s="347">
        <f>$D$43*Table1[[#This Row],[Percentage of Unit Entitlement (%)]]</f>
        <v>0</v>
      </c>
      <c r="BL19" s="348">
        <f>BK19*'Tariff Rates'!$H$3</f>
        <v>0</v>
      </c>
      <c r="BM19" s="348">
        <f>($Q$25)*Table1[[#This Row],[Percentage of Unit Entitlement (%)]]*'Tariff Rates'!$B$3</f>
        <v>45.75252</v>
      </c>
      <c r="BN19" s="348">
        <f t="shared" si="16"/>
        <v>45.75252</v>
      </c>
      <c r="BO19" s="348">
        <f t="shared" si="17"/>
        <v>0</v>
      </c>
      <c r="BP19" s="367">
        <f t="shared" si="18"/>
        <v>45.75252</v>
      </c>
      <c r="BQ19" s="368">
        <f t="shared" si="14"/>
        <v>-78.5431957232667</v>
      </c>
      <c r="BR19" s="372"/>
      <c r="BS19" s="373"/>
      <c r="BT19" s="374">
        <v>15</v>
      </c>
    </row>
    <row r="20" spans="1:72">
      <c r="A20" s="157">
        <v>16</v>
      </c>
      <c r="B20" s="158" t="str" cm="1">
        <f t="array" ref="B20">INDEX(Table_Household_Alloc[Owner],MATCH(1,(Table_Household_Alloc[Lot]=A20)*(Table_Household_Alloc[cluster]=$B$1),0))</f>
        <v>Veronique Florec</v>
      </c>
      <c r="C20" s="159" cm="1">
        <f t="array" ref="C20">INDEX(Reading_import[Meter'#],MATCH(1,(Table_Household_Alloc[Lot]=A20)*(Table_Household_Alloc[cluster]=$B$1),0))</f>
        <v>50003419</v>
      </c>
      <c r="D20" s="160" cm="1">
        <f t="array" ref="D20">INDEX(Table_Household_Alloc[UE % over Cluster],MATCH(1,(Table_Household_Alloc[Lot]=A20)*(Table_Household_Alloc[cluster]=$B$1),0))</f>
        <v>0.069</v>
      </c>
      <c r="E20" s="161" t="str" cm="1">
        <f t="array" ref="E20">INDEX(Table_Household_Alloc[Stage of Dev.],MATCH(1,(Table_Household_Alloc[Lot]=A20)*(Table_Household_Alloc[cluster]=$B$1),0))</f>
        <v>O</v>
      </c>
      <c r="F20" s="162" cm="1">
        <f t="array" ref="F20">INDEX(Amanda_energy[Daily_Supply_incl_GST],MATCH(1,(Amanda_energy[Cluster]=$B$1)*(Amanda_energy[Month]=$F$2),0))/MAX($A:$A)</f>
        <v>8.97368421052632</v>
      </c>
      <c r="G20" s="163" cm="1">
        <f t="array" ref="G20">INDEX(Amanda_energy[Daily_Supply_incl_GST],MATCH(1,(Amanda_energy[Cluster]=$B$1)*(Amanda_energy[Month]=$G$2),0))/MAX($A:$A)</f>
        <v>8.10526315789474</v>
      </c>
      <c r="H20" s="163" cm="1">
        <f t="array" ref="H20">INDEX(Amanda_energy[Daily_Supply_incl_GST],MATCH(1,(Amanda_energy[Cluster]=$B$1)*(Amanda_energy[Month]=$H$2),0))/MAX($A:$A)</f>
        <v>8.97368421052632</v>
      </c>
      <c r="I20" s="163">
        <f t="shared" si="1"/>
        <v>3.22684210526316</v>
      </c>
      <c r="J20" s="232">
        <f>'Tariff Rates'!$B$8*$J$3</f>
        <v>13.5616438356164</v>
      </c>
      <c r="K20" s="232">
        <f>'Tariff Rates'!$C$8*Table1[[#This Row],[Percentage of Unit Entitlement (%)]]*'Energy billing Mastersheet_fml'!$K$3</f>
        <v>14.5977534246575</v>
      </c>
      <c r="L20" s="232">
        <f>$L$3*'Tariff Rates'!$D$8*IF(Table1[[#This Row],[Stage of Dev.]]="V",0,1)</f>
        <v>19.8</v>
      </c>
      <c r="M20" s="233">
        <v>1.1</v>
      </c>
      <c r="N20" s="234">
        <f t="shared" si="2"/>
        <v>78.3388709444845</v>
      </c>
      <c r="O20" s="235" cm="1">
        <f t="array" ref="O20">INDEX(Reading_import[1/1/2025],MATCH(1,(Reading_import[Lot]=A20)*(Reading_import[cluster]=$B$1),0))</f>
        <v>7360</v>
      </c>
      <c r="P20" s="236" cm="1">
        <f t="array" ref="P20">INDEX(Reading_import[01/04/2025],MATCH(1,(Reading_import[Lot]=A20)*(Reading_import[cluster]=$B$1),0))</f>
        <v>7763</v>
      </c>
      <c r="Q20" s="255">
        <f>Table1[[#This Row],[Last day of reporting period: import]]-Table1[[#This Row],[1st day of reporting period: import]]</f>
        <v>403</v>
      </c>
      <c r="R20" s="256">
        <f t="shared" si="3"/>
        <v>4.47777777777778</v>
      </c>
      <c r="S20" s="257">
        <f t="shared" si="4"/>
        <v>0.0518901936547178</v>
      </c>
      <c r="T20" s="258">
        <f>IF(Table1[[#This Row],[Stage of Dev.]]="V",0,233*Table1[[#This Row],[Percentage of Unit Entitlement (%)]])</f>
        <v>16.077</v>
      </c>
      <c r="U20" s="259">
        <f t="shared" si="5"/>
        <v>4.47777777777778</v>
      </c>
      <c r="V20" s="259">
        <f>Table1[[#This Row],[Daily Battery allowance based on UE% (kWh)]]-Table1[[#This Row],[Applicable Battery Allowance Daily Consumption (kWh)]]</f>
        <v>11.5992222222222</v>
      </c>
      <c r="W20" s="260">
        <f>Table1[[#This Row],[Unused Daily Allowance (kWh)]]/$V$30</f>
        <v>0.0779944518617194</v>
      </c>
      <c r="X20" s="259">
        <f>IF(Table1[[#This Row],[Applicable Battery Allowance Daily Consumption (kWh)]]&gt;Table1[[#This Row],[Total Daily Average Consumptio for Billing Period (kWh)]],Table1[[#This Row],[Total Consumption Import  (kWh)]],U20*$N$3)</f>
        <v>403</v>
      </c>
      <c r="Y20" s="275">
        <f>IF(Table1[[#This Row],[Applicable Battery Allowance Daily Consumption (kWh)]]&gt;0,ABS(Q20-X20),0)</f>
        <v>0</v>
      </c>
      <c r="Z20" s="276">
        <f>IFERROR(Table1[[#This Row],[Energy Exceeding Battery Allowance (kWh)]]/$Y$30,0)</f>
        <v>0</v>
      </c>
      <c r="AA20" s="277">
        <f t="shared" si="6"/>
        <v>72.54</v>
      </c>
      <c r="AB20" s="278">
        <f>IFERROR(Table1[[#This Row],[Total Cluster Energy Balance for P2P Trading (kWh)]]*Table1[[#This Row],[Energy Exceeding Battery Allowance %]],0)</f>
        <v>0</v>
      </c>
      <c r="AC20" s="279">
        <f>Table1[[#This Row],[P2P Import Consumption within Battery Allowance(kWh)]]+Table1[[#This Row],[P2P Import Consumption over Battery Allowance based on Energy Exceeding Allowance % (kWh)]]</f>
        <v>403</v>
      </c>
      <c r="AD20" s="279">
        <f>Table1[[#This Row],[Total Consumption Import  (kWh)]]-Table1[[#This Row],[Total P2P import (kWh)]]</f>
        <v>0</v>
      </c>
      <c r="AE20" s="280">
        <f>IFERROR(Table1[[#This Row],[Total P2P import (kWh)]]/$AC$30,0)</f>
        <v>0.0526255995466102</v>
      </c>
      <c r="AF20" s="281">
        <f t="shared" si="7"/>
        <v>1403</v>
      </c>
      <c r="AG20" s="281">
        <f t="shared" si="8"/>
        <v>73.8337161638941</v>
      </c>
      <c r="AH20" s="292">
        <f t="shared" si="9"/>
        <v>697</v>
      </c>
      <c r="AI20" s="292">
        <f>Table1[[#This Row],[Cluster''s Total Common Services (kWh)]]*Table1[[#This Row],[Percentage of Unit Entitlement (%)]]</f>
        <v>48.093</v>
      </c>
      <c r="AJ20" s="293">
        <f>AG20*'Tariff Rates'!$B$3</f>
        <v>16.2434175560567</v>
      </c>
      <c r="AK20" s="293">
        <f>Table1[[#This Row],[Common Services based on Split per Unit Entitlement % to battery (kWh)]]*'Tariff Rates'!$B$3</f>
        <v>10.58046</v>
      </c>
      <c r="AL20" s="294">
        <f>Table1[[#This Row],[Total P2P import (kWh)]]*IF(Table1[[#This Row],[Total Lot Export (kWh)]]=0,'Tariff Rates'!$L$3,'Tariff Rates'!$B$3)</f>
        <v>88.66</v>
      </c>
      <c r="AM20" s="295">
        <f>Table1[[#This Row],[P2P Import Consumption over Battery Allowance based on Energy Exceeding Allowance % (kWh)]]*'Tariff Rates'!$J$3</f>
        <v>0</v>
      </c>
      <c r="AN20" s="296">
        <f>Table1[[#This Row],[Energy Import from Grid (kWh)]]*'Tariff Rates'!$E$3</f>
        <v>0</v>
      </c>
      <c r="AO20" s="316">
        <f t="shared" si="15"/>
        <v>115.483877556057</v>
      </c>
      <c r="AP20" s="317" cm="1">
        <f t="array" ref="AP20">INDEX(Reading_export[1/1/2025],MATCH(1,(Reading_export[Lot]=A20)*(Reading_export[cluster]=$B$1),0))</f>
        <v>24215</v>
      </c>
      <c r="AQ20" s="317" cm="1">
        <f t="array" ref="AQ20">INDEX(Reading_export[01/04/2025],MATCH(1,(Reading_export[Lot]=A20)*(Reading_export[cluster]=$B$1),0))</f>
        <v>29752</v>
      </c>
      <c r="AR20" s="318">
        <f>Table1[[#This Row],[Last day of reporting period: export]]-Table1[[#This Row],[1st day of reporting period: export]]</f>
        <v>5537</v>
      </c>
      <c r="AS20" s="319">
        <f t="shared" si="10"/>
        <v>0.105392590731467</v>
      </c>
      <c r="AT20" s="320">
        <f>Table1[[#This Row],[Percentage of Total export for Billing Period (%)]]*$AC$30</f>
        <v>807.082758784778</v>
      </c>
      <c r="AU20" s="320">
        <f t="shared" si="11"/>
        <v>72.54</v>
      </c>
      <c r="AV20" s="321">
        <f>IFERROR(Table1[[#This Row],[Total Cluster Energy Balance for P2P Trading (kWh)2]]*Table1[[#This Row],[Unused Daily Allowance %]],0)</f>
        <v>5.65771753804913</v>
      </c>
      <c r="AW20" s="320">
        <f t="shared" si="12"/>
        <v>147.865804796248</v>
      </c>
      <c r="AX20" s="321">
        <f>Table1[[#This Row],[Cluster''s Total Common Services (kWh)]]*Table1[[#This Row],[Percentage of Total export for Billing Period (%)]]</f>
        <v>73.4586357398324</v>
      </c>
      <c r="AY20" s="321">
        <f>$Q$25*Table1[[#This Row],[Percentage of Total export for Billing Period (%)]]</f>
        <v>317.653268464641</v>
      </c>
      <c r="AZ20"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4190.9395322145</v>
      </c>
      <c r="BA20" s="321">
        <f t="shared" si="13"/>
        <v>0</v>
      </c>
      <c r="BB20" s="321">
        <f>Table1[[#This Row],[Energy Losses When Export to Grid (kWh)]]*Table1[[#This Row],[Percentage of Total export for Billing Period (%)]]</f>
        <v>0</v>
      </c>
      <c r="BC20" s="321">
        <f>Table1[[#This Row],[Therotical Energy Export to Grid (kWh)]]-Table1[[#This Row],[Energy Losses When Export to Grid based up % total export (kWh)]]</f>
        <v>4190.9395322145</v>
      </c>
      <c r="BD20" s="334">
        <f>AW20*'Tariff Rates'!$C$3</f>
        <v>-32.5304770551746</v>
      </c>
      <c r="BE20" s="334">
        <f>Table1[[#This Row],[Common Service based upon % total export to battery (kWh)]]*'Tariff Rates'!$C$3</f>
        <v>-16.1608998627631</v>
      </c>
      <c r="BF20" s="334">
        <f>Table1[[#This Row],[EV Charger based upon % total export to battery (kWh)]]*'Tariff Rates'!$C$3</f>
        <v>-69.883719062221</v>
      </c>
      <c r="BG20" s="346">
        <f>AT20*'Tariff Rates'!$C$3</f>
        <v>-177.558206932651</v>
      </c>
      <c r="BH20" s="346">
        <f>Table1[[#This Row],[Borrowed Allowance Based on Unused Daily Allowance % (kWh)]]*'Tariff Rates'!$K$3</f>
        <v>-0.113154350760982</v>
      </c>
      <c r="BI20" s="346">
        <f>BC20*'Tariff Rates'!$F$3</f>
        <v>-161.351171990258</v>
      </c>
      <c r="BJ20" s="346">
        <f t="shared" si="19"/>
        <v>-457.597629253829</v>
      </c>
      <c r="BK20" s="347">
        <f>$D$43*Table1[[#This Row],[Percentage of Unit Entitlement (%)]]</f>
        <v>0</v>
      </c>
      <c r="BL20" s="348">
        <f>BK20*'Tariff Rates'!$H$3</f>
        <v>0</v>
      </c>
      <c r="BM20" s="348">
        <f>($Q$25)*Table1[[#This Row],[Percentage of Unit Entitlement (%)]]*'Tariff Rates'!$B$3</f>
        <v>45.75252</v>
      </c>
      <c r="BN20" s="348">
        <f t="shared" si="16"/>
        <v>45.75252</v>
      </c>
      <c r="BO20" s="348">
        <f t="shared" si="17"/>
        <v>0</v>
      </c>
      <c r="BP20" s="367">
        <f t="shared" si="18"/>
        <v>45.75252</v>
      </c>
      <c r="BQ20" s="368">
        <f t="shared" si="14"/>
        <v>-218.022360753288</v>
      </c>
      <c r="BR20" s="375"/>
      <c r="BS20" s="376"/>
      <c r="BT20" s="371">
        <v>16</v>
      </c>
    </row>
    <row r="21" spans="1:72">
      <c r="A21" s="157">
        <v>17</v>
      </c>
      <c r="B21" s="158" t="str" cm="1">
        <f t="array" ref="B21">INDEX(Table_Household_Alloc[Owner],MATCH(1,(Table_Household_Alloc[Lot]=A21)*(Table_Household_Alloc[cluster]=$B$1),0))</f>
        <v>Lars Rueter
Katja Blankenheim</v>
      </c>
      <c r="C21" s="159" cm="1">
        <f t="array" ref="C21">INDEX(Reading_import[Meter'#],MATCH(1,(Table_Household_Alloc[Lot]=A21)*(Table_Household_Alloc[cluster]=$B$1),0))</f>
        <v>50003428</v>
      </c>
      <c r="D21" s="160" cm="1">
        <f t="array" ref="D21">INDEX(Table_Household_Alloc[UE % over Cluster],MATCH(1,(Table_Household_Alloc[Lot]=A21)*(Table_Household_Alloc[cluster]=$B$1),0))</f>
        <v>0.069</v>
      </c>
      <c r="E21" s="161" t="str" cm="1">
        <f t="array" ref="E21">INDEX(Table_Household_Alloc[Stage of Dev.],MATCH(1,(Table_Household_Alloc[Lot]=A21)*(Table_Household_Alloc[cluster]=$B$1),0))</f>
        <v>UC/M/ND</v>
      </c>
      <c r="F21" s="162" cm="1">
        <f t="array" ref="F21">INDEX(Amanda_energy[Daily_Supply_incl_GST],MATCH(1,(Amanda_energy[Cluster]=$B$1)*(Amanda_energy[Month]=$F$2),0))/MAX($A:$A)</f>
        <v>8.97368421052632</v>
      </c>
      <c r="G21" s="163" cm="1">
        <f t="array" ref="G21">INDEX(Amanda_energy[Daily_Supply_incl_GST],MATCH(1,(Amanda_energy[Cluster]=$B$1)*(Amanda_energy[Month]=$G$2),0))/MAX($A:$A)</f>
        <v>8.10526315789474</v>
      </c>
      <c r="H21" s="163" cm="1">
        <f t="array" ref="H21">INDEX(Amanda_energy[Daily_Supply_incl_GST],MATCH(1,(Amanda_energy[Cluster]=$B$1)*(Amanda_energy[Month]=$H$2),0))/MAX($A:$A)</f>
        <v>8.97368421052632</v>
      </c>
      <c r="I21" s="163">
        <f t="shared" si="1"/>
        <v>3.22684210526316</v>
      </c>
      <c r="J21" s="232">
        <f>'Tariff Rates'!$B$8*$J$3</f>
        <v>13.5616438356164</v>
      </c>
      <c r="K21" s="232">
        <f>'Tariff Rates'!$C$8*Table1[[#This Row],[Percentage of Unit Entitlement (%)]]*'Energy billing Mastersheet_fml'!$K$3</f>
        <v>14.5977534246575</v>
      </c>
      <c r="L21" s="232">
        <f>$L$3*'Tariff Rates'!$D$8*IF(Table1[[#This Row],[Stage of Dev.]]="V",0,1)</f>
        <v>19.8</v>
      </c>
      <c r="M21" s="233">
        <v>1.1</v>
      </c>
      <c r="N21" s="234">
        <f t="shared" si="2"/>
        <v>78.3388709444845</v>
      </c>
      <c r="O21" s="235" cm="1">
        <f t="array" ref="O21">INDEX(Reading_import[1/1/2025],MATCH(1,(Reading_import[Lot]=A21)*(Reading_import[cluster]=$B$1),0))</f>
        <v>227</v>
      </c>
      <c r="P21" s="236" cm="1">
        <f t="array" ref="P21">INDEX(Reading_import[01/04/2025],MATCH(1,(Reading_import[Lot]=A21)*(Reading_import[cluster]=$B$1),0))</f>
        <v>586</v>
      </c>
      <c r="Q21" s="255">
        <f>Table1[[#This Row],[Last day of reporting period: import]]-Table1[[#This Row],[1st day of reporting period: import]]</f>
        <v>359</v>
      </c>
      <c r="R21" s="256">
        <f t="shared" ref="R21" si="20">Q21/$N$3</f>
        <v>3.98888888888889</v>
      </c>
      <c r="S21" s="257">
        <f t="shared" si="4"/>
        <v>0.0462247630819942</v>
      </c>
      <c r="T21" s="258">
        <f>IF(Table1[[#This Row],[Stage of Dev.]]="V",0,233*Table1[[#This Row],[Percentage of Unit Entitlement (%)]])</f>
        <v>16.077</v>
      </c>
      <c r="U21" s="259">
        <f t="shared" ref="U21" si="21">IF(T21&gt;R21,R21,T21)</f>
        <v>3.98888888888889</v>
      </c>
      <c r="V21" s="259">
        <f>Table1[[#This Row],[Daily Battery allowance based on UE% (kWh)]]-Table1[[#This Row],[Applicable Battery Allowance Daily Consumption (kWh)]]</f>
        <v>12.0881111111111</v>
      </c>
      <c r="W21" s="260">
        <f>Table1[[#This Row],[Unused Daily Allowance (kWh)]]/$V$30</f>
        <v>0.081281794769688</v>
      </c>
      <c r="X21" s="259">
        <f>IF(Table1[[#This Row],[Applicable Battery Allowance Daily Consumption (kWh)]]&gt;Table1[[#This Row],[Total Daily Average Consumptio for Billing Period (kWh)]],Table1[[#This Row],[Total Consumption Import  (kWh)]],U21*$N$3)</f>
        <v>359</v>
      </c>
      <c r="Y21" s="275">
        <f>IF(Table1[[#This Row],[Applicable Battery Allowance Daily Consumption (kWh)]]&gt;0,ABS(Q21-X21),0)</f>
        <v>0</v>
      </c>
      <c r="Z21" s="276">
        <f>IFERROR(Table1[[#This Row],[Energy Exceeding Battery Allowance (kWh)]]/$Y$30,0)</f>
        <v>0</v>
      </c>
      <c r="AA21" s="277">
        <f t="shared" si="6"/>
        <v>72.54</v>
      </c>
      <c r="AB21" s="278">
        <f>IFERROR(Table1[[#This Row],[Total Cluster Energy Balance for P2P Trading (kWh)]]*Table1[[#This Row],[Energy Exceeding Battery Allowance %]],0)</f>
        <v>0</v>
      </c>
      <c r="AC21" s="279">
        <f>Table1[[#This Row],[P2P Import Consumption within Battery Allowance(kWh)]]+Table1[[#This Row],[P2P Import Consumption over Battery Allowance based on Energy Exceeding Allowance % (kWh)]]</f>
        <v>359</v>
      </c>
      <c r="AD21" s="279">
        <f>Table1[[#This Row],[Total Consumption Import  (kWh)]]-Table1[[#This Row],[Total P2P import (kWh)]]</f>
        <v>0</v>
      </c>
      <c r="AE21" s="280">
        <f>IFERROR(Table1[[#This Row],[Total P2P import (kWh)]]/$AC$30,0)</f>
        <v>0.0468798765191888</v>
      </c>
      <c r="AF21" s="281">
        <f t="shared" si="7"/>
        <v>1403</v>
      </c>
      <c r="AG21" s="281">
        <f t="shared" ref="AG21" si="22">AF21*AE21</f>
        <v>65.7724667564218</v>
      </c>
      <c r="AH21" s="292">
        <f t="shared" si="9"/>
        <v>697</v>
      </c>
      <c r="AI21" s="292">
        <f>Table1[[#This Row],[Cluster''s Total Common Services (kWh)]]*Table1[[#This Row],[Percentage of Unit Entitlement (%)]]</f>
        <v>48.093</v>
      </c>
      <c r="AJ21" s="293">
        <f>AG21*'Tariff Rates'!$B$3</f>
        <v>14.4699426864128</v>
      </c>
      <c r="AK21" s="293">
        <f>Table1[[#This Row],[Common Services based on Split per Unit Entitlement % to battery (kWh)]]*'Tariff Rates'!$B$3</f>
        <v>10.58046</v>
      </c>
      <c r="AL21" s="294">
        <f>Table1[[#This Row],[Total P2P import (kWh)]]*IF(Table1[[#This Row],[Total Lot Export (kWh)]]=0,'Tariff Rates'!$L$3,'Tariff Rates'!$B$3)</f>
        <v>129.24</v>
      </c>
      <c r="AM21" s="295">
        <f>Table1[[#This Row],[P2P Import Consumption over Battery Allowance based on Energy Exceeding Allowance % (kWh)]]*'Tariff Rates'!$J$3</f>
        <v>0</v>
      </c>
      <c r="AN21" s="296">
        <f>Table1[[#This Row],[Energy Import from Grid (kWh)]]*'Tariff Rates'!$E$3</f>
        <v>0</v>
      </c>
      <c r="AO21" s="316">
        <f t="shared" ref="AO21" si="23">SUM(AJ21:AN21)</f>
        <v>154.290402686413</v>
      </c>
      <c r="AP21" s="317" cm="1">
        <f t="array" ref="AP21">INDEX(Reading_export[1/1/2025],MATCH(1,(Reading_export[Lot]=A21)*(Reading_export[cluster]=$B$1),0))</f>
        <v>0</v>
      </c>
      <c r="AQ21" s="317" cm="1">
        <f t="array" ref="AQ21">INDEX(Reading_export[01/04/2025],MATCH(1,(Reading_export[Lot]=A21)*(Reading_export[cluster]=$B$1),0))</f>
        <v>0</v>
      </c>
      <c r="AR21" s="318">
        <f>Table1[[#This Row],[Last day of reporting period: export]]-Table1[[#This Row],[1st day of reporting period: export]]</f>
        <v>0</v>
      </c>
      <c r="AS21" s="319">
        <f t="shared" si="10"/>
        <v>0</v>
      </c>
      <c r="AT21" s="320">
        <f>Table1[[#This Row],[Percentage of Total export for Billing Period (%)]]*$AC$30</f>
        <v>0</v>
      </c>
      <c r="AU21" s="320">
        <f t="shared" si="11"/>
        <v>72.54</v>
      </c>
      <c r="AV21" s="321">
        <f>IFERROR(Table1[[#This Row],[Total Cluster Energy Balance for P2P Trading (kWh)2]]*Table1[[#This Row],[Unused Daily Allowance %]],0)</f>
        <v>5.89618139259317</v>
      </c>
      <c r="AW21" s="320">
        <f t="shared" ref="AW21" si="24">AS21*AF21</f>
        <v>0</v>
      </c>
      <c r="AX21" s="321">
        <f>Table1[[#This Row],[Cluster''s Total Common Services (kWh)]]*Table1[[#This Row],[Percentage of Total export for Billing Period (%)]]</f>
        <v>0</v>
      </c>
      <c r="AY21" s="321">
        <f>$Q$25*Table1[[#This Row],[Percentage of Total export for Billing Period (%)]]</f>
        <v>0</v>
      </c>
      <c r="AZ21"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0</v>
      </c>
      <c r="BA21" s="321">
        <f t="shared" si="13"/>
        <v>0</v>
      </c>
      <c r="BB21" s="321">
        <f>Table1[[#This Row],[Energy Losses When Export to Grid (kWh)]]*Table1[[#This Row],[Percentage of Total export for Billing Period (%)]]</f>
        <v>0</v>
      </c>
      <c r="BC21" s="321">
        <f>Table1[[#This Row],[Therotical Energy Export to Grid (kWh)]]-Table1[[#This Row],[Energy Losses When Export to Grid based up % total export (kWh)]]</f>
        <v>0</v>
      </c>
      <c r="BD21" s="334">
        <f>AW21*'Tariff Rates'!$C$3</f>
        <v>0</v>
      </c>
      <c r="BE21" s="334">
        <f>Table1[[#This Row],[Common Service based upon % total export to battery (kWh)]]*'Tariff Rates'!$C$3</f>
        <v>0</v>
      </c>
      <c r="BF21" s="334">
        <f>Table1[[#This Row],[EV Charger based upon % total export to battery (kWh)]]*'Tariff Rates'!$C$3</f>
        <v>0</v>
      </c>
      <c r="BG21" s="346">
        <f>AT21*'Tariff Rates'!$C$3</f>
        <v>0</v>
      </c>
      <c r="BH21" s="346">
        <f>Table1[[#This Row],[Borrowed Allowance Based on Unused Daily Allowance % (kWh)]]*'Tariff Rates'!$K$3</f>
        <v>-0.117923627851863</v>
      </c>
      <c r="BI21" s="346">
        <f>BC21*'Tariff Rates'!$F$3</f>
        <v>0</v>
      </c>
      <c r="BJ21" s="346">
        <f t="shared" si="19"/>
        <v>-0.117923627851863</v>
      </c>
      <c r="BK21" s="347">
        <f>$D$43*Table1[[#This Row],[Percentage of Unit Entitlement (%)]]</f>
        <v>0</v>
      </c>
      <c r="BL21" s="348">
        <f>BK21*'Tariff Rates'!$H$3</f>
        <v>0</v>
      </c>
      <c r="BM21" s="348">
        <f>($Q$25)*Table1[[#This Row],[Percentage of Unit Entitlement (%)]]*'Tariff Rates'!$B$3</f>
        <v>45.75252</v>
      </c>
      <c r="BN21" s="348">
        <f t="shared" ref="BN21" si="25">SUM(BM21,BL21)</f>
        <v>45.75252</v>
      </c>
      <c r="BO21" s="348">
        <f t="shared" ref="BO21" si="26">BK21</f>
        <v>0</v>
      </c>
      <c r="BP21" s="367">
        <f t="shared" ref="BP21" si="27">BO21+BN21</f>
        <v>45.75252</v>
      </c>
      <c r="BQ21" s="368">
        <f t="shared" si="14"/>
        <v>278.263870003045</v>
      </c>
      <c r="BR21" s="375"/>
      <c r="BS21" s="376"/>
      <c r="BT21" s="371">
        <v>14</v>
      </c>
    </row>
    <row r="22" spans="1:72">
      <c r="A22" s="157">
        <v>18</v>
      </c>
      <c r="B22" s="158" t="str" cm="1">
        <f t="array" ref="B22">INDEX(Table_Household_Alloc[Owner],MATCH(1,(Table_Household_Alloc[Lot]=A22)*(Table_Household_Alloc[cluster]=$B$1),0))</f>
        <v>Amy Steel</v>
      </c>
      <c r="C22" s="159" cm="1">
        <f t="array" ref="C22">INDEX(Reading_import[Meter'#],MATCH(1,(Table_Household_Alloc[Lot]=A22)*(Table_Household_Alloc[cluster]=$B$1),0))</f>
        <v>50002935</v>
      </c>
      <c r="D22" s="160" cm="1">
        <f t="array" ref="D22">INDEX(Table_Household_Alloc[UE % over Cluster],MATCH(1,(Table_Household_Alloc[Lot]=A22)*(Table_Household_Alloc[cluster]=$B$1),0))</f>
        <v>0.069</v>
      </c>
      <c r="E22" s="161" t="str" cm="1">
        <f t="array" ref="E22">INDEX(Table_Household_Alloc[Stage of Dev.],MATCH(1,(Table_Household_Alloc[Lot]=A22)*(Table_Household_Alloc[cluster]=$B$1),0))</f>
        <v>O</v>
      </c>
      <c r="F22" s="162" cm="1">
        <f t="array" ref="F22">INDEX(Amanda_energy[Daily_Supply_incl_GST],MATCH(1,(Amanda_energy[Cluster]=$B$1)*(Amanda_energy[Month]=$F$2),0))/MAX($A:$A)</f>
        <v>8.97368421052632</v>
      </c>
      <c r="G22" s="163" cm="1">
        <f t="array" ref="G22">INDEX(Amanda_energy[Daily_Supply_incl_GST],MATCH(1,(Amanda_energy[Cluster]=$B$1)*(Amanda_energy[Month]=$G$2),0))/MAX($A:$A)</f>
        <v>8.10526315789474</v>
      </c>
      <c r="H22" s="163" cm="1">
        <f t="array" ref="H22">INDEX(Amanda_energy[Daily_Supply_incl_GST],MATCH(1,(Amanda_energy[Cluster]=$B$1)*(Amanda_energy[Month]=$H$2),0))/MAX($A:$A)</f>
        <v>8.97368421052632</v>
      </c>
      <c r="I22" s="163">
        <f t="shared" si="1"/>
        <v>3.22684210526316</v>
      </c>
      <c r="J22" s="232">
        <f>'Tariff Rates'!$B$8*$J$3</f>
        <v>13.5616438356164</v>
      </c>
      <c r="K22" s="232">
        <f>'Tariff Rates'!$C$8*Table1[[#This Row],[Percentage of Unit Entitlement (%)]]*'Energy billing Mastersheet_fml'!$K$3</f>
        <v>14.5977534246575</v>
      </c>
      <c r="L22" s="232">
        <f>$L$3*'Tariff Rates'!$D$8*IF(Table1[[#This Row],[Stage of Dev.]]="V",0,1)</f>
        <v>19.8</v>
      </c>
      <c r="M22" s="233">
        <v>1.1</v>
      </c>
      <c r="N22" s="234">
        <f t="shared" ref="N22:N23" si="28">SUM(F22:M22)</f>
        <v>78.3388709444845</v>
      </c>
      <c r="O22" s="235" cm="1">
        <f t="array" ref="O22">INDEX(Reading_import[1/1/2025],MATCH(1,(Reading_import[Lot]=A22)*(Reading_import[cluster]=$B$1),0))</f>
        <v>4379</v>
      </c>
      <c r="P22" s="236" cm="1">
        <f t="array" ref="P22">INDEX(Reading_import[01/04/2025],MATCH(1,(Reading_import[Lot]=A22)*(Reading_import[cluster]=$B$1),0))</f>
        <v>6007</v>
      </c>
      <c r="Q22" s="255">
        <f>Table1[[#This Row],[Last day of reporting period: import]]-Table1[[#This Row],[1st day of reporting period: import]]</f>
        <v>1628</v>
      </c>
      <c r="R22" s="256">
        <f t="shared" ref="R22:R23" si="29">Q22/$N$3</f>
        <v>18.0888888888889</v>
      </c>
      <c r="S22" s="257">
        <f t="shared" si="4"/>
        <v>0.209620931190771</v>
      </c>
      <c r="T22" s="258">
        <f>IF(Table1[[#This Row],[Stage of Dev.]]="V",0,233*Table1[[#This Row],[Percentage of Unit Entitlement (%)]])</f>
        <v>16.077</v>
      </c>
      <c r="U22" s="259">
        <f t="shared" ref="U22:U23" si="30">IF(T22&gt;R22,R22,T22)</f>
        <v>16.077</v>
      </c>
      <c r="V22" s="259">
        <f>Table1[[#This Row],[Daily Battery allowance based on UE% (kWh)]]-Table1[[#This Row],[Applicable Battery Allowance Daily Consumption (kWh)]]</f>
        <v>0</v>
      </c>
      <c r="W22" s="260">
        <f>Table1[[#This Row],[Unused Daily Allowance (kWh)]]/$V$30</f>
        <v>0</v>
      </c>
      <c r="X22" s="259">
        <f>IF(Table1[[#This Row],[Applicable Battery Allowance Daily Consumption (kWh)]]&gt;Table1[[#This Row],[Total Daily Average Consumptio for Billing Period (kWh)]],Table1[[#This Row],[Total Consumption Import  (kWh)]],U22*$N$3)</f>
        <v>1446.93</v>
      </c>
      <c r="Y22" s="275">
        <f>IF(Table1[[#This Row],[Applicable Battery Allowance Daily Consumption (kWh)]]&gt;0,ABS(Q22-X22),0)</f>
        <v>181.07</v>
      </c>
      <c r="Z22" s="276">
        <f>IFERROR(Table1[[#This Row],[Energy Exceeding Battery Allowance (kWh)]]/$Y$30,0)</f>
        <v>1</v>
      </c>
      <c r="AA22" s="277">
        <f t="shared" si="6"/>
        <v>72.54</v>
      </c>
      <c r="AB22" s="278">
        <f>IFERROR(Table1[[#This Row],[Total Cluster Energy Balance for P2P Trading (kWh)]]*Table1[[#This Row],[Energy Exceeding Battery Allowance %]],0)</f>
        <v>72.54</v>
      </c>
      <c r="AC22" s="279">
        <f>Table1[[#This Row],[P2P Import Consumption within Battery Allowance(kWh)]]+Table1[[#This Row],[P2P Import Consumption over Battery Allowance based on Energy Exceeding Allowance % (kWh)]]</f>
        <v>1519.47</v>
      </c>
      <c r="AD22" s="279">
        <f>Table1[[#This Row],[Total Consumption Import  (kWh)]]-Table1[[#This Row],[Total P2P import (kWh)]]</f>
        <v>108.53</v>
      </c>
      <c r="AE22" s="280">
        <f>IFERROR(Table1[[#This Row],[Total P2P import (kWh)]]/$AC$30,0)</f>
        <v>0.198419403829002</v>
      </c>
      <c r="AF22" s="281">
        <f t="shared" si="7"/>
        <v>1403</v>
      </c>
      <c r="AG22" s="281">
        <f t="shared" ref="AG22:AG23" si="31">AF22*AE22</f>
        <v>278.38242357209</v>
      </c>
      <c r="AH22" s="292">
        <f t="shared" si="9"/>
        <v>697</v>
      </c>
      <c r="AI22" s="292">
        <f>Table1[[#This Row],[Cluster''s Total Common Services (kWh)]]*Table1[[#This Row],[Percentage of Unit Entitlement (%)]]</f>
        <v>48.093</v>
      </c>
      <c r="AJ22" s="293">
        <f>AG22*'Tariff Rates'!$B$3</f>
        <v>61.2441331858598</v>
      </c>
      <c r="AK22" s="293">
        <f>Table1[[#This Row],[Common Services based on Split per Unit Entitlement % to battery (kWh)]]*'Tariff Rates'!$B$3</f>
        <v>10.58046</v>
      </c>
      <c r="AL22" s="294">
        <f>Table1[[#This Row],[Total P2P import (kWh)]]*IF(Table1[[#This Row],[Total Lot Export (kWh)]]=0,'Tariff Rates'!$L$3,'Tariff Rates'!$B$3)</f>
        <v>334.2834</v>
      </c>
      <c r="AM22" s="295">
        <f>Table1[[#This Row],[P2P Import Consumption over Battery Allowance based on Energy Exceeding Allowance % (kWh)]]*'Tariff Rates'!$J$3</f>
        <v>1.4508</v>
      </c>
      <c r="AN22" s="296">
        <f>Table1[[#This Row],[Energy Import from Grid (kWh)]]*'Tariff Rates'!$E$3</f>
        <v>32.559</v>
      </c>
      <c r="AO22" s="316">
        <f t="shared" ref="AO22:AO23" si="32">SUM(AJ22:AN22)</f>
        <v>440.11779318586</v>
      </c>
      <c r="AP22" s="317" cm="1">
        <f t="array" ref="AP22">INDEX(Reading_export[1/1/2025],MATCH(1,(Reading_export[Lot]=A22)*(Reading_export[cluster]=$B$1),0))</f>
        <v>4017</v>
      </c>
      <c r="AQ22" s="317" cm="1">
        <f t="array" ref="AQ22">INDEX(Reading_export[01/04/2025],MATCH(1,(Reading_export[Lot]=A22)*(Reading_export[cluster]=$B$1),0))</f>
        <v>7545</v>
      </c>
      <c r="AR22" s="318">
        <f>Table1[[#This Row],[Last day of reporting period: export]]-Table1[[#This Row],[1st day of reporting period: export]]</f>
        <v>3528</v>
      </c>
      <c r="AS22" s="319">
        <f t="shared" si="10"/>
        <v>0.067152801174032</v>
      </c>
      <c r="AT22" s="320">
        <f>Table1[[#This Row],[Percentage of Total export for Billing Period (%)]]*$AC$30</f>
        <v>514.247421526584</v>
      </c>
      <c r="AU22" s="320">
        <f t="shared" si="11"/>
        <v>72.54</v>
      </c>
      <c r="AV22" s="321">
        <f>IFERROR(Table1[[#This Row],[Total Cluster Energy Balance for P2P Trading (kWh)2]]*Table1[[#This Row],[Unused Daily Allowance %]],0)</f>
        <v>0</v>
      </c>
      <c r="AW22" s="320">
        <f t="shared" ref="AW22:AW23" si="33">AS22*AF22</f>
        <v>94.2153800471668</v>
      </c>
      <c r="AX22" s="321">
        <f>Table1[[#This Row],[Cluster''s Total Common Services (kWh)]]*Table1[[#This Row],[Percentage of Total export for Billing Period (%)]]</f>
        <v>46.8055024183003</v>
      </c>
      <c r="AY22" s="321">
        <f>$Q$25*Table1[[#This Row],[Percentage of Total export for Billing Period (%)]]</f>
        <v>202.398542738532</v>
      </c>
      <c r="AZ22"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2670.33315326942</v>
      </c>
      <c r="BA22" s="321">
        <f t="shared" si="13"/>
        <v>0</v>
      </c>
      <c r="BB22" s="321">
        <f>Table1[[#This Row],[Energy Losses When Export to Grid (kWh)]]*Table1[[#This Row],[Percentage of Total export for Billing Period (%)]]</f>
        <v>0</v>
      </c>
      <c r="BC22" s="321">
        <f>Table1[[#This Row],[Therotical Energy Export to Grid (kWh)]]-Table1[[#This Row],[Energy Losses When Export to Grid based up % total export (kWh)]]</f>
        <v>2670.33315326942</v>
      </c>
      <c r="BD22" s="334">
        <f>AW22*'Tariff Rates'!$C$3</f>
        <v>-20.7273836103767</v>
      </c>
      <c r="BE22" s="334">
        <f>Table1[[#This Row],[Common Service based upon % total export to battery (kWh)]]*'Tariff Rates'!$C$3</f>
        <v>-10.2972105320261</v>
      </c>
      <c r="BF22" s="334">
        <f>Table1[[#This Row],[EV Charger based upon % total export to battery (kWh)]]*'Tariff Rates'!$C$3</f>
        <v>-44.5276794024771</v>
      </c>
      <c r="BG22" s="346">
        <f>AT22*'Tariff Rates'!$C$3</f>
        <v>-113.134432735849</v>
      </c>
      <c r="BH22" s="346">
        <f>Table1[[#This Row],[Borrowed Allowance Based on Unused Daily Allowance % (kWh)]]*'Tariff Rates'!$K$3</f>
        <v>0</v>
      </c>
      <c r="BI22" s="346">
        <f>BC22*'Tariff Rates'!$F$3</f>
        <v>-102.807826400873</v>
      </c>
      <c r="BJ22" s="346">
        <f t="shared" si="19"/>
        <v>-291.494532681601</v>
      </c>
      <c r="BK22" s="347">
        <f>$D$43*Table1[[#This Row],[Percentage of Unit Entitlement (%)]]</f>
        <v>0</v>
      </c>
      <c r="BL22" s="348">
        <f>BK22*'Tariff Rates'!$H$3</f>
        <v>0</v>
      </c>
      <c r="BM22" s="348">
        <f>($Q$25)*Table1[[#This Row],[Percentage of Unit Entitlement (%)]]*'Tariff Rates'!$B$3</f>
        <v>45.75252</v>
      </c>
      <c r="BN22" s="348">
        <f t="shared" ref="BN22:BN23" si="34">SUM(BM22,BL22)</f>
        <v>45.75252</v>
      </c>
      <c r="BO22" s="348">
        <f t="shared" ref="BO22:BO23" si="35">BK22</f>
        <v>0</v>
      </c>
      <c r="BP22" s="367">
        <f t="shared" ref="BP22:BP23" si="36">BO22+BN22</f>
        <v>45.75252</v>
      </c>
      <c r="BQ22" s="368">
        <f t="shared" ref="BQ22:BQ23" si="37">AO22+BJ22+N22+BP22</f>
        <v>272.714651448743</v>
      </c>
      <c r="BR22" s="372"/>
      <c r="BS22" s="373"/>
      <c r="BT22" s="374">
        <v>15</v>
      </c>
    </row>
    <row r="23" spans="1:72">
      <c r="A23" s="157">
        <v>19</v>
      </c>
      <c r="B23" s="158" t="str" cm="1">
        <f t="array" ref="B23">INDEX(Table_Household_Alloc[Owner],MATCH(1,(Table_Household_Alloc[Lot]=A23)*(Table_Household_Alloc[cluster]=$B$1),0))</f>
        <v>Laurence Hansen
Janet Anne Hansen</v>
      </c>
      <c r="C23" s="159" cm="1">
        <f t="array" ref="C23">INDEX(Reading_import[Meter'#],MATCH(1,(Table_Household_Alloc[Lot]=A23)*(Table_Household_Alloc[cluster]=$B$1),0))</f>
        <v>50003417</v>
      </c>
      <c r="D23" s="160" cm="1">
        <f t="array" ref="D23">INDEX(Table_Household_Alloc[UE % over Cluster],MATCH(1,(Table_Household_Alloc[Lot]=A23)*(Table_Household_Alloc[cluster]=$B$1),0))</f>
        <v>0.079</v>
      </c>
      <c r="E23" s="161" t="str" cm="1">
        <f t="array" ref="E23">INDEX(Table_Household_Alloc[Stage of Dev.],MATCH(1,(Table_Household_Alloc[Lot]=A23)*(Table_Household_Alloc[cluster]=$B$1),0))</f>
        <v>O</v>
      </c>
      <c r="F23" s="162" cm="1">
        <f t="array" ref="F23">INDEX(Amanda_energy[Daily_Supply_incl_GST],MATCH(1,(Amanda_energy[Cluster]=$B$1)*(Amanda_energy[Month]=$F$2),0))/MAX($A:$A)</f>
        <v>8.97368421052632</v>
      </c>
      <c r="G23" s="163" cm="1">
        <f t="array" ref="G23">INDEX(Amanda_energy[Daily_Supply_incl_GST],MATCH(1,(Amanda_energy[Cluster]=$B$1)*(Amanda_energy[Month]=$G$2),0))/MAX($A:$A)</f>
        <v>8.10526315789474</v>
      </c>
      <c r="H23" s="163" cm="1">
        <f t="array" ref="H23">INDEX(Amanda_energy[Daily_Supply_incl_GST],MATCH(1,(Amanda_energy[Cluster]=$B$1)*(Amanda_energy[Month]=$H$2),0))/MAX($A:$A)</f>
        <v>8.97368421052632</v>
      </c>
      <c r="I23" s="163">
        <f t="shared" si="1"/>
        <v>3.22684210526316</v>
      </c>
      <c r="J23" s="232">
        <f>'Tariff Rates'!$B$8*$J$3</f>
        <v>13.5616438356164</v>
      </c>
      <c r="K23" s="232">
        <f>'Tariff Rates'!$C$8*Table1[[#This Row],[Percentage of Unit Entitlement (%)]]*'Energy billing Mastersheet_fml'!$K$3</f>
        <v>16.7133698630137</v>
      </c>
      <c r="L23" s="232">
        <f>$L$3*'Tariff Rates'!$D$8*IF(Table1[[#This Row],[Stage of Dev.]]="V",0,1)</f>
        <v>19.8</v>
      </c>
      <c r="M23" s="233">
        <v>1.1</v>
      </c>
      <c r="N23" s="234">
        <f t="shared" si="28"/>
        <v>80.4544873828407</v>
      </c>
      <c r="O23" s="235" cm="1">
        <f t="array" ref="O23">INDEX(Reading_import[1/1/2025],MATCH(1,(Reading_import[Lot]=A23)*(Reading_import[cluster]=$B$1),0))</f>
        <v>10411</v>
      </c>
      <c r="P23" s="236" cm="1">
        <f t="array" ref="P23">INDEX(Reading_import[01/04/2025],MATCH(1,(Reading_import[Lot]=A23)*(Reading_import[cluster]=$B$1),0))</f>
        <v>10951</v>
      </c>
      <c r="Q23" s="255">
        <f>Table1[[#This Row],[Last day of reporting period: import]]-Table1[[#This Row],[1st day of reporting period: import]]</f>
        <v>540</v>
      </c>
      <c r="R23" s="256">
        <f t="shared" si="29"/>
        <v>6</v>
      </c>
      <c r="S23" s="257">
        <f t="shared" si="4"/>
        <v>0.0695302843016069</v>
      </c>
      <c r="T23" s="258">
        <f>IF(Table1[[#This Row],[Stage of Dev.]]="V",0,233*Table1[[#This Row],[Percentage of Unit Entitlement (%)]])</f>
        <v>18.407</v>
      </c>
      <c r="U23" s="259">
        <f t="shared" si="30"/>
        <v>6</v>
      </c>
      <c r="V23" s="259">
        <f>Table1[[#This Row],[Daily Battery allowance based on UE% (kWh)]]-Table1[[#This Row],[Applicable Battery Allowance Daily Consumption (kWh)]]</f>
        <v>12.407</v>
      </c>
      <c r="W23" s="260">
        <f>Table1[[#This Row],[Unused Daily Allowance (kWh)]]/$V$30</f>
        <v>0.0834260388937493</v>
      </c>
      <c r="X23" s="259">
        <f>IF(Table1[[#This Row],[Applicable Battery Allowance Daily Consumption (kWh)]]&gt;Table1[[#This Row],[Total Daily Average Consumptio for Billing Period (kWh)]],Table1[[#This Row],[Total Consumption Import  (kWh)]],U23*$N$3)</f>
        <v>540</v>
      </c>
      <c r="Y23" s="275">
        <f>IF(Table1[[#This Row],[Applicable Battery Allowance Daily Consumption (kWh)]]&gt;0,ABS(Q23-X23),0)</f>
        <v>0</v>
      </c>
      <c r="Z23" s="276">
        <f>IFERROR(Table1[[#This Row],[Energy Exceeding Battery Allowance (kWh)]]/$Y$30,0)</f>
        <v>0</v>
      </c>
      <c r="AA23" s="277">
        <f t="shared" si="6"/>
        <v>72.54</v>
      </c>
      <c r="AB23" s="278">
        <f>IFERROR(Table1[[#This Row],[Total Cluster Energy Balance for P2P Trading (kWh)]]*Table1[[#This Row],[Energy Exceeding Battery Allowance %]],0)</f>
        <v>0</v>
      </c>
      <c r="AC23" s="279">
        <f>Table1[[#This Row],[P2P Import Consumption within Battery Allowance(kWh)]]+Table1[[#This Row],[P2P Import Consumption over Battery Allowance based on Energy Exceeding Allowance % (kWh)]]</f>
        <v>540</v>
      </c>
      <c r="AD23" s="279">
        <f>Table1[[#This Row],[Total Consumption Import  (kWh)]]-Table1[[#This Row],[Total P2P import (kWh)]]</f>
        <v>0</v>
      </c>
      <c r="AE23" s="280">
        <f>IFERROR(Table1[[#This Row],[Total P2P import (kWh)]]/$AC$30,0)</f>
        <v>0.0705156917001725</v>
      </c>
      <c r="AF23" s="281">
        <f t="shared" si="7"/>
        <v>1403</v>
      </c>
      <c r="AG23" s="281">
        <f t="shared" si="31"/>
        <v>98.933515455342</v>
      </c>
      <c r="AH23" s="292">
        <f t="shared" si="9"/>
        <v>697</v>
      </c>
      <c r="AI23" s="292">
        <f>Table1[[#This Row],[Cluster''s Total Common Services (kWh)]]*Table1[[#This Row],[Percentage of Unit Entitlement (%)]]</f>
        <v>55.063</v>
      </c>
      <c r="AJ23" s="293">
        <f>AG23*'Tariff Rates'!$B$3</f>
        <v>21.7653734001752</v>
      </c>
      <c r="AK23" s="293">
        <f>Table1[[#This Row],[Common Services based on Split per Unit Entitlement % to battery (kWh)]]*'Tariff Rates'!$B$3</f>
        <v>12.11386</v>
      </c>
      <c r="AL23" s="294">
        <f>Table1[[#This Row],[Total P2P import (kWh)]]*IF(Table1[[#This Row],[Total Lot Export (kWh)]]=0,'Tariff Rates'!$L$3,'Tariff Rates'!$B$3)</f>
        <v>118.8</v>
      </c>
      <c r="AM23" s="295">
        <f>Table1[[#This Row],[P2P Import Consumption over Battery Allowance based on Energy Exceeding Allowance % (kWh)]]*'Tariff Rates'!$J$3</f>
        <v>0</v>
      </c>
      <c r="AN23" s="296">
        <f>Table1[[#This Row],[Energy Import from Grid (kWh)]]*'Tariff Rates'!$E$3</f>
        <v>0</v>
      </c>
      <c r="AO23" s="316">
        <f t="shared" si="32"/>
        <v>152.679233400175</v>
      </c>
      <c r="AP23" s="317" cm="1">
        <f t="array" ref="AP23">INDEX(Reading_export[1/1/2025],MATCH(1,(Reading_export[Lot]=A23)*(Reading_export[cluster]=$B$1),0))</f>
        <v>25220</v>
      </c>
      <c r="AQ23" s="317" cm="1">
        <f t="array" ref="AQ23">INDEX(Reading_export[01/04/2025],MATCH(1,(Reading_export[Lot]=A23)*(Reading_export[cluster]=$B$1),0))</f>
        <v>29966</v>
      </c>
      <c r="AR23" s="318">
        <f>Table1[[#This Row],[Last day of reporting period: export]]-Table1[[#This Row],[1st day of reporting period: export]]</f>
        <v>4746</v>
      </c>
      <c r="AS23" s="319">
        <f t="shared" si="10"/>
        <v>0.0903365063412573</v>
      </c>
      <c r="AT23" s="320">
        <f>Table1[[#This Row],[Percentage of Total export for Billing Period (%)]]*$AC$30</f>
        <v>691.785221815524</v>
      </c>
      <c r="AU23" s="320">
        <f t="shared" si="11"/>
        <v>72.54</v>
      </c>
      <c r="AV23" s="321">
        <f>IFERROR(Table1[[#This Row],[Total Cluster Energy Balance for P2P Trading (kWh)2]]*Table1[[#This Row],[Unused Daily Allowance %]],0)</f>
        <v>6.05172486135258</v>
      </c>
      <c r="AW23" s="320">
        <f t="shared" si="33"/>
        <v>126.742118396784</v>
      </c>
      <c r="AX23" s="321">
        <f>Table1[[#This Row],[Cluster''s Total Common Services (kWh)]]*Table1[[#This Row],[Percentage of Total export for Billing Period (%)]]</f>
        <v>62.9645449198563</v>
      </c>
      <c r="AY23" s="321">
        <f>$Q$25*Table1[[#This Row],[Percentage of Total export for Billing Period (%)]]</f>
        <v>272.274230112549</v>
      </c>
      <c r="AZ23" s="321">
        <f>Table1[[#This Row],[Total Lot Export (kWh)]]-Table1[[#This Row],[Total Energy Export P2P to battery (kWh)]]-Table1[[#This Row],[Axillary Battery Losses based upon Adjusted % total export (kWh)]]-Table1[[#This Row],[Common Service based upon % total export to battery (kWh)]]-Table1[[#This Row],[EV Charger based upon % total export to battery (kWh)]]</f>
        <v>3592.23388475529</v>
      </c>
      <c r="BA23" s="321">
        <f t="shared" si="13"/>
        <v>0</v>
      </c>
      <c r="BB23" s="321">
        <f>Table1[[#This Row],[Energy Losses When Export to Grid (kWh)]]*Table1[[#This Row],[Percentage of Total export for Billing Period (%)]]</f>
        <v>0</v>
      </c>
      <c r="BC23" s="321">
        <f>Table1[[#This Row],[Therotical Energy Export to Grid (kWh)]]-Table1[[#This Row],[Energy Losses When Export to Grid based up % total export (kWh)]]</f>
        <v>3592.23388475529</v>
      </c>
      <c r="BD23" s="334">
        <f>AW23*'Tariff Rates'!$C$3</f>
        <v>-27.8832660472925</v>
      </c>
      <c r="BE23" s="334">
        <f>Table1[[#This Row],[Common Service based upon % total export to battery (kWh)]]*'Tariff Rates'!$C$3</f>
        <v>-13.8521998823684</v>
      </c>
      <c r="BF23" s="334">
        <f>Table1[[#This Row],[EV Charger based upon % total export to battery (kWh)]]*'Tariff Rates'!$C$3</f>
        <v>-59.9003306247609</v>
      </c>
      <c r="BG23" s="346">
        <f>AT23*'Tariff Rates'!$C$3</f>
        <v>-152.192748799415</v>
      </c>
      <c r="BH23" s="346">
        <f>Table1[[#This Row],[Borrowed Allowance Based on Unused Daily Allowance % (kWh)]]*'Tariff Rates'!$K$3</f>
        <v>-0.121034497227052</v>
      </c>
      <c r="BI23" s="346">
        <f>BC23*'Tariff Rates'!$F$3</f>
        <v>-138.301004563079</v>
      </c>
      <c r="BJ23" s="346">
        <f t="shared" si="19"/>
        <v>-392.250584414143</v>
      </c>
      <c r="BK23" s="347">
        <f>$D$43*Table1[[#This Row],[Percentage of Unit Entitlement (%)]]</f>
        <v>0</v>
      </c>
      <c r="BL23" s="348">
        <f>BK23*'Tariff Rates'!$H$3</f>
        <v>0</v>
      </c>
      <c r="BM23" s="348">
        <f>($Q$25)*Table1[[#This Row],[Percentage of Unit Entitlement (%)]]*'Tariff Rates'!$B$3</f>
        <v>52.38332</v>
      </c>
      <c r="BN23" s="348">
        <f t="shared" si="34"/>
        <v>52.38332</v>
      </c>
      <c r="BO23" s="348">
        <f t="shared" si="35"/>
        <v>0</v>
      </c>
      <c r="BP23" s="367">
        <f t="shared" si="36"/>
        <v>52.38332</v>
      </c>
      <c r="BQ23" s="368">
        <f t="shared" si="37"/>
        <v>-106.733543631127</v>
      </c>
      <c r="BR23" s="375"/>
      <c r="BS23" s="376"/>
      <c r="BT23" s="371">
        <v>16</v>
      </c>
    </row>
    <row r="24" spans="1:72">
      <c r="A24" s="165" t="s">
        <v>334</v>
      </c>
      <c r="B24" s="166" t="s">
        <v>335</v>
      </c>
      <c r="C24" s="159" cm="1">
        <f t="array" ref="C24">INDEX(Reading_import[Meter'#],MATCH(1,(Table_Household_Alloc[Lot]=A24)*(Table_Household_Alloc[cluster]=$B$1),0))</f>
        <v>40002722</v>
      </c>
      <c r="D24" s="160"/>
      <c r="E24" s="167"/>
      <c r="F24" s="168"/>
      <c r="G24" s="169"/>
      <c r="H24" s="169"/>
      <c r="I24" s="233"/>
      <c r="J24" s="237"/>
      <c r="K24" s="237"/>
      <c r="L24" s="237"/>
      <c r="M24" s="233"/>
      <c r="N24" s="234"/>
      <c r="O24" s="235" cm="1">
        <f t="array" ref="O24">INDEX(Reading_import[1/1/2025],MATCH(1,(Reading_import[Lot]=A24)*(Reading_import[cluster]=$B$1),0))</f>
        <v>42252</v>
      </c>
      <c r="P24" s="236" cm="1">
        <f t="array" ref="P24">INDEX(Reading_import[01/04/2025],MATCH(1,(Reading_import[Lot]=A24)*(Reading_import[cluster]=$B$1),0))</f>
        <v>50626</v>
      </c>
      <c r="Q24" s="255">
        <f>Table1[[#This Row],[Last day of reporting period: import]]-Table1[[#This Row],[1st day of reporting period: import]]</f>
        <v>8374</v>
      </c>
      <c r="R24" s="256"/>
      <c r="S24" s="257"/>
      <c r="T24" s="261"/>
      <c r="U24" s="259"/>
      <c r="V24" s="259"/>
      <c r="W24" s="260"/>
      <c r="X24" s="259"/>
      <c r="Y24" s="275"/>
      <c r="Z24" s="276"/>
      <c r="AA24" s="276"/>
      <c r="AB24" s="279"/>
      <c r="AC24" s="279"/>
      <c r="AD24" s="279"/>
      <c r="AE24" s="281"/>
      <c r="AF24" s="281"/>
      <c r="AG24" s="281"/>
      <c r="AH24" s="297"/>
      <c r="AI24" s="297"/>
      <c r="AJ24" s="293"/>
      <c r="AK24" s="293"/>
      <c r="AL24" s="298"/>
      <c r="AM24" s="299"/>
      <c r="AN24" s="296"/>
      <c r="AO24" s="316"/>
      <c r="AP24" s="317" cm="1">
        <f t="array" ref="AP24">INDEX(Reading_export[1/1/2025],MATCH(1,(Reading_export[Lot]=A24)*(Reading_export[cluster]=$B$1),0))</f>
        <v>33894</v>
      </c>
      <c r="AQ24" s="317" cm="1">
        <f t="array" ref="AQ24">INDEX(Reading_export[01/04/2025],MATCH(1,(Reading_export[Lot]=A24)*(Reading_export[cluster]=$B$1),0))</f>
        <v>40865</v>
      </c>
      <c r="AR24" s="318">
        <f>Table1[[#This Row],[Last day of reporting period: export]]-Table1[[#This Row],[1st day of reporting period: export]]</f>
        <v>6971</v>
      </c>
      <c r="AS24" s="319"/>
      <c r="AT24" s="320"/>
      <c r="AU24" s="320"/>
      <c r="AV24" s="321"/>
      <c r="AW24" s="320"/>
      <c r="AX24" s="335"/>
      <c r="AY24" s="335"/>
      <c r="AZ24" s="335"/>
      <c r="BA24" s="335"/>
      <c r="BB24" s="335"/>
      <c r="BC24" s="335"/>
      <c r="BD24" s="336"/>
      <c r="BE24" s="349"/>
      <c r="BF24" s="349"/>
      <c r="BG24" s="349"/>
      <c r="BH24" s="349"/>
      <c r="BI24" s="350"/>
      <c r="BJ24" s="350"/>
      <c r="BK24" s="351"/>
      <c r="BL24" s="352"/>
      <c r="BM24" s="352"/>
      <c r="BN24" s="352"/>
      <c r="BO24" s="352"/>
      <c r="BP24" s="377"/>
      <c r="BQ24" s="378"/>
      <c r="BR24" s="379" t="s">
        <v>940</v>
      </c>
      <c r="BS24" s="380"/>
      <c r="BT24" s="381" t="s">
        <v>334</v>
      </c>
    </row>
    <row r="25" spans="1:72">
      <c r="A25" s="165" t="s">
        <v>336</v>
      </c>
      <c r="B25" s="166" t="s">
        <v>338</v>
      </c>
      <c r="C25" s="159" cm="1">
        <f t="array" ref="C25">INDEX(Reading_import[Meter'#],MATCH(1,(Table_Household_Alloc[Lot]=A25)*(Table_Household_Alloc[cluster]=$B$1),0))</f>
        <v>40002728</v>
      </c>
      <c r="D25" s="159"/>
      <c r="E25" s="167"/>
      <c r="F25" s="168"/>
      <c r="G25" s="169"/>
      <c r="H25" s="169"/>
      <c r="I25" s="233"/>
      <c r="J25" s="237"/>
      <c r="K25" s="237"/>
      <c r="L25" s="237"/>
      <c r="M25" s="233"/>
      <c r="N25" s="234"/>
      <c r="O25" s="235" cm="1">
        <f t="array" ref="O25">INDEX(Reading_import[1/1/2025],MATCH(1,(Reading_import[Lot]=A25)*(Reading_import[cluster]=$B$1),0))</f>
        <v>7349</v>
      </c>
      <c r="P25" s="236" cm="1">
        <f t="array" ref="P25">INDEX(Reading_import[01/04/2025],MATCH(1,(Reading_import[Lot]=A25)*(Reading_import[cluster]=$B$1),0))</f>
        <v>10363</v>
      </c>
      <c r="Q25" s="255">
        <f>Table1[[#This Row],[Last day of reporting period: import]]-Table1[[#This Row],[1st day of reporting period: import]]</f>
        <v>3014</v>
      </c>
      <c r="R25" s="256"/>
      <c r="S25" s="257"/>
      <c r="T25" s="261"/>
      <c r="U25" s="262"/>
      <c r="V25" s="262"/>
      <c r="W25" s="260"/>
      <c r="X25" s="259"/>
      <c r="Y25" s="275"/>
      <c r="Z25" s="276"/>
      <c r="AA25" s="276"/>
      <c r="AB25" s="279"/>
      <c r="AC25" s="279"/>
      <c r="AD25" s="279"/>
      <c r="AE25" s="281"/>
      <c r="AF25" s="281"/>
      <c r="AG25" s="281"/>
      <c r="AH25" s="297"/>
      <c r="AI25" s="297"/>
      <c r="AJ25" s="293"/>
      <c r="AK25" s="293"/>
      <c r="AL25" s="298"/>
      <c r="AM25" s="299"/>
      <c r="AN25" s="296"/>
      <c r="AO25" s="316"/>
      <c r="AP25" s="317" cm="1">
        <f t="array" ref="AP25">INDEX(Reading_export[1/1/2025],MATCH(1,(Reading_export[Lot]=A25)*(Reading_export[cluster]=$B$1),0))</f>
        <v>0</v>
      </c>
      <c r="AQ25" s="317" cm="1">
        <f t="array" ref="AQ25">INDEX(Reading_export[01/04/2025],MATCH(1,(Reading_export[Lot]=A25)*(Reading_export[cluster]=$B$1),0))</f>
        <v>0</v>
      </c>
      <c r="AR25" s="318">
        <f>Table1[[#This Row],[Last day of reporting period: export]]-Table1[[#This Row],[1st day of reporting period: export]]</f>
        <v>0</v>
      </c>
      <c r="AS25" s="319"/>
      <c r="AT25" s="320"/>
      <c r="AU25" s="320"/>
      <c r="AV25" s="320"/>
      <c r="AW25" s="320"/>
      <c r="AX25" s="335"/>
      <c r="AY25" s="335"/>
      <c r="AZ25" s="335"/>
      <c r="BA25" s="335"/>
      <c r="BB25" s="335"/>
      <c r="BC25" s="335"/>
      <c r="BD25" s="336"/>
      <c r="BE25" s="349"/>
      <c r="BF25" s="349"/>
      <c r="BG25" s="349"/>
      <c r="BH25" s="349"/>
      <c r="BI25" s="350"/>
      <c r="BJ25" s="350"/>
      <c r="BK25" s="347"/>
      <c r="BL25" s="348"/>
      <c r="BM25" s="348"/>
      <c r="BN25" s="348"/>
      <c r="BO25" s="348"/>
      <c r="BP25" s="367"/>
      <c r="BQ25" s="378"/>
      <c r="BR25" s="379"/>
      <c r="BS25" s="380"/>
      <c r="BT25" s="381" t="s">
        <v>336</v>
      </c>
    </row>
    <row r="26" spans="1:72">
      <c r="A26" s="165" t="s">
        <v>339</v>
      </c>
      <c r="B26" s="166" t="s">
        <v>340</v>
      </c>
      <c r="C26" s="159" cm="1">
        <f t="array" ref="C26">INDEX(Reading_import[Meter'#],MATCH(1,(Table_Household_Alloc[Lot]=A26)*(Table_Household_Alloc[cluster]=$B$1),0))</f>
        <v>50003429</v>
      </c>
      <c r="D26" s="159"/>
      <c r="E26" s="167"/>
      <c r="F26" s="168"/>
      <c r="G26" s="169"/>
      <c r="H26" s="169"/>
      <c r="I26" s="233"/>
      <c r="J26" s="237"/>
      <c r="K26" s="237"/>
      <c r="L26" s="237"/>
      <c r="M26" s="233"/>
      <c r="N26" s="234"/>
      <c r="O26" s="235" cm="1">
        <f t="array" ref="O26">INDEX(Reading_import[1/1/2025],MATCH(1,(Reading_import[Lot]=A26)*(Reading_import[cluster]=$B$1),0))</f>
        <v>3640</v>
      </c>
      <c r="P26" s="236" cm="1">
        <f t="array" ref="P26">INDEX(Reading_import[01/04/2025],MATCH(1,(Reading_import[Lot]=A26)*(Reading_import[cluster]=$B$1),0))</f>
        <v>4295</v>
      </c>
      <c r="Q26" s="255">
        <f>Table1[[#This Row],[Last day of reporting period: import]]-Table1[[#This Row],[1st day of reporting period: import]]</f>
        <v>655</v>
      </c>
      <c r="R26" s="256"/>
      <c r="S26" s="257"/>
      <c r="T26" s="261"/>
      <c r="U26" s="262"/>
      <c r="V26" s="262"/>
      <c r="W26" s="260"/>
      <c r="X26" s="259"/>
      <c r="Y26" s="275"/>
      <c r="Z26" s="276"/>
      <c r="AA26" s="276"/>
      <c r="AB26" s="279"/>
      <c r="AC26" s="279"/>
      <c r="AD26" s="279"/>
      <c r="AE26" s="281"/>
      <c r="AF26" s="281"/>
      <c r="AG26" s="281"/>
      <c r="AH26" s="297"/>
      <c r="AI26" s="297"/>
      <c r="AJ26" s="293"/>
      <c r="AK26" s="293"/>
      <c r="AL26" s="298"/>
      <c r="AM26" s="299"/>
      <c r="AN26" s="296"/>
      <c r="AO26" s="316"/>
      <c r="AP26" s="317" cm="1">
        <f t="array" ref="AP26">INDEX(Reading_export[1/1/2025],MATCH(1,(Reading_export[Lot]=A26)*(Reading_export[cluster]=$B$1),0))</f>
        <v>0</v>
      </c>
      <c r="AQ26" s="317" cm="1">
        <f t="array" ref="AQ26">INDEX(Reading_export[01/04/2025],MATCH(1,(Reading_export[Lot]=A26)*(Reading_export[cluster]=$B$1),0))</f>
        <v>0</v>
      </c>
      <c r="AR26" s="318">
        <f>Table1[[#This Row],[Last day of reporting period: export]]-Table1[[#This Row],[1st day of reporting period: export]]</f>
        <v>0</v>
      </c>
      <c r="AS26" s="320"/>
      <c r="AT26" s="320"/>
      <c r="AU26" s="320"/>
      <c r="AV26" s="320"/>
      <c r="AW26" s="320"/>
      <c r="AX26" s="335"/>
      <c r="AY26" s="335"/>
      <c r="AZ26" s="335"/>
      <c r="BA26" s="335"/>
      <c r="BB26" s="335"/>
      <c r="BC26" s="335"/>
      <c r="BD26" s="336"/>
      <c r="BE26" s="349"/>
      <c r="BF26" s="349"/>
      <c r="BG26" s="349"/>
      <c r="BH26" s="349"/>
      <c r="BI26" s="350"/>
      <c r="BJ26" s="350"/>
      <c r="BK26" s="351"/>
      <c r="BL26" s="352"/>
      <c r="BM26" s="352"/>
      <c r="BN26" s="352"/>
      <c r="BO26" s="352"/>
      <c r="BP26" s="377"/>
      <c r="BQ26" s="378"/>
      <c r="BR26" s="379"/>
      <c r="BS26" s="380"/>
      <c r="BT26" s="381" t="s">
        <v>339</v>
      </c>
    </row>
    <row r="27" spans="1:72">
      <c r="A27" s="165" t="s">
        <v>341</v>
      </c>
      <c r="B27" s="166" t="s">
        <v>941</v>
      </c>
      <c r="C27" s="159"/>
      <c r="D27" s="159"/>
      <c r="E27" s="167"/>
      <c r="F27" s="168"/>
      <c r="G27" s="169"/>
      <c r="H27" s="169"/>
      <c r="I27" s="233"/>
      <c r="J27" s="237"/>
      <c r="K27" s="237"/>
      <c r="L27" s="237"/>
      <c r="M27" s="233"/>
      <c r="N27" s="234"/>
      <c r="O27" s="235" cm="1">
        <f t="array" ref="O27">INDEX(Reading_import[1/1/2025],MATCH(1,(Reading_import[Lot]=A27)*(Reading_import[cluster]=$B$1),0))</f>
        <v>149</v>
      </c>
      <c r="P27" s="236" cm="1">
        <f t="array" ref="P27">INDEX(Reading_import[01/04/2025],MATCH(1,(Reading_import[Lot]=A27)*(Reading_import[cluster]=$B$1),0))</f>
        <v>168</v>
      </c>
      <c r="Q27" s="255">
        <f>Table1[[#This Row],[Last day of reporting period: import]]-Table1[[#This Row],[1st day of reporting period: import]]</f>
        <v>19</v>
      </c>
      <c r="R27" s="263"/>
      <c r="S27" s="264"/>
      <c r="T27" s="265"/>
      <c r="U27" s="259"/>
      <c r="V27" s="259"/>
      <c r="W27" s="260"/>
      <c r="X27" s="259"/>
      <c r="Y27" s="275"/>
      <c r="Z27" s="276"/>
      <c r="AA27" s="276"/>
      <c r="AB27" s="279"/>
      <c r="AC27" s="279"/>
      <c r="AD27" s="279"/>
      <c r="AE27" s="282"/>
      <c r="AF27" s="282"/>
      <c r="AG27" s="282"/>
      <c r="AH27" s="297"/>
      <c r="AI27" s="297"/>
      <c r="AJ27" s="293"/>
      <c r="AK27" s="293"/>
      <c r="AL27" s="298"/>
      <c r="AM27" s="299"/>
      <c r="AN27" s="296"/>
      <c r="AO27" s="316"/>
      <c r="AP27" s="322"/>
      <c r="AQ27" s="323"/>
      <c r="AR27" s="324"/>
      <c r="AS27" s="320"/>
      <c r="AT27" s="320"/>
      <c r="AU27" s="320"/>
      <c r="AV27" s="320"/>
      <c r="AW27" s="320"/>
      <c r="AX27" s="335"/>
      <c r="AY27" s="335"/>
      <c r="AZ27" s="335"/>
      <c r="BA27" s="335"/>
      <c r="BB27" s="335"/>
      <c r="BC27" s="335"/>
      <c r="BD27" s="336"/>
      <c r="BE27" s="349"/>
      <c r="BF27" s="349"/>
      <c r="BG27" s="349"/>
      <c r="BH27" s="349"/>
      <c r="BI27" s="350"/>
      <c r="BJ27" s="350"/>
      <c r="BK27" s="351"/>
      <c r="BL27" s="352"/>
      <c r="BM27" s="352"/>
      <c r="BN27" s="352"/>
      <c r="BO27" s="352"/>
      <c r="BP27" s="377"/>
      <c r="BQ27" s="378"/>
      <c r="BR27" s="379"/>
      <c r="BS27" s="380"/>
      <c r="BT27" s="381" t="s">
        <v>341</v>
      </c>
    </row>
    <row r="28" spans="1:72">
      <c r="A28" s="165" t="s">
        <v>342</v>
      </c>
      <c r="B28" s="166" t="s">
        <v>942</v>
      </c>
      <c r="C28" s="159"/>
      <c r="D28" s="159"/>
      <c r="E28" s="167"/>
      <c r="F28" s="168"/>
      <c r="G28" s="169"/>
      <c r="H28" s="169"/>
      <c r="I28" s="233"/>
      <c r="J28" s="237"/>
      <c r="K28" s="237"/>
      <c r="L28" s="237"/>
      <c r="M28" s="233"/>
      <c r="N28" s="234"/>
      <c r="O28" s="235" cm="1">
        <f t="array" ref="O28">INDEX(Reading_import[1/1/2025],MATCH(1,(Reading_import[Lot]=A28)*(Reading_import[cluster]=$B$1),0))</f>
        <v>128</v>
      </c>
      <c r="P28" s="236" cm="1">
        <f t="array" ref="P28">INDEX(Reading_import[01/04/2025],MATCH(1,(Reading_import[Lot]=A28)*(Reading_import[cluster]=$B$1),0))</f>
        <v>151</v>
      </c>
      <c r="Q28" s="255">
        <f>Table1[[#This Row],[Last day of reporting period: import]]-Table1[[#This Row],[1st day of reporting period: import]]</f>
        <v>23</v>
      </c>
      <c r="R28" s="263"/>
      <c r="S28" s="264"/>
      <c r="T28" s="265"/>
      <c r="U28" s="259"/>
      <c r="V28" s="259"/>
      <c r="W28" s="260"/>
      <c r="X28" s="259"/>
      <c r="Y28" s="275"/>
      <c r="Z28" s="276"/>
      <c r="AA28" s="276"/>
      <c r="AB28" s="279"/>
      <c r="AC28" s="279"/>
      <c r="AD28" s="279"/>
      <c r="AE28" s="283"/>
      <c r="AF28" s="284"/>
      <c r="AG28" s="284"/>
      <c r="AH28" s="297"/>
      <c r="AI28" s="297"/>
      <c r="AJ28" s="293"/>
      <c r="AK28" s="293"/>
      <c r="AL28" s="298"/>
      <c r="AM28" s="299"/>
      <c r="AN28" s="296"/>
      <c r="AO28" s="316"/>
      <c r="AP28" s="322"/>
      <c r="AQ28" s="323"/>
      <c r="AR28" s="324"/>
      <c r="AS28" s="320"/>
      <c r="AT28" s="320"/>
      <c r="AU28" s="320"/>
      <c r="AV28" s="320"/>
      <c r="AW28" s="320"/>
      <c r="AX28" s="335"/>
      <c r="AY28" s="335"/>
      <c r="AZ28" s="335"/>
      <c r="BA28" s="335"/>
      <c r="BB28" s="335"/>
      <c r="BC28" s="335"/>
      <c r="BD28" s="336"/>
      <c r="BE28" s="349"/>
      <c r="BF28" s="349"/>
      <c r="BG28" s="349"/>
      <c r="BH28" s="349"/>
      <c r="BI28" s="350"/>
      <c r="BJ28" s="350"/>
      <c r="BK28" s="351"/>
      <c r="BL28" s="352"/>
      <c r="BM28" s="352"/>
      <c r="BN28" s="352"/>
      <c r="BO28" s="352"/>
      <c r="BP28" s="377"/>
      <c r="BQ28" s="378"/>
      <c r="BR28" s="379"/>
      <c r="BS28" s="380"/>
      <c r="BT28" s="381" t="s">
        <v>342</v>
      </c>
    </row>
    <row r="29" ht="18.15" spans="1:72">
      <c r="A29" s="170" t="s">
        <v>943</v>
      </c>
      <c r="B29" s="166" t="s">
        <v>944</v>
      </c>
      <c r="C29" s="159"/>
      <c r="D29" s="159"/>
      <c r="E29" s="167"/>
      <c r="F29" s="171"/>
      <c r="G29" s="172"/>
      <c r="H29" s="172"/>
      <c r="I29" s="238"/>
      <c r="J29" s="239"/>
      <c r="K29" s="239"/>
      <c r="L29" s="239"/>
      <c r="M29" s="240"/>
      <c r="N29" s="241"/>
      <c r="O29" s="242"/>
      <c r="P29" s="243"/>
      <c r="Q29" s="266"/>
      <c r="R29" s="263"/>
      <c r="S29" s="264"/>
      <c r="T29" s="265"/>
      <c r="U29" s="259"/>
      <c r="V29" s="259"/>
      <c r="W29" s="260"/>
      <c r="X29" s="259"/>
      <c r="Y29" s="285"/>
      <c r="Z29" s="276"/>
      <c r="AA29" s="276"/>
      <c r="AB29" s="286"/>
      <c r="AC29" s="286"/>
      <c r="AD29" s="286"/>
      <c r="AE29" s="287"/>
      <c r="AF29" s="287"/>
      <c r="AG29" s="287"/>
      <c r="AH29" s="297"/>
      <c r="AI29" s="297"/>
      <c r="AJ29" s="293"/>
      <c r="AK29" s="293"/>
      <c r="AL29" s="293"/>
      <c r="AM29" s="300"/>
      <c r="AN29" s="300"/>
      <c r="AO29" s="325"/>
      <c r="AP29" s="326"/>
      <c r="AQ29" s="327"/>
      <c r="AR29" s="328"/>
      <c r="AS29" s="329"/>
      <c r="AT29" s="329"/>
      <c r="AU29" s="329"/>
      <c r="AV29" s="329"/>
      <c r="AW29" s="329"/>
      <c r="AX29" s="337"/>
      <c r="AY29" s="337"/>
      <c r="AZ29" s="337"/>
      <c r="BA29" s="337"/>
      <c r="BB29" s="337"/>
      <c r="BC29" s="337"/>
      <c r="BD29" s="338"/>
      <c r="BE29" s="353"/>
      <c r="BF29" s="353"/>
      <c r="BG29" s="354"/>
      <c r="BH29" s="354"/>
      <c r="BI29" s="355"/>
      <c r="BJ29" s="356"/>
      <c r="BK29" s="357"/>
      <c r="BL29" s="358"/>
      <c r="BM29" s="358"/>
      <c r="BN29" s="358"/>
      <c r="BO29" s="358"/>
      <c r="BP29" s="382"/>
      <c r="BQ29" s="383"/>
      <c r="BR29" s="384"/>
      <c r="BS29" s="385"/>
      <c r="BT29" s="173" t="s">
        <v>943</v>
      </c>
    </row>
    <row r="30" s="135" customFormat="1" spans="1:72">
      <c r="A30" s="173"/>
      <c r="B30" s="148"/>
      <c r="C30" s="148"/>
      <c r="D30" s="174">
        <f>SUM(D5:D23)</f>
        <v>1</v>
      </c>
      <c r="E30" s="174">
        <f>SUM(E5:E23)</f>
        <v>0</v>
      </c>
      <c r="F30" s="175">
        <f>SUM(F5:F23)</f>
        <v>170.5</v>
      </c>
      <c r="G30" s="175"/>
      <c r="H30" s="175">
        <f t="shared" ref="H30:N30" si="38">SUM(H5:H23)</f>
        <v>170.5</v>
      </c>
      <c r="I30" s="175">
        <f t="shared" si="38"/>
        <v>61.31</v>
      </c>
      <c r="J30" s="175">
        <f t="shared" si="38"/>
        <v>257.671232876712</v>
      </c>
      <c r="K30" s="175">
        <f t="shared" si="38"/>
        <v>211.561643835616</v>
      </c>
      <c r="L30" s="175">
        <f t="shared" si="38"/>
        <v>376.2</v>
      </c>
      <c r="M30" s="175">
        <f t="shared" si="38"/>
        <v>20.9</v>
      </c>
      <c r="N30" s="175">
        <f t="shared" si="38"/>
        <v>1422.64287671233</v>
      </c>
      <c r="O30" s="244"/>
      <c r="P30" s="244"/>
      <c r="Q30" s="267">
        <f>SUM(Q5:Q23)</f>
        <v>7766.4</v>
      </c>
      <c r="R30" s="174"/>
      <c r="S30" s="268">
        <f>SUM(S5:S23)</f>
        <v>1</v>
      </c>
      <c r="T30" s="269">
        <f>SUM(T5:T23)</f>
        <v>233</v>
      </c>
      <c r="U30" s="174"/>
      <c r="V30" s="174">
        <f>SUM(V5:V23)</f>
        <v>148.718555555556</v>
      </c>
      <c r="W30" s="268">
        <f>SUM(W5:W23)</f>
        <v>1</v>
      </c>
      <c r="X30" s="174">
        <f>SUM(X5:X23)</f>
        <v>7585.33</v>
      </c>
      <c r="Y30" s="174">
        <f>SUM(Y5:Y23)</f>
        <v>181.07</v>
      </c>
      <c r="Z30" s="268">
        <f>SUM(Z5:Z23)</f>
        <v>1</v>
      </c>
      <c r="AA30" s="268"/>
      <c r="AB30" s="288">
        <f>SUM(AB5:AB29)</f>
        <v>72.54</v>
      </c>
      <c r="AC30" s="288">
        <f>SUM(AC5:AC29)</f>
        <v>7657.87</v>
      </c>
      <c r="AD30" s="288">
        <f>SUM(AD5:AD29)</f>
        <v>108.53</v>
      </c>
      <c r="AE30" s="268">
        <f>SUM(AE5:AE23)</f>
        <v>1</v>
      </c>
      <c r="AF30" s="174"/>
      <c r="AG30" s="174">
        <f>SUM(AG5:AG23)</f>
        <v>1403</v>
      </c>
      <c r="AH30" s="301"/>
      <c r="AI30" s="174">
        <f>SUM(AI5:AI23)</f>
        <v>697</v>
      </c>
      <c r="AJ30" s="301">
        <f t="shared" ref="AJ30:AO30" si="39">SUM(AJ5:AJ29)</f>
        <v>308.66</v>
      </c>
      <c r="AK30" s="302">
        <f t="shared" si="39"/>
        <v>153.34</v>
      </c>
      <c r="AL30" s="301">
        <f t="shared" si="39"/>
        <v>1762.5714</v>
      </c>
      <c r="AM30" s="301">
        <f t="shared" si="39"/>
        <v>1.4508</v>
      </c>
      <c r="AN30" s="301">
        <f t="shared" si="39"/>
        <v>32.559</v>
      </c>
      <c r="AO30" s="330">
        <f t="shared" si="39"/>
        <v>2258.5812</v>
      </c>
      <c r="AP30" s="174"/>
      <c r="AQ30" s="174"/>
      <c r="AR30" s="174">
        <f>SUM(AR5:AR23)</f>
        <v>52536.9</v>
      </c>
      <c r="AS30" s="268">
        <f>SUM(AS5:AS23)</f>
        <v>1</v>
      </c>
      <c r="AT30" s="174">
        <f>SUM(AT5:AT23)</f>
        <v>7657.87</v>
      </c>
      <c r="AU30" s="174"/>
      <c r="AV30" s="174">
        <f>SUM(AV5:AV23)</f>
        <v>72.54</v>
      </c>
      <c r="AW30" s="174">
        <f>SUM(AW5:AW23)</f>
        <v>1403</v>
      </c>
      <c r="AX30" s="339">
        <f>SUM(AX5:AX23)</f>
        <v>697</v>
      </c>
      <c r="AY30" s="339">
        <f>SUM(AY5:AY23)</f>
        <v>3014</v>
      </c>
      <c r="AZ30" s="339">
        <f>SUM(AZ5:AZ23)</f>
        <v>39765.03</v>
      </c>
      <c r="BA30" s="339"/>
      <c r="BB30" s="339">
        <f t="shared" ref="BB30:BP30" si="40">SUM(BB5:BB23)</f>
        <v>0</v>
      </c>
      <c r="BC30" s="339">
        <f t="shared" si="40"/>
        <v>39765.03</v>
      </c>
      <c r="BD30" s="340">
        <f t="shared" si="40"/>
        <v>-308.66</v>
      </c>
      <c r="BE30" s="340">
        <f t="shared" si="40"/>
        <v>-153.34</v>
      </c>
      <c r="BF30" s="340">
        <f t="shared" si="40"/>
        <v>-663.08</v>
      </c>
      <c r="BG30" s="340">
        <f t="shared" si="40"/>
        <v>-1684.7314</v>
      </c>
      <c r="BH30" s="340">
        <f t="shared" si="40"/>
        <v>-1.4508</v>
      </c>
      <c r="BI30" s="340">
        <f t="shared" si="40"/>
        <v>-1530.953655</v>
      </c>
      <c r="BJ30" s="340">
        <f t="shared" si="40"/>
        <v>-4342.215855</v>
      </c>
      <c r="BK30" s="359">
        <f t="shared" si="40"/>
        <v>0</v>
      </c>
      <c r="BL30" s="359">
        <f t="shared" si="40"/>
        <v>0</v>
      </c>
      <c r="BM30" s="359">
        <f t="shared" si="40"/>
        <v>663.08</v>
      </c>
      <c r="BN30" s="359">
        <f t="shared" si="40"/>
        <v>663.08</v>
      </c>
      <c r="BO30" s="359">
        <f t="shared" si="40"/>
        <v>0</v>
      </c>
      <c r="BP30" s="359">
        <f t="shared" si="40"/>
        <v>663.08</v>
      </c>
      <c r="BQ30" s="386"/>
      <c r="BR30" s="387"/>
      <c r="BS30" s="148"/>
      <c r="BT30" s="173"/>
    </row>
    <row r="31" spans="12:42">
      <c r="L31" s="137">
        <f>COUNTIF(L5:L23,"&gt;0")</f>
        <v>19</v>
      </c>
      <c r="M31" s="137">
        <f>COUNTIF(M5:M23,"&gt;0")</f>
        <v>19</v>
      </c>
      <c r="AO31"/>
      <c r="AP31"/>
    </row>
    <row r="32" ht="139.2" spans="21:71">
      <c r="U32" s="270"/>
      <c r="V32" s="270"/>
      <c r="W32" s="270"/>
      <c r="X32" s="270"/>
      <c r="Y32" s="289"/>
      <c r="Z32" s="289"/>
      <c r="AA32" s="670" t="s">
        <v>945</v>
      </c>
      <c r="AB32" s="289"/>
      <c r="AC32" s="289"/>
      <c r="AD32" s="289"/>
      <c r="AE32" s="137"/>
      <c r="AF32" s="137"/>
      <c r="AG32" s="137"/>
      <c r="AH32" s="303"/>
      <c r="AI32" s="303"/>
      <c r="AJ32" s="303"/>
      <c r="AK32" s="304"/>
      <c r="AL32" s="305" t="s">
        <v>946</v>
      </c>
      <c r="AM32" s="306"/>
      <c r="AN32" s="141"/>
      <c r="AO32"/>
      <c r="AP32"/>
      <c r="AQ32" s="331"/>
      <c r="AR32" s="332"/>
      <c r="AS32" s="332"/>
      <c r="AT32" s="332"/>
      <c r="AU32" s="332"/>
      <c r="AV32" s="332"/>
      <c r="AW32" s="332"/>
      <c r="AX32" s="332"/>
      <c r="AY32" s="332"/>
      <c r="AZ32" s="332"/>
      <c r="BA32" s="332"/>
      <c r="BB32" s="332"/>
      <c r="BC32" s="332"/>
      <c r="BG32" s="332"/>
      <c r="BH32" s="332"/>
      <c r="BI32" s="304"/>
      <c r="BL32" s="304"/>
      <c r="BN32" s="304"/>
      <c r="BO32" s="304"/>
      <c r="BP32" s="304"/>
      <c r="BQ32" s="304"/>
      <c r="BR32" s="2"/>
      <c r="BS32" s="2"/>
    </row>
    <row r="33" ht="18.15" spans="2:71">
      <c r="B33"/>
      <c r="C33"/>
      <c r="D33"/>
      <c r="E33"/>
      <c r="F33"/>
      <c r="G33"/>
      <c r="H33"/>
      <c r="I33"/>
      <c r="K33" s="137"/>
      <c r="L33" s="139"/>
      <c r="AA33" s="139"/>
      <c r="AB33" s="141"/>
      <c r="AC33" s="141"/>
      <c r="AD33" s="141"/>
      <c r="AE33"/>
      <c r="AF33"/>
      <c r="AG33"/>
      <c r="AH33"/>
      <c r="AI33"/>
      <c r="AJ33"/>
      <c r="AK33" s="304"/>
      <c r="AL33" s="306"/>
      <c r="AM33" s="306"/>
      <c r="AN33" s="141"/>
      <c r="AO33" s="140"/>
      <c r="AQ33" s="331"/>
      <c r="AR33" s="332"/>
      <c r="BL33" s="304"/>
      <c r="BN33" s="304"/>
      <c r="BO33" s="304"/>
      <c r="BP33" s="304"/>
      <c r="BQ33" s="304"/>
      <c r="BR33" s="388"/>
      <c r="BS33" s="137"/>
    </row>
    <row r="34" ht="39.6" spans="2:71">
      <c r="B34" s="176" t="s">
        <v>947</v>
      </c>
      <c r="C34" s="177" t="s">
        <v>822</v>
      </c>
      <c r="D34" s="177" t="s">
        <v>823</v>
      </c>
      <c r="E34" s="177" t="s">
        <v>824</v>
      </c>
      <c r="F34" s="177" t="s">
        <v>825</v>
      </c>
      <c r="G34" s="178" t="s">
        <v>826</v>
      </c>
      <c r="H34" s="178" t="s">
        <v>827</v>
      </c>
      <c r="I34" s="178" t="s">
        <v>828</v>
      </c>
      <c r="J34" s="178" t="s">
        <v>829</v>
      </c>
      <c r="K34" s="245" t="s">
        <v>830</v>
      </c>
      <c r="L34" s="139"/>
      <c r="AA34" s="139"/>
      <c r="AB34" s="141"/>
      <c r="AC34" s="141"/>
      <c r="AD34" s="141"/>
      <c r="AE34"/>
      <c r="AF34"/>
      <c r="AG34"/>
      <c r="AH34"/>
      <c r="AI34"/>
      <c r="AJ34"/>
      <c r="AK34" s="304"/>
      <c r="AL34" s="306"/>
      <c r="AM34" s="306"/>
      <c r="AN34" s="141"/>
      <c r="AO34" s="140"/>
      <c r="AQ34" s="331"/>
      <c r="AR34" s="332"/>
      <c r="BK34" s="304"/>
      <c r="BM34" s="304"/>
      <c r="BN34" s="304"/>
      <c r="BO34" s="304"/>
      <c r="BP34" s="304"/>
      <c r="BQ34" s="388"/>
      <c r="BR34" s="137"/>
      <c r="BS34" s="137"/>
    </row>
    <row r="35" spans="2:71">
      <c r="B35" s="179" t="str">
        <f>B1</f>
        <v>1C</v>
      </c>
      <c r="C35" s="180">
        <v>2025</v>
      </c>
      <c r="D35" s="671" t="str">
        <f>F2</f>
        <v>01</v>
      </c>
      <c r="E35" s="181" cm="1">
        <f t="array" ref="E35">INDEX(Amanda_energy[Consumption_kWh],MATCH(1,(Amanda_energy[Cluster]=$B$1)*(Amanda_energy[Month]=$D35),0))</f>
        <v>44.48</v>
      </c>
      <c r="F35" s="181" cm="1">
        <f t="array" ref="F35">INDEX(Amanda_energy[Export_kWh],MATCH(1,(Amanda_energy[Cluster]=$B$1)*(Amanda_energy[Month]=$D35),0))</f>
        <v>13074.94</v>
      </c>
      <c r="G35" s="182" cm="1">
        <f t="array" ref="G35">INDEX(Amanda_energy[Amanda_consumption_incl_GST],MATCH(1,(Amanda_energy[Cluster]=$B$1)*(Amanda_energy[Month]=$D35),0))</f>
        <v>13.32</v>
      </c>
      <c r="H35" s="182" cm="1">
        <f t="array" ref="H35">INDEX(Amanda_energy[Amanda_export_buyback_incl_GST],MATCH(1,(Amanda_energy[Cluster]=$B$1)*(Amanda_energy[Month]=$D35),0))</f>
        <v>-503.38</v>
      </c>
      <c r="I35" s="182" cm="1">
        <f t="array" ref="I35">INDEX(Amanda_energy[Daily_Supply_incl_GST],MATCH(1,(Amanda_energy[Cluster]=$B$1)*(Amanda_energy[Month]=$D35),0))</f>
        <v>170.5</v>
      </c>
      <c r="J35" s="182" cm="1">
        <f t="array" ref="J35">INDEX(Amanda_energy[Other_Fees_incl_GST],MATCH(1,(Amanda_energy[Cluster]=$B$1)*(Amanda_energy[Month]=$D35),0))</f>
        <v>22.22</v>
      </c>
      <c r="K35" s="246" cm="1">
        <f t="array" ref="K35">INDEX(Amanda_energy[Total_incl_GST],MATCH(1,(Amanda_energy[Cluster]=$B$1)*(Amanda_energy[Month]=$D35),0))</f>
        <v>-297.34</v>
      </c>
      <c r="L35" s="139"/>
      <c r="AA35" s="139"/>
      <c r="AB35" s="141"/>
      <c r="AC35" s="141"/>
      <c r="AD35" s="141"/>
      <c r="AE35"/>
      <c r="AF35"/>
      <c r="AG35"/>
      <c r="AH35"/>
      <c r="AI35"/>
      <c r="AJ35"/>
      <c r="AK35" s="304"/>
      <c r="AL35"/>
      <c r="AM35"/>
      <c r="AN35" s="141"/>
      <c r="AO35" s="140"/>
      <c r="AQ35" s="331"/>
      <c r="AR35" s="332"/>
      <c r="BK35" s="304"/>
      <c r="BM35" s="304"/>
      <c r="BN35" s="304"/>
      <c r="BO35" s="304"/>
      <c r="BP35" s="304"/>
      <c r="BQ35" s="388"/>
      <c r="BR35" s="137"/>
      <c r="BS35" s="137"/>
    </row>
    <row r="36" spans="2:71">
      <c r="B36" s="179" t="str">
        <f>B35</f>
        <v>1C</v>
      </c>
      <c r="C36" s="180">
        <v>2025</v>
      </c>
      <c r="D36" s="671" t="str">
        <f>G2</f>
        <v>02</v>
      </c>
      <c r="E36" s="181" cm="1">
        <f t="array" ref="E36">INDEX(Amanda_energy[Consumption_kWh],MATCH(1,(Amanda_energy[Cluster]=$B$1)*(Amanda_energy[Month]=$D36),0))</f>
        <v>46.06</v>
      </c>
      <c r="F36" s="181" cm="1">
        <f t="array" ref="F36">INDEX(Amanda_energy[Export_kWh],MATCH(1,(Amanda_energy[Cluster]=$B$1)*(Amanda_energy[Month]=$D36),0))</f>
        <v>12380.74</v>
      </c>
      <c r="G36" s="182" cm="1">
        <f t="array" ref="G36">INDEX(Amanda_energy[Amanda_consumption_incl_GST],MATCH(1,(Amanda_energy[Cluster]=$B$1)*(Amanda_energy[Month]=$D36),0))</f>
        <v>13.78</v>
      </c>
      <c r="H36" s="182" cm="1">
        <f t="array" ref="H36">INDEX(Amanda_energy[Amanda_export_buyback_incl_GST],MATCH(1,(Amanda_energy[Cluster]=$B$1)*(Amanda_energy[Month]=$D36),0))</f>
        <v>-476.66</v>
      </c>
      <c r="I36" s="182" cm="1">
        <f t="array" ref="I36">INDEX(Amanda_energy[Daily_Supply_incl_GST],MATCH(1,(Amanda_energy[Cluster]=$B$1)*(Amanda_energy[Month]=$D36),0))</f>
        <v>154</v>
      </c>
      <c r="J36" s="182" cm="1">
        <f t="array" ref="J36">INDEX(Amanda_energy[Other_Fees_incl_GST],MATCH(1,(Amanda_energy[Cluster]=$B$1)*(Amanda_energy[Month]=$D36),0))</f>
        <v>19.29</v>
      </c>
      <c r="K36" s="246" cm="1">
        <f t="array" ref="K36">INDEX(Amanda_energy[Total_incl_GST],MATCH(1,(Amanda_energy[Cluster]=$B$1)*(Amanda_energy[Month]=$D36),0))</f>
        <v>-289.59</v>
      </c>
      <c r="L36" s="139"/>
      <c r="AA36" s="139"/>
      <c r="AB36" s="141"/>
      <c r="AC36" s="141"/>
      <c r="AD36" s="141"/>
      <c r="AE36"/>
      <c r="AF36"/>
      <c r="AG36"/>
      <c r="AH36"/>
      <c r="AI36"/>
      <c r="AJ36"/>
      <c r="AK36" s="304"/>
      <c r="AL36"/>
      <c r="AM36"/>
      <c r="AN36" s="141"/>
      <c r="AO36" s="140"/>
      <c r="AQ36" s="331"/>
      <c r="AR36" s="332"/>
      <c r="BK36" s="304"/>
      <c r="BM36" s="304"/>
      <c r="BN36" s="304"/>
      <c r="BO36" s="304"/>
      <c r="BP36" s="304"/>
      <c r="BQ36" s="388"/>
      <c r="BR36" s="137"/>
      <c r="BS36" s="137"/>
    </row>
    <row r="37" spans="2:58">
      <c r="B37" s="179" t="str">
        <f>B35</f>
        <v>1C</v>
      </c>
      <c r="C37" s="180">
        <v>2025</v>
      </c>
      <c r="D37" s="671" t="str">
        <f>H2</f>
        <v>03</v>
      </c>
      <c r="E37" s="181" cm="1">
        <f t="array" ref="E37">INDEX(Amanda_energy[Consumption_kWh],MATCH(1,(Amanda_energy[Cluster]=$B$1)*(Amanda_energy[Month]=$D37),0))</f>
        <v>17.99</v>
      </c>
      <c r="F37" s="181" cm="1">
        <f t="array" ref="F37">INDEX(Amanda_energy[Export_kWh],MATCH(1,(Amanda_energy[Cluster]=$B$1)*(Amanda_energy[Month]=$D37),0))</f>
        <v>14328.95</v>
      </c>
      <c r="G37" s="182" cm="1">
        <f t="array" ref="G37">INDEX(Amanda_energy[Amanda_consumption_incl_GST],MATCH(1,(Amanda_energy[Cluster]=$B$1)*(Amanda_energy[Month]=$D37),0))</f>
        <v>5.38</v>
      </c>
      <c r="H37" s="182" cm="1">
        <f t="array" ref="H37">INDEX(Amanda_energy[Amanda_export_buyback_incl_GST],MATCH(1,(Amanda_energy[Cluster]=$B$1)*(Amanda_energy[Month]=$D37),0))</f>
        <v>-551.66</v>
      </c>
      <c r="I37" s="182" cm="1">
        <f t="array" ref="I37">INDEX(Amanda_energy[Daily_Supply_incl_GST],MATCH(1,(Amanda_energy[Cluster]=$B$1)*(Amanda_energy[Month]=$D37),0))</f>
        <v>170.5</v>
      </c>
      <c r="J37" s="182" cm="1">
        <f t="array" ref="J37">INDEX(Amanda_energy[Other_Fees_incl_GST],MATCH(1,(Amanda_energy[Cluster]=$B$1)*(Amanda_energy[Month]=$D37),0))</f>
        <v>19.8</v>
      </c>
      <c r="K37" s="246" cm="1">
        <f t="array" ref="K37">INDEX(Amanda_energy[Total_incl_GST],MATCH(1,(Amanda_energy[Cluster]=$B$1)*(Amanda_energy[Month]=$D37),0))</f>
        <v>-355.98</v>
      </c>
      <c r="L37" s="139"/>
      <c r="AA37" s="139"/>
      <c r="AB37"/>
      <c r="AC37"/>
      <c r="AD37"/>
      <c r="AE37"/>
      <c r="AF37"/>
      <c r="AG37"/>
      <c r="AH37"/>
      <c r="AI37"/>
      <c r="AJ37"/>
      <c r="AL37"/>
      <c r="AM37"/>
      <c r="AN37"/>
      <c r="AO37"/>
      <c r="AP37"/>
      <c r="AQ37"/>
      <c r="AR37"/>
      <c r="AS37"/>
      <c r="AT37"/>
      <c r="AU37"/>
      <c r="AV37"/>
      <c r="AW37"/>
      <c r="AX37"/>
      <c r="AY37"/>
      <c r="AZ37"/>
      <c r="BA37"/>
      <c r="BB37"/>
      <c r="BC37"/>
      <c r="BD37"/>
      <c r="BE37"/>
      <c r="BF37"/>
    </row>
    <row r="38" ht="18.15" spans="2:58">
      <c r="B38" s="183" t="s">
        <v>948</v>
      </c>
      <c r="C38" s="184"/>
      <c r="D38" s="185"/>
      <c r="E38" s="184">
        <f t="shared" ref="E38:K38" si="41">SUM(E35:E37)</f>
        <v>108.53</v>
      </c>
      <c r="F38" s="184">
        <f t="shared" si="41"/>
        <v>39784.63</v>
      </c>
      <c r="G38" s="185">
        <f t="shared" si="41"/>
        <v>32.48</v>
      </c>
      <c r="H38" s="185">
        <f t="shared" si="41"/>
        <v>-1531.7</v>
      </c>
      <c r="I38" s="185">
        <f t="shared" si="41"/>
        <v>495</v>
      </c>
      <c r="J38" s="185">
        <f t="shared" si="41"/>
        <v>61.31</v>
      </c>
      <c r="K38" s="247">
        <f t="shared" si="41"/>
        <v>-942.91</v>
      </c>
      <c r="L38" s="139"/>
      <c r="AA38" s="139"/>
      <c r="AB38"/>
      <c r="AC38"/>
      <c r="AD38"/>
      <c r="AE38"/>
      <c r="AF38"/>
      <c r="AG38"/>
      <c r="AH38"/>
      <c r="AI38"/>
      <c r="AJ38"/>
      <c r="AL38"/>
      <c r="AM38"/>
      <c r="AN38"/>
      <c r="AO38"/>
      <c r="AP38"/>
      <c r="AQ38"/>
      <c r="AR38"/>
      <c r="AS38"/>
      <c r="AT38"/>
      <c r="AU38"/>
      <c r="AV38"/>
      <c r="AW38"/>
      <c r="AX38"/>
      <c r="AY38"/>
      <c r="AZ38"/>
      <c r="BA38"/>
      <c r="BB38"/>
      <c r="BC38"/>
      <c r="BD38"/>
      <c r="BE38"/>
      <c r="BF38"/>
    </row>
    <row r="39" ht="18.15" spans="2:58">
      <c r="B39"/>
      <c r="C39"/>
      <c r="D39"/>
      <c r="E39"/>
      <c r="F39"/>
      <c r="G39" s="186">
        <f>G38/E38</f>
        <v>0.299272090666175</v>
      </c>
      <c r="H39" s="186">
        <f>H38/F38</f>
        <v>-0.0384997925078102</v>
      </c>
      <c r="I39"/>
      <c r="J39"/>
      <c r="K39" s="248"/>
      <c r="L39" s="139"/>
      <c r="AA39" s="139"/>
      <c r="AB39"/>
      <c r="AC39"/>
      <c r="AD39"/>
      <c r="AE39"/>
      <c r="AF39"/>
      <c r="AG39"/>
      <c r="AH39"/>
      <c r="AI39"/>
      <c r="AJ39"/>
      <c r="AL39"/>
      <c r="AM39"/>
      <c r="AN39"/>
      <c r="AO39"/>
      <c r="AP39"/>
      <c r="AQ39"/>
      <c r="AR39"/>
      <c r="AS39"/>
      <c r="AT39"/>
      <c r="AU39"/>
      <c r="AV39"/>
      <c r="AW39"/>
      <c r="AX39"/>
      <c r="AY39"/>
      <c r="AZ39"/>
      <c r="BA39"/>
      <c r="BB39"/>
      <c r="BC39"/>
      <c r="BD39"/>
      <c r="BE39"/>
      <c r="BF39"/>
    </row>
    <row r="40" ht="26.4" spans="2:58">
      <c r="B40" s="187" t="s">
        <v>823</v>
      </c>
      <c r="C40" s="188" t="s">
        <v>949</v>
      </c>
      <c r="D40" s="188" t="s">
        <v>950</v>
      </c>
      <c r="E40" s="189" t="s">
        <v>951</v>
      </c>
      <c r="F40"/>
      <c r="G40" s="190"/>
      <c r="H40" s="191"/>
      <c r="I40" s="191"/>
      <c r="J40" s="191"/>
      <c r="K40" s="248"/>
      <c r="L40" s="139"/>
      <c r="AA40" s="139"/>
      <c r="AB40"/>
      <c r="AC40"/>
      <c r="AD40"/>
      <c r="AE40"/>
      <c r="AF40"/>
      <c r="AG40"/>
      <c r="AH40"/>
      <c r="AI40"/>
      <c r="AJ40"/>
      <c r="AL40"/>
      <c r="AM40"/>
      <c r="AN40"/>
      <c r="AO40"/>
      <c r="AP40"/>
      <c r="AQ40"/>
      <c r="AR40"/>
      <c r="AS40"/>
      <c r="AT40"/>
      <c r="AU40"/>
      <c r="AV40"/>
      <c r="AW40"/>
      <c r="AX40"/>
      <c r="AY40"/>
      <c r="AZ40"/>
      <c r="BA40"/>
      <c r="BB40"/>
      <c r="BC40"/>
      <c r="BD40"/>
      <c r="BE40"/>
      <c r="BF40"/>
    </row>
    <row r="41" spans="2:58">
      <c r="B41" s="192"/>
      <c r="C41" s="193"/>
      <c r="D41" s="194"/>
      <c r="E41" s="195"/>
      <c r="F41"/>
      <c r="G41" s="196"/>
      <c r="H41" s="191"/>
      <c r="I41" s="191"/>
      <c r="J41" s="191"/>
      <c r="K41" s="248"/>
      <c r="L41" s="139"/>
      <c r="AA41" s="139"/>
      <c r="AB41"/>
      <c r="AC41"/>
      <c r="AD41"/>
      <c r="AE41"/>
      <c r="AF41"/>
      <c r="AG41"/>
      <c r="AH41"/>
      <c r="AI41"/>
      <c r="AJ41"/>
      <c r="AL41"/>
      <c r="AM41"/>
      <c r="AN41"/>
      <c r="AO41"/>
      <c r="AP41"/>
      <c r="AQ41"/>
      <c r="AR41"/>
      <c r="AS41"/>
      <c r="AT41"/>
      <c r="AU41"/>
      <c r="AV41"/>
      <c r="AW41"/>
      <c r="AX41"/>
      <c r="AY41"/>
      <c r="AZ41"/>
      <c r="BA41"/>
      <c r="BB41"/>
      <c r="BC41"/>
      <c r="BD41"/>
      <c r="BE41"/>
      <c r="BF41"/>
    </row>
    <row r="42" ht="18.15" spans="2:58">
      <c r="B42" s="197"/>
      <c r="C42" s="198"/>
      <c r="D42" s="199"/>
      <c r="E42" s="200"/>
      <c r="F42"/>
      <c r="G42" s="196"/>
      <c r="H42" s="191"/>
      <c r="I42" s="191"/>
      <c r="J42" s="191"/>
      <c r="K42" s="248"/>
      <c r="L42" s="139"/>
      <c r="AA42" s="139"/>
      <c r="AB42"/>
      <c r="AC42"/>
      <c r="AD42"/>
      <c r="AE42"/>
      <c r="AF42"/>
      <c r="AG42"/>
      <c r="AH42"/>
      <c r="AI42"/>
      <c r="AJ42"/>
      <c r="AL42"/>
      <c r="AM42"/>
      <c r="AN42"/>
      <c r="AO42"/>
      <c r="AP42"/>
      <c r="AQ42"/>
      <c r="AR42"/>
      <c r="AS42"/>
      <c r="AT42"/>
      <c r="AU42"/>
      <c r="AV42"/>
      <c r="AW42"/>
      <c r="AX42"/>
      <c r="AY42"/>
      <c r="AZ42"/>
      <c r="BA42"/>
      <c r="BB42"/>
      <c r="BC42"/>
      <c r="BD42"/>
      <c r="BE42"/>
      <c r="BF42"/>
    </row>
    <row r="43" ht="18.15" spans="2:58">
      <c r="B43" s="201" t="s">
        <v>948</v>
      </c>
      <c r="C43" s="202">
        <f>SUM(C41:C42)</f>
        <v>0</v>
      </c>
      <c r="D43" s="203">
        <f>SUM(D41:D42)</f>
        <v>0</v>
      </c>
      <c r="E43" s="204">
        <f>SUM(E41:E42)</f>
        <v>0</v>
      </c>
      <c r="F43"/>
      <c r="G43" s="191"/>
      <c r="H43" s="191"/>
      <c r="I43" s="191"/>
      <c r="J43" s="191"/>
      <c r="K43" s="248"/>
      <c r="L43" s="139"/>
      <c r="AA43" s="139"/>
      <c r="AB43"/>
      <c r="AC43"/>
      <c r="AD43"/>
      <c r="AE43"/>
      <c r="AF43"/>
      <c r="AG43"/>
      <c r="AH43"/>
      <c r="AI43"/>
      <c r="AJ43"/>
      <c r="AL43"/>
      <c r="AM43"/>
      <c r="AN43"/>
      <c r="AO43"/>
      <c r="AP43"/>
      <c r="AQ43"/>
      <c r="AR43"/>
      <c r="AS43"/>
      <c r="AT43"/>
      <c r="AU43"/>
      <c r="AV43"/>
      <c r="AW43"/>
      <c r="AX43"/>
      <c r="AY43"/>
      <c r="AZ43"/>
      <c r="BA43"/>
      <c r="BB43"/>
      <c r="BC43"/>
      <c r="BD43"/>
      <c r="BE43"/>
      <c r="BF43"/>
    </row>
    <row r="44" spans="2:58">
      <c r="B44"/>
      <c r="C44" s="205">
        <f>C43/Q25</f>
        <v>0</v>
      </c>
      <c r="D44"/>
      <c r="E44"/>
      <c r="F44"/>
      <c r="G44"/>
      <c r="H44"/>
      <c r="I44"/>
      <c r="J44"/>
      <c r="K44" s="248"/>
      <c r="L44" s="139"/>
      <c r="AA44" s="139"/>
      <c r="AB44"/>
      <c r="AC44"/>
      <c r="AD44"/>
      <c r="AE44"/>
      <c r="AF44"/>
      <c r="AG44"/>
      <c r="AH44"/>
      <c r="AI44"/>
      <c r="AJ44"/>
      <c r="AL44"/>
      <c r="AM44"/>
      <c r="AN44"/>
      <c r="AO44"/>
      <c r="AP44"/>
      <c r="AQ44"/>
      <c r="AR44"/>
      <c r="AS44"/>
      <c r="AT44"/>
      <c r="AU44"/>
      <c r="AV44"/>
      <c r="AW44"/>
      <c r="AX44"/>
      <c r="AY44"/>
      <c r="AZ44"/>
      <c r="BA44"/>
      <c r="BB44"/>
      <c r="BC44"/>
      <c r="BD44"/>
      <c r="BE44"/>
      <c r="BF44"/>
    </row>
    <row r="45" ht="18.15" spans="2:58">
      <c r="B45"/>
      <c r="C45"/>
      <c r="D45"/>
      <c r="E45"/>
      <c r="F45"/>
      <c r="G45"/>
      <c r="H45"/>
      <c r="I45"/>
      <c r="J45"/>
      <c r="K45" s="248"/>
      <c r="L45" s="139"/>
      <c r="AA45" s="139"/>
      <c r="AB45"/>
      <c r="AC45"/>
      <c r="AD45"/>
      <c r="AE45"/>
      <c r="AF45"/>
      <c r="AG45"/>
      <c r="AH45"/>
      <c r="AI45"/>
      <c r="AJ45"/>
      <c r="AL45"/>
      <c r="AM45"/>
      <c r="AN45"/>
      <c r="AO45"/>
      <c r="AP45"/>
      <c r="AQ45"/>
      <c r="AR45"/>
      <c r="AS45"/>
      <c r="AT45"/>
      <c r="AU45"/>
      <c r="AV45"/>
      <c r="AW45"/>
      <c r="AX45"/>
      <c r="AY45"/>
      <c r="AZ45"/>
      <c r="BA45"/>
      <c r="BB45"/>
      <c r="BC45"/>
      <c r="BD45"/>
      <c r="BE45"/>
      <c r="BF45"/>
    </row>
    <row r="46" ht="18.15" spans="2:68">
      <c r="B46" s="206" t="s">
        <v>952</v>
      </c>
      <c r="C46" s="207" t="s">
        <v>953</v>
      </c>
      <c r="D46"/>
      <c r="E46"/>
      <c r="F46"/>
      <c r="G46"/>
      <c r="H46"/>
      <c r="I46"/>
      <c r="J46"/>
      <c r="K46" s="249"/>
      <c r="L46" s="139"/>
      <c r="AA46" s="139"/>
      <c r="AB46"/>
      <c r="AC46"/>
      <c r="AD46"/>
      <c r="AE46"/>
      <c r="AF46"/>
      <c r="AG46"/>
      <c r="AH46"/>
      <c r="AI46"/>
      <c r="AJ46"/>
      <c r="AL46"/>
      <c r="AM46"/>
      <c r="AN46"/>
      <c r="AO46"/>
      <c r="AP46"/>
      <c r="AQ46"/>
      <c r="AR46"/>
      <c r="AS46"/>
      <c r="AT46"/>
      <c r="AU46"/>
      <c r="AV46"/>
      <c r="AW46"/>
      <c r="AX46"/>
      <c r="AY46"/>
      <c r="AZ46"/>
      <c r="BA46"/>
      <c r="BB46"/>
      <c r="BC46"/>
      <c r="BD46"/>
      <c r="BE46"/>
      <c r="BF46"/>
      <c r="BL46"/>
      <c r="BM46"/>
      <c r="BN46"/>
      <c r="BO46"/>
      <c r="BP46"/>
    </row>
    <row r="47" spans="2:68">
      <c r="B47" s="208" t="s">
        <v>954</v>
      </c>
      <c r="C47" s="209">
        <f>N30</f>
        <v>1422.64287671233</v>
      </c>
      <c r="D47"/>
      <c r="E47"/>
      <c r="F47"/>
      <c r="G47"/>
      <c r="H47"/>
      <c r="I47"/>
      <c r="J47"/>
      <c r="K47" s="250"/>
      <c r="L47" s="139"/>
      <c r="AA47" s="139"/>
      <c r="AB47"/>
      <c r="AC47"/>
      <c r="AD47"/>
      <c r="AE47"/>
      <c r="AF47"/>
      <c r="AG47"/>
      <c r="AH47"/>
      <c r="AI47"/>
      <c r="AJ47"/>
      <c r="AL47"/>
      <c r="AM47"/>
      <c r="AN47"/>
      <c r="AO47"/>
      <c r="AP47"/>
      <c r="AQ47"/>
      <c r="AR47"/>
      <c r="AS47"/>
      <c r="AT47"/>
      <c r="AU47"/>
      <c r="AV47"/>
      <c r="AW47"/>
      <c r="AX47"/>
      <c r="AY47"/>
      <c r="AZ47"/>
      <c r="BA47"/>
      <c r="BB47"/>
      <c r="BC47"/>
      <c r="BD47"/>
      <c r="BE47"/>
      <c r="BF47"/>
      <c r="BL47"/>
      <c r="BM47"/>
      <c r="BN47"/>
      <c r="BO47"/>
      <c r="BP47"/>
    </row>
    <row r="48" spans="2:68">
      <c r="B48" s="210" t="s">
        <v>955</v>
      </c>
      <c r="C48" s="209">
        <f>SUM(H38)*-1</f>
        <v>1531.7</v>
      </c>
      <c r="D48"/>
      <c r="E48"/>
      <c r="F48"/>
      <c r="G48"/>
      <c r="H48"/>
      <c r="I48"/>
      <c r="J48"/>
      <c r="K48" s="137"/>
      <c r="L48" s="139"/>
      <c r="AA48" s="139"/>
      <c r="AB48"/>
      <c r="AC48"/>
      <c r="AD48"/>
      <c r="AE48"/>
      <c r="AF48"/>
      <c r="AG48"/>
      <c r="AH48"/>
      <c r="AI48"/>
      <c r="AJ48"/>
      <c r="AL48"/>
      <c r="AM48"/>
      <c r="AN48"/>
      <c r="AO48"/>
      <c r="AP48"/>
      <c r="AQ48"/>
      <c r="AR48"/>
      <c r="AS48"/>
      <c r="AT48"/>
      <c r="AU48"/>
      <c r="AV48"/>
      <c r="AW48"/>
      <c r="AX48"/>
      <c r="AY48"/>
      <c r="AZ48"/>
      <c r="BA48"/>
      <c r="BB48"/>
      <c r="BC48"/>
      <c r="BD48"/>
      <c r="BE48"/>
      <c r="BF48"/>
      <c r="BL48"/>
      <c r="BM48"/>
      <c r="BN48"/>
      <c r="BO48"/>
      <c r="BP48"/>
    </row>
    <row r="49" spans="2:68">
      <c r="B49" s="210" t="s">
        <v>956</v>
      </c>
      <c r="C49" s="209">
        <f>AO30</f>
        <v>2258.5812</v>
      </c>
      <c r="D49"/>
      <c r="E49"/>
      <c r="F49"/>
      <c r="G49"/>
      <c r="H49"/>
      <c r="I49"/>
      <c r="J49"/>
      <c r="K49" s="137"/>
      <c r="L49" s="139"/>
      <c r="AA49" s="139"/>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210" t="s">
        <v>957</v>
      </c>
      <c r="C50" s="209">
        <f>BN30</f>
        <v>663.08</v>
      </c>
      <c r="D50"/>
      <c r="E50"/>
      <c r="F50"/>
      <c r="G50"/>
      <c r="H50"/>
      <c r="I50"/>
      <c r="J50"/>
      <c r="K50" s="137"/>
      <c r="L50" s="139"/>
      <c r="AA50" s="139"/>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ht="18.15" spans="2:68">
      <c r="B51" s="210" t="s">
        <v>958</v>
      </c>
      <c r="C51" s="209">
        <f>E43*-1</f>
        <v>0</v>
      </c>
      <c r="D51"/>
      <c r="E51"/>
      <c r="F51"/>
      <c r="G51"/>
      <c r="H51"/>
      <c r="I51"/>
      <c r="J51"/>
      <c r="K51" s="137"/>
      <c r="L51" s="139"/>
      <c r="AA51" s="139"/>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ht="18.15" spans="2:68">
      <c r="B52" s="211" t="s">
        <v>959</v>
      </c>
      <c r="C52" s="212">
        <f>SUM(C47:C51)</f>
        <v>5876.00407671233</v>
      </c>
      <c r="D52"/>
      <c r="E52"/>
      <c r="F52"/>
      <c r="G52"/>
      <c r="H52"/>
      <c r="I52"/>
      <c r="J52"/>
      <c r="K52" s="137"/>
      <c r="L52" s="139"/>
      <c r="AA52" s="139"/>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spans="2:68">
      <c r="B53" s="208" t="s">
        <v>960</v>
      </c>
      <c r="C53" s="213">
        <f>BJ30</f>
        <v>-4342.215855</v>
      </c>
      <c r="D53"/>
      <c r="E53"/>
      <c r="F53"/>
      <c r="G53"/>
      <c r="H53"/>
      <c r="I53"/>
      <c r="J53"/>
      <c r="K53" s="137"/>
      <c r="L53" s="139"/>
      <c r="AA53" s="139"/>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spans="2:68">
      <c r="B54" s="214" t="s">
        <v>961</v>
      </c>
      <c r="C54" s="215">
        <f>BO30</f>
        <v>0</v>
      </c>
      <c r="D54"/>
      <c r="E54"/>
      <c r="F54"/>
      <c r="G54"/>
      <c r="H54"/>
      <c r="I54"/>
      <c r="J54"/>
      <c r="K54" s="137"/>
      <c r="L54" s="139"/>
      <c r="AA54" s="139"/>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ht="18" customHeight="1" spans="2:68">
      <c r="B55" s="214" t="s">
        <v>962</v>
      </c>
      <c r="C55" s="215">
        <f>(G38+J38+I38)*-1</f>
        <v>-588.79</v>
      </c>
      <c r="D55" s="216"/>
      <c r="E55"/>
      <c r="F55"/>
      <c r="G55"/>
      <c r="H55"/>
      <c r="I55"/>
      <c r="J55"/>
      <c r="K55" s="137"/>
      <c r="L55" s="139"/>
      <c r="AA55" s="139"/>
      <c r="AB55"/>
      <c r="AC55"/>
      <c r="AD55"/>
      <c r="AE55"/>
      <c r="AF55"/>
      <c r="AG55"/>
      <c r="AH55"/>
      <c r="AI55"/>
      <c r="AJ55"/>
      <c r="AL55"/>
      <c r="AM55"/>
      <c r="AN55"/>
      <c r="AO55"/>
      <c r="AP55"/>
      <c r="AQ55"/>
      <c r="AR55"/>
      <c r="AS55"/>
      <c r="AT55"/>
      <c r="AU55"/>
      <c r="AV55"/>
      <c r="AW55"/>
      <c r="AX55"/>
      <c r="AY55"/>
      <c r="AZ55"/>
      <c r="BA55"/>
      <c r="BB55"/>
      <c r="BC55"/>
      <c r="BD55"/>
      <c r="BE55"/>
      <c r="BF55"/>
      <c r="BK55" s="220"/>
      <c r="BL55"/>
      <c r="BM55"/>
      <c r="BN55"/>
      <c r="BO55"/>
      <c r="BP55"/>
    </row>
    <row r="56" ht="18" customHeight="1" spans="2:68">
      <c r="B56" s="217" t="s">
        <v>963</v>
      </c>
      <c r="C56" s="218">
        <f>SUM(J30:M30)*-1</f>
        <v>-866.332876712329</v>
      </c>
      <c r="D56"/>
      <c r="E56"/>
      <c r="F56"/>
      <c r="G56"/>
      <c r="H56"/>
      <c r="I56"/>
      <c r="J56"/>
      <c r="K56" s="248"/>
      <c r="L56" s="139"/>
      <c r="AA56" s="139"/>
      <c r="AB56"/>
      <c r="AC56"/>
      <c r="AD56"/>
      <c r="AE56"/>
      <c r="AF56"/>
      <c r="AG56"/>
      <c r="AH56"/>
      <c r="AI56"/>
      <c r="AJ56"/>
      <c r="AL56"/>
      <c r="AM56"/>
      <c r="AN56"/>
      <c r="AO56"/>
      <c r="AP56"/>
      <c r="AQ56"/>
      <c r="AR56"/>
      <c r="AS56"/>
      <c r="AT56"/>
      <c r="AU56"/>
      <c r="AV56"/>
      <c r="AW56"/>
      <c r="AX56"/>
      <c r="AY56"/>
      <c r="AZ56"/>
      <c r="BA56"/>
      <c r="BB56"/>
      <c r="BC56"/>
      <c r="BD56"/>
      <c r="BE56"/>
      <c r="BF56"/>
      <c r="BK56" s="220"/>
      <c r="BL56"/>
      <c r="BM56"/>
      <c r="BN56"/>
      <c r="BO56"/>
      <c r="BP56"/>
    </row>
    <row r="57" ht="18" customHeight="1" spans="2:68">
      <c r="B57" s="211" t="s">
        <v>964</v>
      </c>
      <c r="C57" s="212">
        <f>SUM(C53:C56)</f>
        <v>-5797.33873171233</v>
      </c>
      <c r="D57"/>
      <c r="E57"/>
      <c r="F57"/>
      <c r="G57"/>
      <c r="H57"/>
      <c r="I57"/>
      <c r="J57"/>
      <c r="K57" s="248"/>
      <c r="L57" s="139"/>
      <c r="AA57" s="139"/>
      <c r="AB57"/>
      <c r="AC57"/>
      <c r="AD57"/>
      <c r="AE57"/>
      <c r="AF57"/>
      <c r="AG57"/>
      <c r="AH57"/>
      <c r="AI57"/>
      <c r="AJ57"/>
      <c r="AK57" s="307"/>
      <c r="AL57"/>
      <c r="AM57"/>
      <c r="AN57"/>
      <c r="AO57"/>
      <c r="AP57"/>
      <c r="AQ57"/>
      <c r="AR57"/>
      <c r="AS57"/>
      <c r="AT57"/>
      <c r="AU57"/>
      <c r="AV57"/>
      <c r="AW57"/>
      <c r="AX57"/>
      <c r="AY57"/>
      <c r="AZ57"/>
      <c r="BA57"/>
      <c r="BB57"/>
      <c r="BC57"/>
      <c r="BD57"/>
      <c r="BE57"/>
      <c r="BF57"/>
      <c r="BK57" s="220"/>
      <c r="BL57"/>
      <c r="BM57"/>
      <c r="BN57"/>
      <c r="BO57"/>
      <c r="BP57"/>
    </row>
    <row r="58" ht="18" customHeight="1" spans="2:68">
      <c r="B58" s="211" t="s">
        <v>965</v>
      </c>
      <c r="C58" s="212">
        <f>AL30+BG30</f>
        <v>77.8399999999999</v>
      </c>
      <c r="D58"/>
      <c r="E58"/>
      <c r="F58"/>
      <c r="G58"/>
      <c r="H58"/>
      <c r="I58"/>
      <c r="J58"/>
      <c r="K58" s="248"/>
      <c r="L58" s="139"/>
      <c r="AA58" s="139"/>
      <c r="AB58"/>
      <c r="AC58"/>
      <c r="AD58"/>
      <c r="AE58"/>
      <c r="AF58"/>
      <c r="AG58"/>
      <c r="AH58"/>
      <c r="AI58"/>
      <c r="AJ58"/>
      <c r="AK58" s="307"/>
      <c r="AL58"/>
      <c r="AM58"/>
      <c r="AN58"/>
      <c r="AO58"/>
      <c r="AP58"/>
      <c r="AQ58"/>
      <c r="AR58"/>
      <c r="AS58"/>
      <c r="AT58"/>
      <c r="AU58"/>
      <c r="AV58"/>
      <c r="AW58"/>
      <c r="AX58"/>
      <c r="AY58"/>
      <c r="AZ58"/>
      <c r="BA58"/>
      <c r="BB58"/>
      <c r="BC58"/>
      <c r="BD58"/>
      <c r="BE58"/>
      <c r="BF58"/>
      <c r="BK58" s="220"/>
      <c r="BL58"/>
      <c r="BM58"/>
      <c r="BN58"/>
      <c r="BO58"/>
      <c r="BP58"/>
    </row>
    <row r="59" ht="18" customHeight="1" spans="2:68">
      <c r="B59" s="208" t="s">
        <v>966</v>
      </c>
      <c r="C59" s="213">
        <f>C52+C57-C58</f>
        <v>0.825344999999515</v>
      </c>
      <c r="D59"/>
      <c r="E59"/>
      <c r="F59"/>
      <c r="G59"/>
      <c r="H59"/>
      <c r="I59"/>
      <c r="J59"/>
      <c r="K59" s="249"/>
      <c r="L59" s="139"/>
      <c r="AA59" s="139"/>
      <c r="AB59"/>
      <c r="AC59"/>
      <c r="AD59"/>
      <c r="AE59"/>
      <c r="AF59"/>
      <c r="AG59"/>
      <c r="AH59"/>
      <c r="AI59"/>
      <c r="AJ59"/>
      <c r="AK59" s="308"/>
      <c r="AL59"/>
      <c r="AM59"/>
      <c r="AN59"/>
      <c r="AO59"/>
      <c r="AP59"/>
      <c r="AQ59"/>
      <c r="AR59"/>
      <c r="AS59"/>
      <c r="AT59"/>
      <c r="AU59"/>
      <c r="AV59"/>
      <c r="AW59"/>
      <c r="AX59"/>
      <c r="AY59"/>
      <c r="AZ59"/>
      <c r="BA59"/>
      <c r="BB59"/>
      <c r="BC59"/>
      <c r="BD59"/>
      <c r="BE59"/>
      <c r="BF59"/>
      <c r="BK59" s="220"/>
      <c r="BL59"/>
      <c r="BM59"/>
      <c r="BN59"/>
      <c r="BO59"/>
      <c r="BP59"/>
    </row>
    <row r="60" ht="18" customHeight="1" spans="2:68">
      <c r="B60" s="217" t="s">
        <v>967</v>
      </c>
      <c r="C60" s="219">
        <f>C59/C52</f>
        <v>0.000140460249724895</v>
      </c>
      <c r="D60"/>
      <c r="E60"/>
      <c r="F60"/>
      <c r="G60"/>
      <c r="H60"/>
      <c r="I60"/>
      <c r="J60"/>
      <c r="K60" s="250"/>
      <c r="L60" s="139"/>
      <c r="AA60" s="139"/>
      <c r="AB60"/>
      <c r="AC60"/>
      <c r="AD60"/>
      <c r="AE60"/>
      <c r="AF60"/>
      <c r="AG60"/>
      <c r="AH60"/>
      <c r="AI60"/>
      <c r="AJ60"/>
      <c r="AK60" s="309"/>
      <c r="AL60"/>
      <c r="AM60"/>
      <c r="AN60"/>
      <c r="AO60"/>
      <c r="AP60"/>
      <c r="AQ60"/>
      <c r="AR60"/>
      <c r="AS60"/>
      <c r="AT60"/>
      <c r="AU60"/>
      <c r="AV60"/>
      <c r="AW60"/>
      <c r="AX60"/>
      <c r="AY60"/>
      <c r="AZ60"/>
      <c r="BA60"/>
      <c r="BB60"/>
      <c r="BC60"/>
      <c r="BD60"/>
      <c r="BE60"/>
      <c r="BF60"/>
      <c r="BK60" s="220"/>
      <c r="BL60"/>
      <c r="BM60"/>
      <c r="BN60"/>
      <c r="BO60"/>
      <c r="BP60"/>
    </row>
    <row r="61" ht="18" customHeight="1" spans="2:68">
      <c r="B61"/>
      <c r="D61" s="220"/>
      <c r="F61" s="221"/>
      <c r="G61" s="221"/>
      <c r="H61"/>
      <c r="I61"/>
      <c r="J61"/>
      <c r="K61"/>
      <c r="L61" s="139"/>
      <c r="O61" s="221"/>
      <c r="AA61" s="139"/>
      <c r="AB61"/>
      <c r="AC61"/>
      <c r="AD61"/>
      <c r="AE61"/>
      <c r="AF61"/>
      <c r="AG61"/>
      <c r="AH61"/>
      <c r="AI61"/>
      <c r="AJ61"/>
      <c r="AK61" s="309"/>
      <c r="AL61"/>
      <c r="AM61"/>
      <c r="AN61"/>
      <c r="AO61"/>
      <c r="AP61"/>
      <c r="AQ61"/>
      <c r="AR61"/>
      <c r="AS61"/>
      <c r="AT61"/>
      <c r="AU61"/>
      <c r="AV61"/>
      <c r="AW61"/>
      <c r="AX61"/>
      <c r="AY61"/>
      <c r="AZ61"/>
      <c r="BA61"/>
      <c r="BB61"/>
      <c r="BC61"/>
      <c r="BD61"/>
      <c r="BE61"/>
      <c r="BF61"/>
      <c r="BK61" s="220"/>
      <c r="BL61"/>
      <c r="BM61"/>
      <c r="BN61"/>
      <c r="BO61"/>
      <c r="BP61"/>
    </row>
    <row r="62" ht="37.95" customHeight="1" spans="2:68">
      <c r="B62"/>
      <c r="C62"/>
      <c r="D62"/>
      <c r="E62"/>
      <c r="F62"/>
      <c r="G62"/>
      <c r="H62"/>
      <c r="I62"/>
      <c r="K62" s="220"/>
      <c r="O62" s="221"/>
      <c r="AA62" s="221"/>
      <c r="AB62"/>
      <c r="AC62"/>
      <c r="AD62"/>
      <c r="AE62"/>
      <c r="AF62"/>
      <c r="AG62"/>
      <c r="AH62"/>
      <c r="AI62"/>
      <c r="AJ62"/>
      <c r="AK62" s="309"/>
      <c r="AL62"/>
      <c r="AM62"/>
      <c r="AN62"/>
      <c r="AO62"/>
      <c r="AP62"/>
      <c r="AQ62"/>
      <c r="AR62"/>
      <c r="AS62"/>
      <c r="AT62"/>
      <c r="AU62"/>
      <c r="AV62"/>
      <c r="AW62"/>
      <c r="AX62"/>
      <c r="AY62"/>
      <c r="AZ62"/>
      <c r="BA62"/>
      <c r="BB62"/>
      <c r="BC62"/>
      <c r="BD62"/>
      <c r="BE62"/>
      <c r="BF62"/>
      <c r="BK62" s="220"/>
      <c r="BL62"/>
      <c r="BM62"/>
      <c r="BN62"/>
      <c r="BO62"/>
      <c r="BP62"/>
    </row>
    <row r="63" spans="2:68">
      <c r="B63"/>
      <c r="C63"/>
      <c r="D63"/>
      <c r="E63"/>
      <c r="F63"/>
      <c r="G63"/>
      <c r="H63"/>
      <c r="I63"/>
      <c r="K63" s="251"/>
      <c r="M63" s="251"/>
      <c r="N63" s="221"/>
      <c r="O63" s="221"/>
      <c r="P63"/>
      <c r="Q63"/>
      <c r="R63"/>
      <c r="S63"/>
      <c r="T63"/>
      <c r="U63"/>
      <c r="V63"/>
      <c r="W63"/>
      <c r="Y63" s="220"/>
      <c r="Z63" s="137"/>
      <c r="AA63" s="221"/>
      <c r="AB63"/>
      <c r="AC63"/>
      <c r="AD63"/>
      <c r="AE63"/>
      <c r="AF63"/>
      <c r="AG63"/>
      <c r="AH63"/>
      <c r="AI63"/>
      <c r="AJ63"/>
      <c r="AK63" s="309"/>
      <c r="AL63"/>
      <c r="AM63"/>
      <c r="AN63"/>
      <c r="AO63"/>
      <c r="AP63"/>
      <c r="AQ63"/>
      <c r="AR63"/>
      <c r="AS63"/>
      <c r="AT63"/>
      <c r="AU63"/>
      <c r="AV63"/>
      <c r="AW63"/>
      <c r="AX63"/>
      <c r="AY63"/>
      <c r="AZ63"/>
      <c r="BA63"/>
      <c r="BB63"/>
      <c r="BC63"/>
      <c r="BD63"/>
      <c r="BE63"/>
      <c r="BF63"/>
      <c r="BL63"/>
      <c r="BM63"/>
      <c r="BN63"/>
      <c r="BO63"/>
      <c r="BP63"/>
    </row>
    <row r="64" spans="2:68">
      <c r="B64"/>
      <c r="C64"/>
      <c r="D64"/>
      <c r="E64"/>
      <c r="F64"/>
      <c r="G64"/>
      <c r="H64"/>
      <c r="I64"/>
      <c r="K64" s="251"/>
      <c r="M64" s="251"/>
      <c r="N64" s="221"/>
      <c r="O64" s="221"/>
      <c r="P64"/>
      <c r="Q64"/>
      <c r="R64"/>
      <c r="S64"/>
      <c r="T64"/>
      <c r="U64"/>
      <c r="V64"/>
      <c r="W64"/>
      <c r="X64"/>
      <c r="Y64"/>
      <c r="Z64"/>
      <c r="AA64"/>
      <c r="AB64"/>
      <c r="AC64"/>
      <c r="AD64"/>
      <c r="AE64"/>
      <c r="AF64"/>
      <c r="AG64"/>
      <c r="AH64"/>
      <c r="AI64"/>
      <c r="AJ64"/>
      <c r="AK64" s="309"/>
      <c r="AL64"/>
      <c r="AM64"/>
      <c r="AN64"/>
      <c r="AO64"/>
      <c r="AP64"/>
      <c r="AQ64"/>
      <c r="AR64"/>
      <c r="AS64"/>
      <c r="AT64"/>
      <c r="AU64"/>
      <c r="AV64"/>
      <c r="AW64"/>
      <c r="AX64"/>
      <c r="AY64"/>
      <c r="AZ64"/>
      <c r="BA64"/>
      <c r="BB64"/>
      <c r="BC64"/>
      <c r="BD64"/>
      <c r="BE64"/>
      <c r="BF64"/>
      <c r="BL64"/>
      <c r="BM64"/>
      <c r="BN64"/>
      <c r="BO64"/>
      <c r="BP64"/>
    </row>
    <row r="65" spans="2:68">
      <c r="B65"/>
      <c r="C65"/>
      <c r="D65"/>
      <c r="E65"/>
      <c r="F65"/>
      <c r="G65"/>
      <c r="H65"/>
      <c r="I65"/>
      <c r="K65" s="251"/>
      <c r="M65" s="251"/>
      <c r="N65" s="221"/>
      <c r="O65" s="221"/>
      <c r="P65"/>
      <c r="Q65"/>
      <c r="R65"/>
      <c r="S65"/>
      <c r="T65"/>
      <c r="U65"/>
      <c r="V65"/>
      <c r="W65"/>
      <c r="X65"/>
      <c r="Y65"/>
      <c r="Z65"/>
      <c r="AA65"/>
      <c r="AB65"/>
      <c r="AC65"/>
      <c r="AD65"/>
      <c r="AE65"/>
      <c r="AF65"/>
      <c r="AG65"/>
      <c r="AH65"/>
      <c r="AI65"/>
      <c r="AJ65"/>
      <c r="AK65" s="309"/>
      <c r="AL65"/>
      <c r="AM65"/>
      <c r="AN65"/>
      <c r="AO65"/>
      <c r="AP65"/>
      <c r="AQ65"/>
      <c r="AR65"/>
      <c r="AS65"/>
      <c r="AT65"/>
      <c r="AU65"/>
      <c r="AV65"/>
      <c r="AW65"/>
      <c r="AX65"/>
      <c r="AY65"/>
      <c r="AZ65"/>
      <c r="BA65"/>
      <c r="BB65"/>
      <c r="BC65"/>
      <c r="BD65"/>
      <c r="BE65"/>
      <c r="BF65"/>
      <c r="BL65"/>
      <c r="BM65"/>
      <c r="BN65"/>
      <c r="BO65"/>
      <c r="BP65"/>
    </row>
    <row r="66" spans="2:68">
      <c r="B66"/>
      <c r="C66"/>
      <c r="D66"/>
      <c r="E66"/>
      <c r="F66"/>
      <c r="G66"/>
      <c r="H66"/>
      <c r="I66"/>
      <c r="K66" s="137"/>
      <c r="M66" s="137"/>
      <c r="P66"/>
      <c r="Q66"/>
      <c r="R66"/>
      <c r="S66"/>
      <c r="T66"/>
      <c r="U66"/>
      <c r="V66"/>
      <c r="W66"/>
      <c r="X66"/>
      <c r="Y66"/>
      <c r="Z66"/>
      <c r="AA66"/>
      <c r="AB66"/>
      <c r="AC66"/>
      <c r="AD66"/>
      <c r="AE66"/>
      <c r="AF66"/>
      <c r="AG66"/>
      <c r="AH66"/>
      <c r="AI66"/>
      <c r="AJ66"/>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137"/>
      <c r="M67" s="137"/>
      <c r="P67"/>
      <c r="Q67"/>
      <c r="R67"/>
      <c r="S67"/>
      <c r="T67"/>
      <c r="U67"/>
      <c r="V67"/>
      <c r="W67"/>
      <c r="X67"/>
      <c r="Y67"/>
      <c r="Z67"/>
      <c r="AA67"/>
      <c r="AB67"/>
      <c r="AC67"/>
      <c r="AD67"/>
      <c r="AE67"/>
      <c r="AF67"/>
      <c r="AG67"/>
      <c r="AH67"/>
      <c r="AI67"/>
      <c r="AJ67"/>
      <c r="AL67"/>
      <c r="AM67"/>
      <c r="AN67"/>
      <c r="AO67"/>
      <c r="AP67"/>
      <c r="AQ67"/>
      <c r="AR67"/>
      <c r="AS67"/>
      <c r="AT67"/>
      <c r="AU67"/>
      <c r="AV67"/>
      <c r="AW67"/>
      <c r="AX67"/>
      <c r="AY67"/>
      <c r="AZ67"/>
      <c r="BA67"/>
      <c r="BB67"/>
      <c r="BC67"/>
      <c r="BD67"/>
      <c r="BE67"/>
      <c r="BF67"/>
      <c r="BG67" s="390"/>
      <c r="BH67" s="390"/>
      <c r="BI67" s="390"/>
      <c r="BJ67" s="390"/>
      <c r="BL67"/>
      <c r="BM67"/>
      <c r="BN67"/>
      <c r="BO67"/>
      <c r="BP67"/>
    </row>
    <row r="68" spans="2:68">
      <c r="B68"/>
      <c r="C68"/>
      <c r="D68"/>
      <c r="E68"/>
      <c r="F68"/>
      <c r="G68"/>
      <c r="H68"/>
      <c r="I68"/>
      <c r="K68" s="137"/>
      <c r="M68" s="137"/>
      <c r="U68" s="390"/>
      <c r="V68" s="390"/>
      <c r="W68" s="390"/>
      <c r="X68" s="390"/>
      <c r="Y68" s="139"/>
      <c r="Z68" s="139"/>
      <c r="AA68" s="139"/>
      <c r="AB68" s="139"/>
      <c r="AC68" s="139"/>
      <c r="AD68" s="139"/>
      <c r="AH68" s="139"/>
      <c r="AI68" s="139"/>
      <c r="AJ68" s="139"/>
      <c r="AL68" s="139"/>
      <c r="AM68" s="139"/>
      <c r="AN68" s="139"/>
      <c r="AO68" s="139"/>
      <c r="AP68" s="390"/>
      <c r="AQ68" s="390"/>
      <c r="AR68" s="390"/>
      <c r="AS68" s="390"/>
      <c r="AT68" s="390"/>
      <c r="AU68" s="390"/>
      <c r="AV68" s="390"/>
      <c r="AW68" s="390"/>
      <c r="AX68" s="390"/>
      <c r="AY68" s="390"/>
      <c r="AZ68" s="390"/>
      <c r="BA68" s="390"/>
      <c r="BB68" s="390"/>
      <c r="BC68" s="390"/>
      <c r="BD68" s="390"/>
      <c r="BE68" s="390"/>
      <c r="BF68" s="390"/>
      <c r="BG68" s="390"/>
      <c r="BH68" s="390"/>
      <c r="BI68" s="390"/>
      <c r="BJ68" s="390"/>
      <c r="BL68"/>
      <c r="BM68"/>
      <c r="BN68"/>
      <c r="BO68"/>
      <c r="BP68"/>
    </row>
    <row r="69" ht="13.8" spans="1:72">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T69"/>
    </row>
    <row r="70" ht="13.8" spans="1:7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T70"/>
    </row>
    <row r="71" ht="13.8" spans="1:7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T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spans="2:41">
      <c r="B82"/>
      <c r="C82"/>
      <c r="D82"/>
      <c r="E82"/>
      <c r="F82"/>
      <c r="G82"/>
      <c r="H82"/>
      <c r="I82"/>
      <c r="K82" s="137"/>
      <c r="M82" s="137"/>
      <c r="Y82" s="139"/>
      <c r="Z82" s="139"/>
      <c r="AA82" s="139"/>
      <c r="AB82" s="139"/>
      <c r="AC82" s="139"/>
      <c r="AD82" s="139"/>
      <c r="AH82" s="139"/>
      <c r="AI82" s="139"/>
      <c r="AJ82" s="139"/>
      <c r="AL82" s="139"/>
      <c r="AM82" s="139"/>
      <c r="AN82" s="139"/>
      <c r="AO82" s="139"/>
    </row>
    <row r="83" spans="2:41">
      <c r="B83"/>
      <c r="C83"/>
      <c r="D83"/>
      <c r="E83"/>
      <c r="F83"/>
      <c r="G83"/>
      <c r="H83"/>
      <c r="I83"/>
      <c r="K83" s="137"/>
      <c r="M83" s="137"/>
      <c r="Y83" s="139"/>
      <c r="Z83" s="139"/>
      <c r="AA83" s="139"/>
      <c r="AB83" s="139"/>
      <c r="AC83" s="139"/>
      <c r="AD83" s="139"/>
      <c r="AH83" s="139"/>
      <c r="AI83" s="139"/>
      <c r="AJ83" s="139"/>
      <c r="AL83" s="139"/>
      <c r="AM83" s="139"/>
      <c r="AN83" s="139"/>
      <c r="AO83" s="139"/>
    </row>
    <row r="84" spans="2:41">
      <c r="B84"/>
      <c r="C84"/>
      <c r="D84"/>
      <c r="E84"/>
      <c r="F84"/>
      <c r="G84"/>
      <c r="H84"/>
      <c r="I84"/>
      <c r="K84" s="137"/>
      <c r="M84" s="137"/>
      <c r="Y84" s="139"/>
      <c r="Z84" s="139"/>
      <c r="AA84" s="139"/>
      <c r="AB84" s="139"/>
      <c r="AC84" s="139"/>
      <c r="AD84" s="139"/>
      <c r="AH84" s="139"/>
      <c r="AI84" s="139"/>
      <c r="AJ84" s="139"/>
      <c r="AL84" s="139"/>
      <c r="AM84" s="139"/>
      <c r="AN84" s="139"/>
      <c r="AO84" s="139"/>
    </row>
    <row r="85" spans="1:72">
      <c r="A85" s="173"/>
      <c r="B85"/>
      <c r="C85"/>
      <c r="D85"/>
      <c r="E85"/>
      <c r="F85"/>
      <c r="G85"/>
      <c r="H85"/>
      <c r="I85"/>
      <c r="N85" s="251"/>
      <c r="O85" s="251"/>
      <c r="P85" s="389"/>
      <c r="Q85" s="389"/>
      <c r="R85" s="391"/>
      <c r="S85" s="391"/>
      <c r="AK85" s="251"/>
      <c r="BT85" s="173"/>
    </row>
    <row r="86" spans="2:37">
      <c r="B86"/>
      <c r="C86"/>
      <c r="D86"/>
      <c r="E86"/>
      <c r="F86"/>
      <c r="G86"/>
      <c r="H86"/>
      <c r="I86"/>
      <c r="N86" s="251"/>
      <c r="O86" s="251"/>
      <c r="P86" s="251"/>
      <c r="Q86" s="251"/>
      <c r="R86" s="391"/>
      <c r="S86" s="391"/>
      <c r="AK86" s="251"/>
    </row>
    <row r="87" spans="6:37">
      <c r="F87"/>
      <c r="G87"/>
      <c r="N87" s="251"/>
      <c r="O87" s="251"/>
      <c r="P87" s="389"/>
      <c r="Q87" s="389"/>
      <c r="R87" s="391"/>
      <c r="S87" s="391"/>
      <c r="AK87" s="251"/>
    </row>
    <row r="88" spans="14:37">
      <c r="N88" s="251"/>
      <c r="O88" s="251"/>
      <c r="P88" s="251"/>
      <c r="Q88" s="251"/>
      <c r="R88" s="391"/>
      <c r="S88" s="391"/>
      <c r="AK88" s="251"/>
    </row>
  </sheetData>
  <mergeCells count="3">
    <mergeCell ref="R3:AD3"/>
    <mergeCell ref="AE3:AI3"/>
    <mergeCell ref="AJ3:AO3"/>
  </mergeCells>
  <conditionalFormatting sqref="Q4:AO5 AL5:AL23 AR5:AU23 Q6:AL23 A1:B2 O1:BS2 BT1:XFD20 F2:H2 J2 F3:R3 AE3 AJ3 AP3:BS3 A3:E23 AR4:BS4 J4:N23 AP5:AQ5 AV5:BS5 AM6:AO20 BN6:BS20 AP6:AP21 BB6:BM21 AV6:BA23 AQ6:AQ26 BN21:XFD21 AM21:AP23 BB22:XFD23 AG24:AP26 AR24:XFD26 C24:E27 A24:B29 F24:N29 Q24:AF29 Y24:AA30 AG27:XFD30 A30:AF30 T32:AF32 AL32:AN32 AQ32:BC32 AZ32:BC33 BG32:BS33 AG32:AK36 A32:A86 BT32:XFD1048576 J33:K33 AL33:BC33 K33:L35 AA33:AF36 G34:K35 AL34:BS36 G36:L36 G37:K37 BG37:BS45 AK37:AK67 K39:K60 BG46:BK67 BQ46:BS69 C61:G61 O61:O62 J62:L62 AA62 X63:AA63 N63:O67 J63:M86 AX68:BK69 N68:AW1048576 BD68:BD1048576 AX70:BS1048576 A87:E1048576 H87:M1048576 F88:G1048576">
    <cfRule type="cellIs" dxfId="36" priority="16" operator="lessThan">
      <formula>0</formula>
    </cfRule>
  </conditionalFormatting>
  <conditionalFormatting sqref="AL5:AL23 AR5:AR23">
    <cfRule type="expression" dxfId="125" priority="3" stopIfTrue="1">
      <formula>$AR5=0</formula>
    </cfRule>
  </conditionalFormatting>
  <pageMargins left="0.7" right="0.7" top="0.75" bottom="0.75" header="0.3" footer="0.3"/>
  <pageSetup paperSize="9" scale="33" orientation="landscape"/>
  <headerFooter/>
  <ignoredErrors>
    <ignoredError sqref="AS5" calculatedColumn="1"/>
  </ignoredErrors>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T89"/>
  <sheetViews>
    <sheetView tabSelected="1" zoomScale="55" zoomScaleNormal="55" workbookViewId="0">
      <selection activeCell="A1" sqref="A1"/>
    </sheetView>
  </sheetViews>
  <sheetFormatPr defaultColWidth="10.8" defaultRowHeight="17.4"/>
  <cols>
    <col min="1" max="1" width="11.7" style="136" customWidth="1"/>
    <col min="2" max="2" width="48.3" style="137" customWidth="1"/>
    <col min="3" max="4" width="15.7" style="137" customWidth="1"/>
    <col min="5" max="5" width="12.5" style="137" customWidth="1"/>
    <col min="6" max="7" width="17.8" style="137" customWidth="1"/>
    <col min="8" max="8" width="15.8" style="138" customWidth="1"/>
    <col min="9" max="9" width="15.2" style="138" customWidth="1"/>
    <col min="10" max="10" width="16.8" style="137" customWidth="1"/>
    <col min="11" max="11" width="15.2" style="139" customWidth="1"/>
    <col min="12" max="12" width="15.2" style="137" customWidth="1"/>
    <col min="13" max="20" width="15.2" style="139" customWidth="1"/>
    <col min="21" max="24" width="15.2" style="137" customWidth="1"/>
    <col min="25" max="27" width="15.2" style="140" customWidth="1"/>
    <col min="28" max="28" width="21.7" style="140" customWidth="1"/>
    <col min="29" max="30" width="15.2" style="140" customWidth="1"/>
    <col min="31" max="33" width="15.2" style="139" customWidth="1"/>
    <col min="34" max="35" width="15.2" style="141" customWidth="1"/>
    <col min="36" max="36" width="19.5" style="141" customWidth="1"/>
    <col min="37" max="37" width="15.2" style="139" customWidth="1"/>
    <col min="38" max="39" width="15.2" style="141" customWidth="1"/>
    <col min="40" max="40" width="15.2" style="137" customWidth="1"/>
    <col min="41" max="41" width="15.8" style="142" customWidth="1"/>
    <col min="42" max="66" width="15.8" style="137" customWidth="1"/>
    <col min="67" max="67" width="15.8" style="142" customWidth="1"/>
    <col min="68" max="68" width="15.8" style="137" customWidth="1"/>
    <col min="69" max="69" width="21" style="137" customWidth="1"/>
    <col min="70" max="71" width="15.8" customWidth="1"/>
    <col min="72" max="72" width="13" style="136" customWidth="1"/>
  </cols>
  <sheetData>
    <row r="1" s="133" customFormat="1" ht="21" spans="1:72">
      <c r="A1" s="143"/>
      <c r="B1" s="144" t="s">
        <v>52</v>
      </c>
      <c r="C1" s="145" t="s">
        <v>864</v>
      </c>
      <c r="D1" s="145"/>
      <c r="E1" s="145"/>
      <c r="F1" s="146">
        <v>45658</v>
      </c>
      <c r="G1" s="146"/>
      <c r="H1" s="147">
        <v>45747</v>
      </c>
      <c r="I1"/>
      <c r="K1" s="222"/>
      <c r="L1" s="223"/>
      <c r="M1" s="223"/>
      <c r="N1" s="223"/>
      <c r="O1" s="223"/>
      <c r="P1" s="223"/>
      <c r="Q1" s="223"/>
      <c r="R1" s="223"/>
      <c r="S1" s="223"/>
      <c r="T1" s="223"/>
      <c r="U1" s="223"/>
      <c r="V1" s="223"/>
      <c r="W1" s="223"/>
      <c r="X1" s="222"/>
      <c r="Y1" s="223"/>
      <c r="Z1" s="223"/>
      <c r="AA1" s="223"/>
      <c r="AB1" s="223"/>
      <c r="AC1" s="223"/>
      <c r="AD1" s="223"/>
      <c r="AE1" s="222"/>
      <c r="AF1" s="222"/>
      <c r="AG1" s="223"/>
      <c r="AH1" s="223"/>
      <c r="AI1" s="223"/>
      <c r="AJ1" s="223"/>
      <c r="AK1" s="223"/>
      <c r="AL1" s="223"/>
      <c r="AM1" s="223"/>
      <c r="AN1" s="223"/>
      <c r="AO1" s="223"/>
      <c r="AP1" s="222"/>
      <c r="AQ1" s="222"/>
      <c r="AR1" s="222"/>
      <c r="AS1" s="222"/>
      <c r="AT1" s="222"/>
      <c r="AU1" s="222"/>
      <c r="AV1" s="222"/>
      <c r="AW1" s="222"/>
      <c r="AX1" s="222"/>
      <c r="AY1" s="222"/>
      <c r="AZ1" s="222"/>
      <c r="BA1" s="222"/>
      <c r="BB1" s="222"/>
      <c r="BC1" s="222"/>
      <c r="BD1" s="222"/>
      <c r="BE1" s="222"/>
      <c r="BF1" s="222"/>
      <c r="BG1" s="222"/>
      <c r="BH1" s="222"/>
      <c r="BI1" s="222"/>
      <c r="BJ1" s="222"/>
      <c r="BK1" s="222"/>
      <c r="BL1" s="222"/>
      <c r="BM1" s="222"/>
      <c r="BN1" s="222"/>
      <c r="BO1" s="222"/>
      <c r="BP1" s="360"/>
      <c r="BQ1" s="222"/>
      <c r="BR1" s="222"/>
      <c r="BT1" s="143"/>
    </row>
    <row r="2" ht="22.95" customHeight="1" spans="2:70">
      <c r="B2" s="148"/>
      <c r="F2" s="669" t="s">
        <v>831</v>
      </c>
      <c r="G2" s="669" t="s">
        <v>832</v>
      </c>
      <c r="H2" s="669" t="s">
        <v>833</v>
      </c>
      <c r="I2" s="137"/>
      <c r="J2" s="224"/>
      <c r="K2" s="137"/>
      <c r="L2" s="139"/>
      <c r="U2" s="139"/>
      <c r="V2" s="139"/>
      <c r="W2" s="139"/>
      <c r="Y2" s="139"/>
      <c r="Z2" s="139"/>
      <c r="AA2" s="139"/>
      <c r="AB2" s="139"/>
      <c r="AC2" s="139"/>
      <c r="AD2" s="139"/>
      <c r="AE2" s="137"/>
      <c r="AF2" s="137"/>
      <c r="AH2" s="139"/>
      <c r="AI2" s="139"/>
      <c r="AJ2" s="139"/>
      <c r="AL2" s="139"/>
      <c r="AM2" s="139"/>
      <c r="AN2" s="139"/>
      <c r="AO2" s="139"/>
      <c r="BO2" s="137"/>
      <c r="BP2" s="142"/>
      <c r="BR2" s="137"/>
    </row>
    <row r="3" ht="76.95" customHeight="1" spans="3:71">
      <c r="C3" s="149" t="s">
        <v>865</v>
      </c>
      <c r="D3" s="149"/>
      <c r="E3" s="149"/>
      <c r="F3" s="150">
        <v>31</v>
      </c>
      <c r="G3" s="150">
        <v>29</v>
      </c>
      <c r="H3" s="150">
        <v>31</v>
      </c>
      <c r="I3" s="225">
        <v>90</v>
      </c>
      <c r="J3" s="225">
        <v>90</v>
      </c>
      <c r="K3" s="225">
        <v>90</v>
      </c>
      <c r="L3" s="225">
        <v>90</v>
      </c>
      <c r="M3" s="225">
        <v>1</v>
      </c>
      <c r="N3" s="226">
        <v>90</v>
      </c>
      <c r="O3" s="227"/>
      <c r="P3" s="228" t="s">
        <v>866</v>
      </c>
      <c r="Q3" s="228"/>
      <c r="R3" s="252" t="s">
        <v>867</v>
      </c>
      <c r="S3" s="252"/>
      <c r="T3" s="252"/>
      <c r="U3" s="252"/>
      <c r="V3" s="252"/>
      <c r="W3" s="252"/>
      <c r="X3" s="252"/>
      <c r="Y3" s="252"/>
      <c r="Z3" s="252"/>
      <c r="AA3" s="252"/>
      <c r="AB3" s="252"/>
      <c r="AC3" s="252"/>
      <c r="AD3" s="252"/>
      <c r="AE3" s="271" t="s">
        <v>868</v>
      </c>
      <c r="AF3" s="271"/>
      <c r="AG3" s="271"/>
      <c r="AH3" s="271"/>
      <c r="AI3" s="271"/>
      <c r="AJ3" s="252"/>
      <c r="AK3" s="252"/>
      <c r="AL3" s="252"/>
      <c r="AM3" s="252"/>
      <c r="AN3" s="252"/>
      <c r="AO3" s="310"/>
      <c r="AP3" s="311"/>
      <c r="AQ3" s="312" t="s">
        <v>869</v>
      </c>
      <c r="AR3" s="312"/>
      <c r="AS3" s="312"/>
      <c r="AT3" s="312"/>
      <c r="AU3" s="312"/>
      <c r="AV3" s="312"/>
      <c r="AW3" s="312"/>
      <c r="AX3" s="312"/>
      <c r="AY3" s="312"/>
      <c r="AZ3" s="312"/>
      <c r="BA3" s="312"/>
      <c r="BB3" s="312"/>
      <c r="BC3" s="312"/>
      <c r="BD3" s="333"/>
      <c r="BE3" s="333"/>
      <c r="BF3" s="333"/>
      <c r="BG3" s="333"/>
      <c r="BH3" s="333"/>
      <c r="BI3" s="333"/>
      <c r="BJ3" s="333"/>
      <c r="BK3" s="341" t="s">
        <v>870</v>
      </c>
      <c r="BL3" s="342"/>
      <c r="BM3" s="342"/>
      <c r="BN3" s="342"/>
      <c r="BO3" s="342"/>
      <c r="BP3" s="361"/>
      <c r="BQ3" s="362" t="s">
        <v>871</v>
      </c>
      <c r="BR3" s="363"/>
      <c r="BS3" s="364"/>
    </row>
    <row r="4" s="134" customFormat="1" ht="208.05" customHeight="1" spans="1:72">
      <c r="A4" s="151" t="s">
        <v>190</v>
      </c>
      <c r="B4" s="152" t="s">
        <v>872</v>
      </c>
      <c r="C4" s="153" t="s">
        <v>873</v>
      </c>
      <c r="D4" s="153" t="s">
        <v>874</v>
      </c>
      <c r="E4" s="154" t="s">
        <v>208</v>
      </c>
      <c r="F4" s="155" t="s">
        <v>875</v>
      </c>
      <c r="G4" s="156" t="s">
        <v>876</v>
      </c>
      <c r="H4" s="156" t="s">
        <v>877</v>
      </c>
      <c r="I4" s="156" t="s">
        <v>878</v>
      </c>
      <c r="J4" s="156" t="s">
        <v>879</v>
      </c>
      <c r="K4" s="156" t="s">
        <v>880</v>
      </c>
      <c r="L4" s="156" t="s">
        <v>859</v>
      </c>
      <c r="M4" s="156" t="s">
        <v>881</v>
      </c>
      <c r="N4" s="229" t="s">
        <v>882</v>
      </c>
      <c r="O4" s="230" t="s">
        <v>883</v>
      </c>
      <c r="P4" s="231" t="s">
        <v>884</v>
      </c>
      <c r="Q4" s="253" t="s">
        <v>885</v>
      </c>
      <c r="R4" s="254" t="s">
        <v>886</v>
      </c>
      <c r="S4" s="254" t="s">
        <v>887</v>
      </c>
      <c r="T4" s="254" t="s">
        <v>888</v>
      </c>
      <c r="U4" s="254" t="s">
        <v>889</v>
      </c>
      <c r="V4" s="254" t="s">
        <v>890</v>
      </c>
      <c r="W4" s="254" t="s">
        <v>891</v>
      </c>
      <c r="X4" s="254" t="s">
        <v>892</v>
      </c>
      <c r="Y4" s="254" t="s">
        <v>893</v>
      </c>
      <c r="Z4" s="254" t="s">
        <v>894</v>
      </c>
      <c r="AA4" s="254" t="s">
        <v>895</v>
      </c>
      <c r="AB4" s="254" t="s">
        <v>896</v>
      </c>
      <c r="AC4" s="254" t="s">
        <v>897</v>
      </c>
      <c r="AD4" s="272" t="s">
        <v>898</v>
      </c>
      <c r="AE4" s="273" t="s">
        <v>899</v>
      </c>
      <c r="AF4" s="274" t="s">
        <v>900</v>
      </c>
      <c r="AG4" s="274" t="s">
        <v>901</v>
      </c>
      <c r="AH4" s="274" t="s">
        <v>902</v>
      </c>
      <c r="AI4" s="274" t="s">
        <v>903</v>
      </c>
      <c r="AJ4" s="254" t="s">
        <v>904</v>
      </c>
      <c r="AK4" s="254" t="s">
        <v>905</v>
      </c>
      <c r="AL4" s="272" t="s">
        <v>906</v>
      </c>
      <c r="AM4" s="291" t="s">
        <v>907</v>
      </c>
      <c r="AN4" s="291" t="s">
        <v>908</v>
      </c>
      <c r="AO4" s="313" t="s">
        <v>909</v>
      </c>
      <c r="AP4" s="314" t="s">
        <v>910</v>
      </c>
      <c r="AQ4" s="231" t="s">
        <v>911</v>
      </c>
      <c r="AR4" s="315" t="s">
        <v>912</v>
      </c>
      <c r="AS4" s="312" t="s">
        <v>913</v>
      </c>
      <c r="AT4" s="312" t="s">
        <v>914</v>
      </c>
      <c r="AU4" s="312" t="s">
        <v>915</v>
      </c>
      <c r="AV4" s="312" t="s">
        <v>916</v>
      </c>
      <c r="AW4" s="312" t="s">
        <v>917</v>
      </c>
      <c r="AX4" s="312" t="s">
        <v>918</v>
      </c>
      <c r="AY4" s="312" t="s">
        <v>919</v>
      </c>
      <c r="AZ4" s="312" t="s">
        <v>920</v>
      </c>
      <c r="BA4" s="312" t="s">
        <v>921</v>
      </c>
      <c r="BB4" s="312" t="s">
        <v>922</v>
      </c>
      <c r="BC4" s="312" t="s">
        <v>923</v>
      </c>
      <c r="BD4" s="333" t="s">
        <v>924</v>
      </c>
      <c r="BE4" s="333" t="s">
        <v>925</v>
      </c>
      <c r="BF4" s="333" t="s">
        <v>926</v>
      </c>
      <c r="BG4" s="343" t="s">
        <v>927</v>
      </c>
      <c r="BH4" s="343" t="s">
        <v>928</v>
      </c>
      <c r="BI4" s="343" t="s">
        <v>929</v>
      </c>
      <c r="BJ4" s="333" t="s">
        <v>930</v>
      </c>
      <c r="BK4" s="344" t="s">
        <v>931</v>
      </c>
      <c r="BL4" s="345" t="s">
        <v>932</v>
      </c>
      <c r="BM4" s="345" t="s">
        <v>933</v>
      </c>
      <c r="BN4" s="345" t="s">
        <v>934</v>
      </c>
      <c r="BO4" s="345" t="s">
        <v>935</v>
      </c>
      <c r="BP4" s="345" t="s">
        <v>936</v>
      </c>
      <c r="BQ4" s="365" t="s">
        <v>937</v>
      </c>
      <c r="BR4" s="366" t="s">
        <v>938</v>
      </c>
      <c r="BS4" s="312" t="s">
        <v>939</v>
      </c>
      <c r="BT4" s="151" t="s">
        <v>190</v>
      </c>
    </row>
    <row r="5" spans="1:72">
      <c r="A5" s="157">
        <v>1</v>
      </c>
      <c r="B5" s="158" t="s">
        <v>387</v>
      </c>
      <c r="C5" s="159">
        <v>50003397</v>
      </c>
      <c r="D5" s="160">
        <v>0.042</v>
      </c>
      <c r="E5" s="161" t="s">
        <v>234</v>
      </c>
      <c r="F5" s="162">
        <v>8.97368421052632</v>
      </c>
      <c r="G5" s="163">
        <v>8.10526315789474</v>
      </c>
      <c r="H5" s="163">
        <v>8.97368421052632</v>
      </c>
      <c r="I5" s="163">
        <v>3.22684210526316</v>
      </c>
      <c r="J5" s="232">
        <v>13.5616438356164</v>
      </c>
      <c r="K5" s="232">
        <v>8.88558904109589</v>
      </c>
      <c r="L5" s="232">
        <v>19.8</v>
      </c>
      <c r="M5" s="233">
        <v>1.1</v>
      </c>
      <c r="N5" s="234">
        <v>72.6267065609228</v>
      </c>
      <c r="O5" s="235">
        <v>8252</v>
      </c>
      <c r="P5" s="236">
        <v>8745</v>
      </c>
      <c r="Q5" s="255">
        <v>493</v>
      </c>
      <c r="R5" s="256">
        <v>5.47777777777778</v>
      </c>
      <c r="S5" s="257">
        <v>0.0634785743716522</v>
      </c>
      <c r="T5" s="258">
        <v>9.786</v>
      </c>
      <c r="U5" s="259">
        <v>5.47777777777778</v>
      </c>
      <c r="V5" s="259">
        <v>4.30822222222222</v>
      </c>
      <c r="W5" s="260">
        <v>0.0289689622530851</v>
      </c>
      <c r="X5" s="259">
        <v>493</v>
      </c>
      <c r="Y5" s="275">
        <v>0</v>
      </c>
      <c r="Z5" s="276">
        <v>0</v>
      </c>
      <c r="AA5" s="277">
        <v>72.54</v>
      </c>
      <c r="AB5" s="278">
        <v>0</v>
      </c>
      <c r="AC5" s="279">
        <v>493</v>
      </c>
      <c r="AD5" s="279">
        <v>0</v>
      </c>
      <c r="AE5" s="280">
        <v>0.0643782148299723</v>
      </c>
      <c r="AF5" s="281">
        <v>1403</v>
      </c>
      <c r="AG5" s="281">
        <v>90.3226354064511</v>
      </c>
      <c r="AH5" s="292">
        <v>697</v>
      </c>
      <c r="AI5" s="292">
        <v>29.274</v>
      </c>
      <c r="AJ5" s="293">
        <v>19.8709797894193</v>
      </c>
      <c r="AK5" s="293">
        <v>6.44028</v>
      </c>
      <c r="AL5" s="294">
        <v>108.46</v>
      </c>
      <c r="AM5" s="295">
        <v>0</v>
      </c>
      <c r="AN5" s="296">
        <v>0</v>
      </c>
      <c r="AO5" s="316">
        <v>134.771259789419</v>
      </c>
      <c r="AP5" s="317">
        <v>33585</v>
      </c>
      <c r="AQ5" s="317">
        <v>37477</v>
      </c>
      <c r="AR5" s="318">
        <v>3892</v>
      </c>
      <c r="AS5" s="319">
        <v>0.0740812647872257</v>
      </c>
      <c r="AT5" s="320">
        <v>567.304695176152</v>
      </c>
      <c r="AU5" s="320">
        <v>72.54</v>
      </c>
      <c r="AV5" s="321">
        <v>2.10140852183879</v>
      </c>
      <c r="AW5" s="320">
        <v>103.936014496478</v>
      </c>
      <c r="AX5" s="321">
        <v>51.6346415566963</v>
      </c>
      <c r="AY5" s="321">
        <v>223.280932068698</v>
      </c>
      <c r="AZ5" s="321">
        <v>2945.84371670198</v>
      </c>
      <c r="BA5" s="321">
        <v>0</v>
      </c>
      <c r="BB5" s="321">
        <v>0</v>
      </c>
      <c r="BC5" s="321">
        <v>2945.84371670198</v>
      </c>
      <c r="BD5" s="334">
        <v>-22.8659231892251</v>
      </c>
      <c r="BE5" s="334">
        <v>-11.3596211424732</v>
      </c>
      <c r="BF5" s="334">
        <v>-49.1218050551136</v>
      </c>
      <c r="BG5" s="346">
        <v>-124.807032938754</v>
      </c>
      <c r="BH5" s="346">
        <v>-0.0420281704367758</v>
      </c>
      <c r="BI5" s="346">
        <v>-113.414983093026</v>
      </c>
      <c r="BJ5" s="346">
        <v>-321.611393589028</v>
      </c>
      <c r="BK5" s="347">
        <v>-30.42984</v>
      </c>
      <c r="BL5" s="348">
        <v>1.521492</v>
      </c>
      <c r="BM5" s="348">
        <v>27.84936</v>
      </c>
      <c r="BN5" s="348">
        <v>29.370852</v>
      </c>
      <c r="BO5" s="348">
        <v>-30.42984</v>
      </c>
      <c r="BP5" s="367">
        <v>-1.058988</v>
      </c>
      <c r="BQ5" s="368">
        <v>-115.272415238686</v>
      </c>
      <c r="BR5" s="369"/>
      <c r="BS5" s="370"/>
      <c r="BT5" s="371">
        <v>1</v>
      </c>
    </row>
    <row r="6" spans="1:72">
      <c r="A6" s="164">
        <v>2</v>
      </c>
      <c r="B6" s="158" t="s">
        <v>391</v>
      </c>
      <c r="C6" s="159">
        <v>50003402</v>
      </c>
      <c r="D6" s="160">
        <v>0.043</v>
      </c>
      <c r="E6" s="161" t="s">
        <v>234</v>
      </c>
      <c r="F6" s="162">
        <v>8.97368421052632</v>
      </c>
      <c r="G6" s="163">
        <v>8.10526315789474</v>
      </c>
      <c r="H6" s="163">
        <v>8.97368421052632</v>
      </c>
      <c r="I6" s="163">
        <v>3.22684210526316</v>
      </c>
      <c r="J6" s="232">
        <v>13.5616438356164</v>
      </c>
      <c r="K6" s="232">
        <v>9.0971506849315</v>
      </c>
      <c r="L6" s="232">
        <v>19.8</v>
      </c>
      <c r="M6" s="233">
        <v>1.1</v>
      </c>
      <c r="N6" s="234">
        <v>72.8382682047584</v>
      </c>
      <c r="O6" s="235">
        <v>3795</v>
      </c>
      <c r="P6" s="236">
        <v>4028</v>
      </c>
      <c r="Q6" s="255">
        <v>233</v>
      </c>
      <c r="R6" s="256">
        <v>2.58888888888889</v>
      </c>
      <c r="S6" s="257">
        <v>0.030001030078286</v>
      </c>
      <c r="T6" s="258">
        <v>10.019</v>
      </c>
      <c r="U6" s="259">
        <v>2.58888888888889</v>
      </c>
      <c r="V6" s="259">
        <v>7.43011111111111</v>
      </c>
      <c r="W6" s="260">
        <v>0.049960888090629</v>
      </c>
      <c r="X6" s="259">
        <v>233</v>
      </c>
      <c r="Y6" s="275">
        <v>0</v>
      </c>
      <c r="Z6" s="276">
        <v>0</v>
      </c>
      <c r="AA6" s="277">
        <v>72.54</v>
      </c>
      <c r="AB6" s="278">
        <v>0</v>
      </c>
      <c r="AC6" s="279">
        <v>233</v>
      </c>
      <c r="AD6" s="279">
        <v>0</v>
      </c>
      <c r="AE6" s="280">
        <v>0.0304262151224818</v>
      </c>
      <c r="AF6" s="281">
        <v>1403</v>
      </c>
      <c r="AG6" s="281">
        <v>42.687979816842</v>
      </c>
      <c r="AH6" s="292">
        <v>697</v>
      </c>
      <c r="AI6" s="292">
        <v>29.971</v>
      </c>
      <c r="AJ6" s="293">
        <v>9.39135555970524</v>
      </c>
      <c r="AK6" s="293">
        <v>6.59362</v>
      </c>
      <c r="AL6" s="294">
        <v>51.26</v>
      </c>
      <c r="AM6" s="295">
        <v>0</v>
      </c>
      <c r="AN6" s="296">
        <v>0</v>
      </c>
      <c r="AO6" s="316">
        <v>67.2449755597052</v>
      </c>
      <c r="AP6" s="317">
        <v>15113</v>
      </c>
      <c r="AQ6" s="317">
        <v>17462</v>
      </c>
      <c r="AR6" s="318">
        <v>2349</v>
      </c>
      <c r="AS6" s="319">
        <v>0.0447114313939345</v>
      </c>
      <c r="AT6" s="320">
        <v>342.39432912867</v>
      </c>
      <c r="AU6" s="320">
        <v>72.54</v>
      </c>
      <c r="AV6" s="321">
        <v>3.62416282209423</v>
      </c>
      <c r="AW6" s="320">
        <v>62.7301382456902</v>
      </c>
      <c r="AX6" s="321">
        <v>31.1638676815724</v>
      </c>
      <c r="AY6" s="321">
        <v>134.760254221319</v>
      </c>
      <c r="AZ6" s="321">
        <v>1777.95141072275</v>
      </c>
      <c r="BA6" s="321">
        <v>0</v>
      </c>
      <c r="BB6" s="321">
        <v>0</v>
      </c>
      <c r="BC6" s="321">
        <v>1777.95141072275</v>
      </c>
      <c r="BD6" s="334">
        <v>-13.8006304140518</v>
      </c>
      <c r="BE6" s="334">
        <v>-6.85605088994592</v>
      </c>
      <c r="BF6" s="334">
        <v>-29.6472559286901</v>
      </c>
      <c r="BG6" s="346">
        <v>-75.3267524083073</v>
      </c>
      <c r="BH6" s="346">
        <v>-0.0724832564418846</v>
      </c>
      <c r="BI6" s="346">
        <v>-68.4511293128259</v>
      </c>
      <c r="BJ6" s="346">
        <v>-194.154302210263</v>
      </c>
      <c r="BK6" s="347">
        <v>-31.15436</v>
      </c>
      <c r="BL6" s="348">
        <v>1.557718</v>
      </c>
      <c r="BM6" s="348">
        <v>28.51244</v>
      </c>
      <c r="BN6" s="348">
        <v>30.070158</v>
      </c>
      <c r="BO6" s="348">
        <v>-31.15436</v>
      </c>
      <c r="BP6" s="367">
        <v>-1.08420199999999</v>
      </c>
      <c r="BQ6" s="368">
        <v>-55.1552604457994</v>
      </c>
      <c r="BR6" s="372"/>
      <c r="BS6" s="373"/>
      <c r="BT6" s="374">
        <v>2</v>
      </c>
    </row>
    <row r="7" spans="1:72">
      <c r="A7" s="157">
        <v>3</v>
      </c>
      <c r="B7" s="158" t="s">
        <v>393</v>
      </c>
      <c r="C7" s="159">
        <v>50003431</v>
      </c>
      <c r="D7" s="160">
        <v>0.044</v>
      </c>
      <c r="E7" s="161" t="s">
        <v>234</v>
      </c>
      <c r="F7" s="162">
        <v>8.97368421052632</v>
      </c>
      <c r="G7" s="163">
        <v>8.10526315789474</v>
      </c>
      <c r="H7" s="163">
        <v>8.97368421052632</v>
      </c>
      <c r="I7" s="163">
        <v>3.22684210526316</v>
      </c>
      <c r="J7" s="232">
        <v>13.5616438356164</v>
      </c>
      <c r="K7" s="232">
        <v>9.30871232876712</v>
      </c>
      <c r="L7" s="232">
        <v>19.8</v>
      </c>
      <c r="M7" s="233">
        <v>1.1</v>
      </c>
      <c r="N7" s="234">
        <v>73.049829848594</v>
      </c>
      <c r="O7" s="235">
        <v>3227</v>
      </c>
      <c r="P7" s="236">
        <v>3513</v>
      </c>
      <c r="Q7" s="255">
        <v>286</v>
      </c>
      <c r="R7" s="256">
        <v>3.17777777777778</v>
      </c>
      <c r="S7" s="257">
        <v>0.0368252987227029</v>
      </c>
      <c r="T7" s="258">
        <v>10.252</v>
      </c>
      <c r="U7" s="259">
        <v>3.17777777777778</v>
      </c>
      <c r="V7" s="259">
        <v>7.07422222222222</v>
      </c>
      <c r="W7" s="260">
        <v>0.0475678518783056</v>
      </c>
      <c r="X7" s="259">
        <v>286</v>
      </c>
      <c r="Y7" s="275">
        <v>0</v>
      </c>
      <c r="Z7" s="276">
        <v>0</v>
      </c>
      <c r="AA7" s="277">
        <v>72.54</v>
      </c>
      <c r="AB7" s="278">
        <v>0</v>
      </c>
      <c r="AC7" s="279">
        <v>286</v>
      </c>
      <c r="AD7" s="279">
        <v>0</v>
      </c>
      <c r="AE7" s="280">
        <v>0.0373471996782395</v>
      </c>
      <c r="AF7" s="281">
        <v>1403</v>
      </c>
      <c r="AG7" s="281">
        <v>52.39812114857</v>
      </c>
      <c r="AH7" s="292">
        <v>697</v>
      </c>
      <c r="AI7" s="292">
        <v>30.668</v>
      </c>
      <c r="AJ7" s="293">
        <v>11.5275866526854</v>
      </c>
      <c r="AK7" s="293">
        <v>6.74696</v>
      </c>
      <c r="AL7" s="294">
        <v>62.92</v>
      </c>
      <c r="AM7" s="295">
        <v>0</v>
      </c>
      <c r="AN7" s="296">
        <v>0</v>
      </c>
      <c r="AO7" s="316">
        <v>81.1945466526854</v>
      </c>
      <c r="AP7" s="317">
        <v>18755</v>
      </c>
      <c r="AQ7" s="317">
        <v>22749</v>
      </c>
      <c r="AR7" s="318">
        <v>3994</v>
      </c>
      <c r="AS7" s="319">
        <v>0.0760227573381756</v>
      </c>
      <c r="AT7" s="320">
        <v>582.172392737295</v>
      </c>
      <c r="AU7" s="320">
        <v>72.54</v>
      </c>
      <c r="AV7" s="321">
        <v>3.45057197525228</v>
      </c>
      <c r="AW7" s="320">
        <v>106.65992854546</v>
      </c>
      <c r="AX7" s="321">
        <v>52.9878618647084</v>
      </c>
      <c r="AY7" s="321">
        <v>229.132590617261</v>
      </c>
      <c r="AZ7" s="321">
        <v>3023.04722623527</v>
      </c>
      <c r="BA7" s="321">
        <v>0</v>
      </c>
      <c r="BB7" s="321">
        <v>0</v>
      </c>
      <c r="BC7" s="321">
        <v>3023.04722623527</v>
      </c>
      <c r="BD7" s="334">
        <v>-23.4651842800013</v>
      </c>
      <c r="BE7" s="334">
        <v>-11.6573296102359</v>
      </c>
      <c r="BF7" s="334">
        <v>-50.4091699357975</v>
      </c>
      <c r="BG7" s="346">
        <v>-128.077926402205</v>
      </c>
      <c r="BH7" s="346">
        <v>-0.0690114395050457</v>
      </c>
      <c r="BI7" s="346">
        <v>-116.387318210058</v>
      </c>
      <c r="BJ7" s="346">
        <v>-330.065939877803</v>
      </c>
      <c r="BK7" s="347">
        <v>-31.87888</v>
      </c>
      <c r="BL7" s="348">
        <v>1.593944</v>
      </c>
      <c r="BM7" s="348">
        <v>29.17552</v>
      </c>
      <c r="BN7" s="348">
        <v>30.769464</v>
      </c>
      <c r="BO7" s="348">
        <v>-31.87888</v>
      </c>
      <c r="BP7" s="367">
        <v>-1.109416</v>
      </c>
      <c r="BQ7" s="368">
        <v>-176.930979376524</v>
      </c>
      <c r="BR7" s="375"/>
      <c r="BS7" s="376"/>
      <c r="BT7" s="371">
        <v>3</v>
      </c>
    </row>
    <row r="8" spans="1:72">
      <c r="A8" s="164">
        <v>4</v>
      </c>
      <c r="B8" s="158" t="s">
        <v>395</v>
      </c>
      <c r="C8" s="159">
        <v>50003394</v>
      </c>
      <c r="D8" s="160">
        <v>0.045</v>
      </c>
      <c r="E8" s="161" t="s">
        <v>234</v>
      </c>
      <c r="F8" s="162">
        <v>8.97368421052632</v>
      </c>
      <c r="G8" s="163">
        <v>8.10526315789474</v>
      </c>
      <c r="H8" s="163">
        <v>8.97368421052632</v>
      </c>
      <c r="I8" s="163">
        <v>3.22684210526316</v>
      </c>
      <c r="J8" s="232">
        <v>13.5616438356164</v>
      </c>
      <c r="K8" s="232">
        <v>9.52027397260274</v>
      </c>
      <c r="L8" s="232">
        <v>19.8</v>
      </c>
      <c r="M8" s="233">
        <v>1.1</v>
      </c>
      <c r="N8" s="234">
        <v>73.2613914924297</v>
      </c>
      <c r="O8" s="235">
        <v>2811</v>
      </c>
      <c r="P8" s="236">
        <v>3033</v>
      </c>
      <c r="Q8" s="255">
        <v>222</v>
      </c>
      <c r="R8" s="256">
        <v>2.46666666666667</v>
      </c>
      <c r="S8" s="257">
        <v>0.0285846724351051</v>
      </c>
      <c r="T8" s="258">
        <v>10.485</v>
      </c>
      <c r="U8" s="259">
        <v>2.46666666666667</v>
      </c>
      <c r="V8" s="259">
        <v>8.01833333333333</v>
      </c>
      <c r="W8" s="260">
        <v>0.0539161593076258</v>
      </c>
      <c r="X8" s="259">
        <v>222</v>
      </c>
      <c r="Y8" s="275">
        <v>0</v>
      </c>
      <c r="Z8" s="276">
        <v>0</v>
      </c>
      <c r="AA8" s="277">
        <v>72.54</v>
      </c>
      <c r="AB8" s="278">
        <v>0</v>
      </c>
      <c r="AC8" s="279">
        <v>222</v>
      </c>
      <c r="AD8" s="279">
        <v>0</v>
      </c>
      <c r="AE8" s="280">
        <v>0.0289897843656265</v>
      </c>
      <c r="AF8" s="281">
        <v>1403</v>
      </c>
      <c r="AG8" s="281">
        <v>40.6726674649739</v>
      </c>
      <c r="AH8" s="292">
        <v>697</v>
      </c>
      <c r="AI8" s="292">
        <v>31.365</v>
      </c>
      <c r="AJ8" s="293">
        <v>8.94798684229427</v>
      </c>
      <c r="AK8" s="293">
        <v>6.9003</v>
      </c>
      <c r="AL8" s="294">
        <v>48.84</v>
      </c>
      <c r="AM8" s="295">
        <v>0</v>
      </c>
      <c r="AN8" s="296">
        <v>0</v>
      </c>
      <c r="AO8" s="316">
        <v>64.6882868422943</v>
      </c>
      <c r="AP8" s="317">
        <v>11256</v>
      </c>
      <c r="AQ8" s="317">
        <v>13492</v>
      </c>
      <c r="AR8" s="318">
        <v>2236</v>
      </c>
      <c r="AS8" s="319">
        <v>0.0425605621953332</v>
      </c>
      <c r="AT8" s="320">
        <v>325.923252418776</v>
      </c>
      <c r="AU8" s="320">
        <v>72.54</v>
      </c>
      <c r="AV8" s="321">
        <v>3.91107819617517</v>
      </c>
      <c r="AW8" s="320">
        <v>59.7124687600525</v>
      </c>
      <c r="AX8" s="321">
        <v>29.6647118501472</v>
      </c>
      <c r="AY8" s="321">
        <v>128.277534456734</v>
      </c>
      <c r="AZ8" s="321">
        <v>1692.42203251429</v>
      </c>
      <c r="BA8" s="321">
        <v>0</v>
      </c>
      <c r="BB8" s="321">
        <v>0</v>
      </c>
      <c r="BC8" s="321">
        <v>1692.42203251429</v>
      </c>
      <c r="BD8" s="334">
        <v>-13.1367431272115</v>
      </c>
      <c r="BE8" s="334">
        <v>-6.52623660703239</v>
      </c>
      <c r="BF8" s="334">
        <v>-28.2210575804815</v>
      </c>
      <c r="BG8" s="346">
        <v>-71.7031155321308</v>
      </c>
      <c r="BH8" s="346">
        <v>-0.0782215639235035</v>
      </c>
      <c r="BI8" s="346">
        <v>-65.1582482518002</v>
      </c>
      <c r="BJ8" s="346">
        <v>-184.82362266258</v>
      </c>
      <c r="BK8" s="347">
        <v>-32.6034</v>
      </c>
      <c r="BL8" s="348">
        <v>1.63017</v>
      </c>
      <c r="BM8" s="348">
        <v>29.8386</v>
      </c>
      <c r="BN8" s="348">
        <v>31.46877</v>
      </c>
      <c r="BO8" s="348">
        <v>-32.6034</v>
      </c>
      <c r="BP8" s="367">
        <v>-1.13463</v>
      </c>
      <c r="BQ8" s="368">
        <v>-48.008574327856</v>
      </c>
      <c r="BR8" s="372"/>
      <c r="BS8" s="373"/>
      <c r="BT8" s="374">
        <v>4</v>
      </c>
    </row>
    <row r="9" spans="1:72">
      <c r="A9" s="157">
        <v>5</v>
      </c>
      <c r="B9" s="158" t="s">
        <v>397</v>
      </c>
      <c r="C9" s="159">
        <v>50003433</v>
      </c>
      <c r="D9" s="160">
        <v>0.046</v>
      </c>
      <c r="E9" s="161" t="s">
        <v>234</v>
      </c>
      <c r="F9" s="162">
        <v>8.97368421052632</v>
      </c>
      <c r="G9" s="163">
        <v>8.10526315789474</v>
      </c>
      <c r="H9" s="163">
        <v>8.97368421052632</v>
      </c>
      <c r="I9" s="163">
        <v>3.22684210526316</v>
      </c>
      <c r="J9" s="232">
        <v>13.5616438356164</v>
      </c>
      <c r="K9" s="232">
        <v>9.73183561643836</v>
      </c>
      <c r="L9" s="232">
        <v>19.8</v>
      </c>
      <c r="M9" s="233">
        <v>1.1</v>
      </c>
      <c r="N9" s="234">
        <v>73.4729531362653</v>
      </c>
      <c r="O9" s="235">
        <v>6084</v>
      </c>
      <c r="P9" s="236">
        <v>6998</v>
      </c>
      <c r="Q9" s="255">
        <v>914</v>
      </c>
      <c r="R9" s="256">
        <v>10.1555555555556</v>
      </c>
      <c r="S9" s="257">
        <v>0.117686444169757</v>
      </c>
      <c r="T9" s="258">
        <v>10.718</v>
      </c>
      <c r="U9" s="259">
        <v>10.1555555555556</v>
      </c>
      <c r="V9" s="259">
        <v>0.562444444444445</v>
      </c>
      <c r="W9" s="260">
        <v>0.00378193859094024</v>
      </c>
      <c r="X9" s="259">
        <v>914</v>
      </c>
      <c r="Y9" s="275">
        <v>0</v>
      </c>
      <c r="Z9" s="276">
        <v>0</v>
      </c>
      <c r="AA9" s="277">
        <v>72.54</v>
      </c>
      <c r="AB9" s="278">
        <v>0</v>
      </c>
      <c r="AC9" s="279">
        <v>914</v>
      </c>
      <c r="AD9" s="279">
        <v>0</v>
      </c>
      <c r="AE9" s="280">
        <v>0.119354337433255</v>
      </c>
      <c r="AF9" s="281">
        <v>1403</v>
      </c>
      <c r="AG9" s="281">
        <v>167.454135418857</v>
      </c>
      <c r="AH9" s="292">
        <v>697</v>
      </c>
      <c r="AI9" s="292">
        <v>32.062</v>
      </c>
      <c r="AJ9" s="293">
        <v>36.8399097921485</v>
      </c>
      <c r="AK9" s="293">
        <v>7.05364</v>
      </c>
      <c r="AL9" s="294">
        <v>201.08</v>
      </c>
      <c r="AM9" s="295">
        <v>0</v>
      </c>
      <c r="AN9" s="296">
        <v>0</v>
      </c>
      <c r="AO9" s="316">
        <v>244.973549792148</v>
      </c>
      <c r="AP9" s="317">
        <v>34752</v>
      </c>
      <c r="AQ9" s="317">
        <v>38690</v>
      </c>
      <c r="AR9" s="318">
        <v>3938</v>
      </c>
      <c r="AS9" s="319">
        <v>0.0749568398592228</v>
      </c>
      <c r="AT9" s="320">
        <v>574.009735252746</v>
      </c>
      <c r="AU9" s="320">
        <v>72.54</v>
      </c>
      <c r="AV9" s="321">
        <v>0.274341825386805</v>
      </c>
      <c r="AW9" s="320">
        <v>105.16444632249</v>
      </c>
      <c r="AX9" s="321">
        <v>52.2449173818783</v>
      </c>
      <c r="AY9" s="321">
        <v>225.919915335697</v>
      </c>
      <c r="AZ9" s="321">
        <v>2980.66098570719</v>
      </c>
      <c r="BA9" s="321">
        <v>0</v>
      </c>
      <c r="BB9" s="321">
        <v>0</v>
      </c>
      <c r="BC9" s="321">
        <v>2980.66098570719</v>
      </c>
      <c r="BD9" s="334">
        <v>-23.1361781909477</v>
      </c>
      <c r="BE9" s="334">
        <v>-11.4938818240132</v>
      </c>
      <c r="BF9" s="334">
        <v>-49.7023813738534</v>
      </c>
      <c r="BG9" s="346">
        <v>-126.282141755604</v>
      </c>
      <c r="BH9" s="346">
        <v>-0.00548683650773609</v>
      </c>
      <c r="BI9" s="346">
        <v>-114.755447949727</v>
      </c>
      <c r="BJ9" s="346">
        <v>-325.375517930653</v>
      </c>
      <c r="BK9" s="347">
        <v>-33.32792</v>
      </c>
      <c r="BL9" s="348">
        <v>1.666396</v>
      </c>
      <c r="BM9" s="348">
        <v>30.50168</v>
      </c>
      <c r="BN9" s="348">
        <v>32.168076</v>
      </c>
      <c r="BO9" s="348">
        <v>-33.32792</v>
      </c>
      <c r="BP9" s="367">
        <v>-1.159844</v>
      </c>
      <c r="BQ9" s="368">
        <v>-8.08885900223975</v>
      </c>
      <c r="BR9" s="375"/>
      <c r="BS9" s="376"/>
      <c r="BT9" s="371">
        <v>5</v>
      </c>
    </row>
    <row r="10" spans="1:72">
      <c r="A10" s="164">
        <v>6</v>
      </c>
      <c r="B10" s="158" t="s">
        <v>399</v>
      </c>
      <c r="C10" s="159">
        <v>50003421</v>
      </c>
      <c r="D10" s="160">
        <v>0.066</v>
      </c>
      <c r="E10" s="161" t="s">
        <v>234</v>
      </c>
      <c r="F10" s="162">
        <v>8.97368421052632</v>
      </c>
      <c r="G10" s="163">
        <v>8.10526315789474</v>
      </c>
      <c r="H10" s="163">
        <v>8.97368421052632</v>
      </c>
      <c r="I10" s="163">
        <v>3.22684210526316</v>
      </c>
      <c r="J10" s="232">
        <v>13.5616438356164</v>
      </c>
      <c r="K10" s="232">
        <v>13.9630684931507</v>
      </c>
      <c r="L10" s="232">
        <v>19.8</v>
      </c>
      <c r="M10" s="233">
        <v>1.1</v>
      </c>
      <c r="N10" s="234">
        <v>77.7041860129776</v>
      </c>
      <c r="O10" s="235">
        <v>5469</v>
      </c>
      <c r="P10" s="236">
        <v>5889</v>
      </c>
      <c r="Q10" s="255">
        <v>420</v>
      </c>
      <c r="R10" s="256">
        <v>4.66666666666667</v>
      </c>
      <c r="S10" s="257">
        <v>0.0540791100123609</v>
      </c>
      <c r="T10" s="258">
        <v>15.378</v>
      </c>
      <c r="U10" s="259">
        <v>4.66666666666667</v>
      </c>
      <c r="V10" s="259">
        <v>10.7113333333333</v>
      </c>
      <c r="W10" s="260">
        <v>0.0720241888668155</v>
      </c>
      <c r="X10" s="259">
        <v>420</v>
      </c>
      <c r="Y10" s="275">
        <v>0</v>
      </c>
      <c r="Z10" s="276">
        <v>0</v>
      </c>
      <c r="AA10" s="277">
        <v>72.54</v>
      </c>
      <c r="AB10" s="278">
        <v>0</v>
      </c>
      <c r="AC10" s="279">
        <v>420</v>
      </c>
      <c r="AD10" s="279">
        <v>0</v>
      </c>
      <c r="AE10" s="280">
        <v>0.0548455379890231</v>
      </c>
      <c r="AF10" s="281">
        <v>1403</v>
      </c>
      <c r="AG10" s="281">
        <v>76.9482897985993</v>
      </c>
      <c r="AH10" s="292">
        <v>697</v>
      </c>
      <c r="AI10" s="292">
        <v>46.002</v>
      </c>
      <c r="AJ10" s="293">
        <v>16.9286237556919</v>
      </c>
      <c r="AK10" s="293">
        <v>10.12044</v>
      </c>
      <c r="AL10" s="294">
        <v>92.4</v>
      </c>
      <c r="AM10" s="295">
        <v>0</v>
      </c>
      <c r="AN10" s="296">
        <v>0</v>
      </c>
      <c r="AO10" s="316">
        <v>119.449063755692</v>
      </c>
      <c r="AP10" s="317">
        <v>15827</v>
      </c>
      <c r="AQ10" s="317">
        <v>20723</v>
      </c>
      <c r="AR10" s="318">
        <v>4896</v>
      </c>
      <c r="AS10" s="319">
        <v>0.0931916424455954</v>
      </c>
      <c r="AT10" s="320">
        <v>713.649482934852</v>
      </c>
      <c r="AU10" s="320">
        <v>72.54</v>
      </c>
      <c r="AV10" s="321">
        <v>5.2246346603988</v>
      </c>
      <c r="AW10" s="320">
        <v>130.74787435117</v>
      </c>
      <c r="AX10" s="321">
        <v>64.95457478458</v>
      </c>
      <c r="AY10" s="321">
        <v>280.879610331024</v>
      </c>
      <c r="AZ10" s="321">
        <v>3705.76845759837</v>
      </c>
      <c r="BA10" s="321">
        <v>0</v>
      </c>
      <c r="BB10" s="321">
        <v>0</v>
      </c>
      <c r="BC10" s="321">
        <v>3705.76845759837</v>
      </c>
      <c r="BD10" s="334">
        <v>-28.7645323572575</v>
      </c>
      <c r="BE10" s="334">
        <v>-14.2900064526076</v>
      </c>
      <c r="BF10" s="334">
        <v>-61.7935142728254</v>
      </c>
      <c r="BG10" s="346">
        <v>-157.002886245667</v>
      </c>
      <c r="BH10" s="346">
        <v>-0.104492693207976</v>
      </c>
      <c r="BI10" s="346">
        <v>-142.672085617537</v>
      </c>
      <c r="BJ10" s="346">
        <v>-404.627517639103</v>
      </c>
      <c r="BK10" s="347">
        <v>-47.81832</v>
      </c>
      <c r="BL10" s="348">
        <v>2.390916</v>
      </c>
      <c r="BM10" s="348">
        <v>43.76328</v>
      </c>
      <c r="BN10" s="348">
        <v>46.154196</v>
      </c>
      <c r="BO10" s="348">
        <v>-47.81832</v>
      </c>
      <c r="BP10" s="367">
        <v>-1.664124</v>
      </c>
      <c r="BQ10" s="368">
        <v>-209.138391870433</v>
      </c>
      <c r="BR10" s="372"/>
      <c r="BS10" s="373"/>
      <c r="BT10" s="374">
        <v>6</v>
      </c>
    </row>
    <row r="11" spans="1:72">
      <c r="A11" s="157">
        <v>7</v>
      </c>
      <c r="B11" s="158" t="s">
        <v>401</v>
      </c>
      <c r="C11" s="159">
        <v>50002953</v>
      </c>
      <c r="D11" s="160">
        <v>0.066</v>
      </c>
      <c r="E11" s="161" t="s">
        <v>403</v>
      </c>
      <c r="F11" s="162">
        <v>8.97368421052632</v>
      </c>
      <c r="G11" s="163">
        <v>8.10526315789474</v>
      </c>
      <c r="H11" s="163">
        <v>8.97368421052632</v>
      </c>
      <c r="I11" s="163">
        <v>3.22684210526316</v>
      </c>
      <c r="J11" s="232">
        <v>13.5616438356164</v>
      </c>
      <c r="K11" s="232">
        <v>13.9630684931507</v>
      </c>
      <c r="L11" s="232">
        <v>19.8</v>
      </c>
      <c r="M11" s="233">
        <v>1.1</v>
      </c>
      <c r="N11" s="234">
        <v>77.7041860129776</v>
      </c>
      <c r="O11" s="235">
        <v>164</v>
      </c>
      <c r="P11" s="236">
        <v>166</v>
      </c>
      <c r="Q11" s="255">
        <v>2</v>
      </c>
      <c r="R11" s="256">
        <v>0.0222222222222222</v>
      </c>
      <c r="S11" s="257">
        <v>0.000257519571487433</v>
      </c>
      <c r="T11" s="258">
        <v>15.378</v>
      </c>
      <c r="U11" s="259">
        <v>0.0222222222222222</v>
      </c>
      <c r="V11" s="259">
        <v>15.3557777777778</v>
      </c>
      <c r="W11" s="260">
        <v>0.103253946492517</v>
      </c>
      <c r="X11" s="259">
        <v>2</v>
      </c>
      <c r="Y11" s="275">
        <v>0</v>
      </c>
      <c r="Z11" s="276">
        <v>0</v>
      </c>
      <c r="AA11" s="277">
        <v>72.54</v>
      </c>
      <c r="AB11" s="278">
        <v>0</v>
      </c>
      <c r="AC11" s="279">
        <v>2</v>
      </c>
      <c r="AD11" s="279">
        <v>0</v>
      </c>
      <c r="AE11" s="280">
        <v>0.000261169228519157</v>
      </c>
      <c r="AF11" s="281">
        <v>1403</v>
      </c>
      <c r="AG11" s="281">
        <v>0.366420427612378</v>
      </c>
      <c r="AH11" s="292">
        <v>697</v>
      </c>
      <c r="AI11" s="292">
        <v>46.002</v>
      </c>
      <c r="AJ11" s="293">
        <v>0.0806124940747231</v>
      </c>
      <c r="AK11" s="293">
        <v>10.12044</v>
      </c>
      <c r="AL11" s="294">
        <v>0.72</v>
      </c>
      <c r="AM11" s="295">
        <v>0</v>
      </c>
      <c r="AN11" s="296">
        <v>0</v>
      </c>
      <c r="AO11" s="316">
        <v>10.9210524940747</v>
      </c>
      <c r="AP11" s="317">
        <v>142</v>
      </c>
      <c r="AQ11" s="317">
        <v>142</v>
      </c>
      <c r="AR11" s="318">
        <v>0</v>
      </c>
      <c r="AS11" s="319">
        <v>0</v>
      </c>
      <c r="AT11" s="320">
        <v>0</v>
      </c>
      <c r="AU11" s="320">
        <v>72.54</v>
      </c>
      <c r="AV11" s="321">
        <v>7.49004127856719</v>
      </c>
      <c r="AW11" s="320">
        <v>0</v>
      </c>
      <c r="AX11" s="321">
        <v>0</v>
      </c>
      <c r="AY11" s="321">
        <v>0</v>
      </c>
      <c r="AZ11" s="321">
        <v>0</v>
      </c>
      <c r="BA11" s="321">
        <v>0</v>
      </c>
      <c r="BB11" s="321">
        <v>0</v>
      </c>
      <c r="BC11" s="321">
        <v>0</v>
      </c>
      <c r="BD11" s="334">
        <v>0</v>
      </c>
      <c r="BE11" s="334">
        <v>0</v>
      </c>
      <c r="BF11" s="334">
        <v>0</v>
      </c>
      <c r="BG11" s="346">
        <v>0</v>
      </c>
      <c r="BH11" s="346">
        <v>-0.149800825571344</v>
      </c>
      <c r="BI11" s="346">
        <v>0</v>
      </c>
      <c r="BJ11" s="346">
        <v>-0.149800825571344</v>
      </c>
      <c r="BK11" s="347">
        <v>-47.81832</v>
      </c>
      <c r="BL11" s="348">
        <v>2.390916</v>
      </c>
      <c r="BM11" s="348">
        <v>43.76328</v>
      </c>
      <c r="BN11" s="348">
        <v>46.154196</v>
      </c>
      <c r="BO11" s="348">
        <v>-47.81832</v>
      </c>
      <c r="BP11" s="367">
        <v>-1.664124</v>
      </c>
      <c r="BQ11" s="368">
        <v>86.811313681481</v>
      </c>
      <c r="BR11" s="375"/>
      <c r="BS11" s="376"/>
      <c r="BT11" s="371">
        <v>7</v>
      </c>
    </row>
    <row r="12" spans="1:72">
      <c r="A12" s="164">
        <v>8</v>
      </c>
      <c r="B12" s="158" t="s">
        <v>404</v>
      </c>
      <c r="C12" s="159">
        <v>50003395</v>
      </c>
      <c r="D12" s="160">
        <v>0.066</v>
      </c>
      <c r="E12" s="161" t="s">
        <v>234</v>
      </c>
      <c r="F12" s="162">
        <v>8.97368421052632</v>
      </c>
      <c r="G12" s="163">
        <v>8.10526315789474</v>
      </c>
      <c r="H12" s="163">
        <v>8.97368421052632</v>
      </c>
      <c r="I12" s="163">
        <v>3.22684210526316</v>
      </c>
      <c r="J12" s="232">
        <v>13.5616438356164</v>
      </c>
      <c r="K12" s="232">
        <v>13.9630684931507</v>
      </c>
      <c r="L12" s="232">
        <v>19.8</v>
      </c>
      <c r="M12" s="233">
        <v>1.1</v>
      </c>
      <c r="N12" s="234">
        <v>77.7041860129776</v>
      </c>
      <c r="O12" s="235">
        <v>12726</v>
      </c>
      <c r="P12" s="236">
        <v>13279</v>
      </c>
      <c r="Q12" s="255">
        <v>553</v>
      </c>
      <c r="R12" s="256">
        <v>6.14444444444444</v>
      </c>
      <c r="S12" s="257">
        <v>0.0712041615162752</v>
      </c>
      <c r="T12" s="258">
        <v>15.378</v>
      </c>
      <c r="U12" s="259">
        <v>6.14444444444444</v>
      </c>
      <c r="V12" s="259">
        <v>9.23355555555555</v>
      </c>
      <c r="W12" s="260">
        <v>0.0620874478040923</v>
      </c>
      <c r="X12" s="259">
        <v>553</v>
      </c>
      <c r="Y12" s="275">
        <v>0</v>
      </c>
      <c r="Z12" s="276">
        <v>0</v>
      </c>
      <c r="AA12" s="277">
        <v>72.54</v>
      </c>
      <c r="AB12" s="278">
        <v>0</v>
      </c>
      <c r="AC12" s="279">
        <v>553</v>
      </c>
      <c r="AD12" s="279">
        <v>0</v>
      </c>
      <c r="AE12" s="280">
        <v>0.072213291685547</v>
      </c>
      <c r="AF12" s="281">
        <v>1403</v>
      </c>
      <c r="AG12" s="281">
        <v>101.315248234822</v>
      </c>
      <c r="AH12" s="292">
        <v>697</v>
      </c>
      <c r="AI12" s="292">
        <v>46.002</v>
      </c>
      <c r="AJ12" s="293">
        <v>22.2893546116609</v>
      </c>
      <c r="AK12" s="293">
        <v>10.12044</v>
      </c>
      <c r="AL12" s="294">
        <v>121.66</v>
      </c>
      <c r="AM12" s="295">
        <v>0</v>
      </c>
      <c r="AN12" s="296">
        <v>0</v>
      </c>
      <c r="AO12" s="316">
        <v>154.069794611661</v>
      </c>
      <c r="AP12" s="317">
        <v>41841</v>
      </c>
      <c r="AQ12" s="317">
        <v>46064</v>
      </c>
      <c r="AR12" s="318">
        <v>4223</v>
      </c>
      <c r="AS12" s="319">
        <v>0.0803815984574651</v>
      </c>
      <c r="AT12" s="320">
        <v>615.551831379468</v>
      </c>
      <c r="AU12" s="320">
        <v>72.54</v>
      </c>
      <c r="AV12" s="321">
        <v>4.50382346370885</v>
      </c>
      <c r="AW12" s="320">
        <v>112.775382635824</v>
      </c>
      <c r="AX12" s="321">
        <v>56.0259741248532</v>
      </c>
      <c r="AY12" s="321">
        <v>242.2701377508</v>
      </c>
      <c r="AZ12" s="321">
        <v>3196.37667410905</v>
      </c>
      <c r="BA12" s="321">
        <v>0</v>
      </c>
      <c r="BB12" s="321">
        <v>0</v>
      </c>
      <c r="BC12" s="321">
        <v>3196.37667410905</v>
      </c>
      <c r="BD12" s="334">
        <v>-24.8105841798812</v>
      </c>
      <c r="BE12" s="334">
        <v>-12.3257143074677</v>
      </c>
      <c r="BF12" s="334">
        <v>-53.299430305176</v>
      </c>
      <c r="BG12" s="346">
        <v>-135.421402903483</v>
      </c>
      <c r="BH12" s="346">
        <v>-0.0900764692741771</v>
      </c>
      <c r="BI12" s="346">
        <v>-123.060501953199</v>
      </c>
      <c r="BJ12" s="346">
        <v>-349.007710118481</v>
      </c>
      <c r="BK12" s="347">
        <v>-47.81832</v>
      </c>
      <c r="BL12" s="348">
        <v>2.390916</v>
      </c>
      <c r="BM12" s="348">
        <v>43.76328</v>
      </c>
      <c r="BN12" s="348">
        <v>46.154196</v>
      </c>
      <c r="BO12" s="348">
        <v>-47.81832</v>
      </c>
      <c r="BP12" s="367">
        <v>-1.664124</v>
      </c>
      <c r="BQ12" s="368">
        <v>-118.897853493842</v>
      </c>
      <c r="BR12" s="372"/>
      <c r="BS12" s="373"/>
      <c r="BT12" s="374">
        <v>8</v>
      </c>
    </row>
    <row r="13" spans="1:72">
      <c r="A13" s="157">
        <v>9</v>
      </c>
      <c r="B13" s="158" t="s">
        <v>406</v>
      </c>
      <c r="C13" s="159">
        <v>50003435</v>
      </c>
      <c r="D13" s="160">
        <v>0.066</v>
      </c>
      <c r="E13" s="161" t="s">
        <v>223</v>
      </c>
      <c r="F13" s="162">
        <v>8.97368421052632</v>
      </c>
      <c r="G13" s="163">
        <v>8.10526315789474</v>
      </c>
      <c r="H13" s="163">
        <v>8.97368421052632</v>
      </c>
      <c r="I13" s="163">
        <v>3.22684210526316</v>
      </c>
      <c r="J13" s="232">
        <v>13.5616438356164</v>
      </c>
      <c r="K13" s="232">
        <v>13.9630684931507</v>
      </c>
      <c r="L13" s="232">
        <v>19.8</v>
      </c>
      <c r="M13" s="233">
        <v>1.1</v>
      </c>
      <c r="N13" s="234">
        <v>77.7041860129776</v>
      </c>
      <c r="O13" s="235">
        <v>76</v>
      </c>
      <c r="P13" s="236">
        <v>158</v>
      </c>
      <c r="Q13" s="255">
        <v>82</v>
      </c>
      <c r="R13" s="256">
        <v>0.911111111111111</v>
      </c>
      <c r="S13" s="257">
        <v>0.0105583024309848</v>
      </c>
      <c r="T13" s="258">
        <v>15.378</v>
      </c>
      <c r="U13" s="259">
        <v>0.911111111111111</v>
      </c>
      <c r="V13" s="259">
        <v>14.4668888888889</v>
      </c>
      <c r="W13" s="260">
        <v>0.0972769593871197</v>
      </c>
      <c r="X13" s="259">
        <v>82</v>
      </c>
      <c r="Y13" s="275">
        <v>0</v>
      </c>
      <c r="Z13" s="276">
        <v>0</v>
      </c>
      <c r="AA13" s="277">
        <v>72.54</v>
      </c>
      <c r="AB13" s="278">
        <v>0</v>
      </c>
      <c r="AC13" s="279">
        <v>82</v>
      </c>
      <c r="AD13" s="279">
        <v>0</v>
      </c>
      <c r="AE13" s="280">
        <v>0.0107079383692855</v>
      </c>
      <c r="AF13" s="281">
        <v>1403</v>
      </c>
      <c r="AG13" s="281">
        <v>15.0232375321075</v>
      </c>
      <c r="AH13" s="292">
        <v>697</v>
      </c>
      <c r="AI13" s="292">
        <v>46.002</v>
      </c>
      <c r="AJ13" s="293">
        <v>3.30511225706365</v>
      </c>
      <c r="AK13" s="293">
        <v>10.12044</v>
      </c>
      <c r="AL13" s="294">
        <v>29.52</v>
      </c>
      <c r="AM13" s="295">
        <v>0</v>
      </c>
      <c r="AN13" s="296">
        <v>0</v>
      </c>
      <c r="AO13" s="316">
        <v>42.9455522570636</v>
      </c>
      <c r="AP13" s="317">
        <v>0</v>
      </c>
      <c r="AQ13" s="317">
        <v>0</v>
      </c>
      <c r="AR13" s="318">
        <v>0</v>
      </c>
      <c r="AS13" s="319">
        <v>0</v>
      </c>
      <c r="AT13" s="320">
        <v>0</v>
      </c>
      <c r="AU13" s="320">
        <v>72.54</v>
      </c>
      <c r="AV13" s="321">
        <v>7.05647063394166</v>
      </c>
      <c r="AW13" s="320">
        <v>0</v>
      </c>
      <c r="AX13" s="321">
        <v>0</v>
      </c>
      <c r="AY13" s="321">
        <v>0</v>
      </c>
      <c r="AZ13" s="321">
        <v>0</v>
      </c>
      <c r="BA13" s="321">
        <v>0</v>
      </c>
      <c r="BB13" s="321">
        <v>0</v>
      </c>
      <c r="BC13" s="321">
        <v>0</v>
      </c>
      <c r="BD13" s="334">
        <v>0</v>
      </c>
      <c r="BE13" s="334">
        <v>0</v>
      </c>
      <c r="BF13" s="334">
        <v>0</v>
      </c>
      <c r="BG13" s="346">
        <v>0</v>
      </c>
      <c r="BH13" s="346">
        <v>-0.141129412678833</v>
      </c>
      <c r="BI13" s="346">
        <v>0</v>
      </c>
      <c r="BJ13" s="346">
        <v>-0.141129412678833</v>
      </c>
      <c r="BK13" s="347">
        <v>-47.81832</v>
      </c>
      <c r="BL13" s="348">
        <v>2.390916</v>
      </c>
      <c r="BM13" s="348">
        <v>43.76328</v>
      </c>
      <c r="BN13" s="348">
        <v>46.154196</v>
      </c>
      <c r="BO13" s="348">
        <v>-47.81832</v>
      </c>
      <c r="BP13" s="367">
        <v>-1.664124</v>
      </c>
      <c r="BQ13" s="368">
        <v>118.844484857362</v>
      </c>
      <c r="BR13" s="375"/>
      <c r="BS13" s="376"/>
      <c r="BT13" s="371">
        <v>9</v>
      </c>
    </row>
    <row r="14" spans="1:72">
      <c r="A14" s="157">
        <v>10</v>
      </c>
      <c r="B14" s="158" t="s">
        <v>408</v>
      </c>
      <c r="C14" s="159">
        <v>50002952</v>
      </c>
      <c r="D14" s="160">
        <v>0.031</v>
      </c>
      <c r="E14" s="161" t="s">
        <v>234</v>
      </c>
      <c r="F14" s="162">
        <v>8.97368421052632</v>
      </c>
      <c r="G14" s="163">
        <v>8.10526315789474</v>
      </c>
      <c r="H14" s="163">
        <v>8.97368421052632</v>
      </c>
      <c r="I14" s="163">
        <v>3.22684210526316</v>
      </c>
      <c r="J14" s="232">
        <v>13.5616438356164</v>
      </c>
      <c r="K14" s="232">
        <v>6.55841095890411</v>
      </c>
      <c r="L14" s="232">
        <v>19.8</v>
      </c>
      <c r="M14" s="233">
        <v>1.1</v>
      </c>
      <c r="N14" s="234">
        <v>70.299528478731</v>
      </c>
      <c r="O14" s="235">
        <v>6735</v>
      </c>
      <c r="P14" s="236">
        <v>6989</v>
      </c>
      <c r="Q14" s="255">
        <v>254</v>
      </c>
      <c r="R14" s="256">
        <v>2.82222222222222</v>
      </c>
      <c r="S14" s="257">
        <v>0.032704985578904</v>
      </c>
      <c r="T14" s="258">
        <v>7.223</v>
      </c>
      <c r="U14" s="259">
        <v>2.82222222222222</v>
      </c>
      <c r="V14" s="259">
        <v>4.40077777777778</v>
      </c>
      <c r="W14" s="260">
        <v>0.0295913160354346</v>
      </c>
      <c r="X14" s="259">
        <v>254</v>
      </c>
      <c r="Y14" s="275">
        <v>2.8421709430404e-14</v>
      </c>
      <c r="Z14" s="276">
        <v>1.56965314134887e-16</v>
      </c>
      <c r="AA14" s="277">
        <v>72.54</v>
      </c>
      <c r="AB14" s="278">
        <v>1.13862638873447e-14</v>
      </c>
      <c r="AC14" s="279">
        <v>254</v>
      </c>
      <c r="AD14" s="279">
        <v>0</v>
      </c>
      <c r="AE14" s="280">
        <v>0.033168492021933</v>
      </c>
      <c r="AF14" s="281">
        <v>1403</v>
      </c>
      <c r="AG14" s="281">
        <v>46.535394306772</v>
      </c>
      <c r="AH14" s="292">
        <v>697</v>
      </c>
      <c r="AI14" s="292">
        <v>21.607</v>
      </c>
      <c r="AJ14" s="293">
        <v>10.2377867474898</v>
      </c>
      <c r="AK14" s="293">
        <v>4.75354</v>
      </c>
      <c r="AL14" s="294">
        <v>55.88</v>
      </c>
      <c r="AM14" s="295">
        <v>2.27725277746894e-16</v>
      </c>
      <c r="AN14" s="296">
        <v>0</v>
      </c>
      <c r="AO14" s="316">
        <v>70.8713267474898</v>
      </c>
      <c r="AP14" s="317">
        <v>10088</v>
      </c>
      <c r="AQ14" s="317">
        <v>12402</v>
      </c>
      <c r="AR14" s="318">
        <v>2314</v>
      </c>
      <c r="AS14" s="319">
        <v>0.044045232969589</v>
      </c>
      <c r="AT14" s="320">
        <v>337.292668200826</v>
      </c>
      <c r="AU14" s="320">
        <v>72.54</v>
      </c>
      <c r="AV14" s="321">
        <v>2.14655406521042</v>
      </c>
      <c r="AW14" s="320">
        <v>61.7954618563334</v>
      </c>
      <c r="AX14" s="321">
        <v>30.6995273798035</v>
      </c>
      <c r="AY14" s="321">
        <v>132.752332170341</v>
      </c>
      <c r="AZ14" s="321">
        <v>1751.4600103927</v>
      </c>
      <c r="BA14" s="321">
        <v>0</v>
      </c>
      <c r="BB14" s="321">
        <v>0</v>
      </c>
      <c r="BC14" s="321">
        <v>1751.4600103927</v>
      </c>
      <c r="BD14" s="334">
        <v>-13.5950016083933</v>
      </c>
      <c r="BE14" s="334">
        <v>-6.75389602355678</v>
      </c>
      <c r="BF14" s="334">
        <v>-29.2055130774751</v>
      </c>
      <c r="BG14" s="346">
        <v>-74.2043870041818</v>
      </c>
      <c r="BH14" s="346">
        <v>-0.0429310813042085</v>
      </c>
      <c r="BI14" s="346">
        <v>-67.4312104001188</v>
      </c>
      <c r="BJ14" s="346">
        <v>-191.23293919503</v>
      </c>
      <c r="BK14" s="347">
        <v>-22.46012</v>
      </c>
      <c r="BL14" s="348">
        <v>1.123006</v>
      </c>
      <c r="BM14" s="348">
        <v>20.55548</v>
      </c>
      <c r="BN14" s="348">
        <v>21.678486</v>
      </c>
      <c r="BO14" s="348">
        <v>-22.46012</v>
      </c>
      <c r="BP14" s="367">
        <v>-0.781634</v>
      </c>
      <c r="BQ14" s="368">
        <v>-50.8437179688092</v>
      </c>
      <c r="BR14" s="375"/>
      <c r="BS14" s="376"/>
      <c r="BT14" s="371">
        <v>10</v>
      </c>
    </row>
    <row r="15" spans="1:72">
      <c r="A15" s="164">
        <v>11</v>
      </c>
      <c r="B15" s="158" t="s">
        <v>410</v>
      </c>
      <c r="C15" s="159">
        <v>50002944</v>
      </c>
      <c r="D15" s="160">
        <v>0.031</v>
      </c>
      <c r="E15" s="161" t="s">
        <v>403</v>
      </c>
      <c r="F15" s="162">
        <v>8.97368421052632</v>
      </c>
      <c r="G15" s="163">
        <v>8.10526315789474</v>
      </c>
      <c r="H15" s="163">
        <v>8.97368421052632</v>
      </c>
      <c r="I15" s="163">
        <v>3.22684210526316</v>
      </c>
      <c r="J15" s="232">
        <v>13.5616438356164</v>
      </c>
      <c r="K15" s="232">
        <v>6.55841095890411</v>
      </c>
      <c r="L15" s="232">
        <v>19.8</v>
      </c>
      <c r="M15" s="233">
        <v>1.1</v>
      </c>
      <c r="N15" s="234">
        <v>70.299528478731</v>
      </c>
      <c r="O15" s="235">
        <v>36</v>
      </c>
      <c r="P15" s="236">
        <v>149</v>
      </c>
      <c r="Q15" s="255">
        <v>113</v>
      </c>
      <c r="R15" s="256">
        <v>1.25555555555556</v>
      </c>
      <c r="S15" s="257">
        <v>0.01454985578904</v>
      </c>
      <c r="T15" s="258">
        <v>7.223</v>
      </c>
      <c r="U15" s="259">
        <v>1.25555555555556</v>
      </c>
      <c r="V15" s="259">
        <v>5.96744444444444</v>
      </c>
      <c r="W15" s="260">
        <v>0.0401257558086976</v>
      </c>
      <c r="X15" s="259">
        <v>113</v>
      </c>
      <c r="Y15" s="275">
        <v>0</v>
      </c>
      <c r="Z15" s="276">
        <v>0</v>
      </c>
      <c r="AA15" s="277">
        <v>72.54</v>
      </c>
      <c r="AB15" s="278">
        <v>0</v>
      </c>
      <c r="AC15" s="279">
        <v>113</v>
      </c>
      <c r="AD15" s="279">
        <v>0</v>
      </c>
      <c r="AE15" s="280">
        <v>0.0147560614113324</v>
      </c>
      <c r="AF15" s="281">
        <v>1403</v>
      </c>
      <c r="AG15" s="281">
        <v>20.7027541600993</v>
      </c>
      <c r="AH15" s="292">
        <v>697</v>
      </c>
      <c r="AI15" s="292">
        <v>21.607</v>
      </c>
      <c r="AJ15" s="293">
        <v>4.55460591522186</v>
      </c>
      <c r="AK15" s="293">
        <v>4.75354</v>
      </c>
      <c r="AL15" s="294">
        <v>40.68</v>
      </c>
      <c r="AM15" s="295">
        <v>0</v>
      </c>
      <c r="AN15" s="296">
        <v>0</v>
      </c>
      <c r="AO15" s="316">
        <v>49.9881459152219</v>
      </c>
      <c r="AP15" s="317">
        <v>0</v>
      </c>
      <c r="AQ15" s="317">
        <v>0</v>
      </c>
      <c r="AR15" s="318">
        <v>0</v>
      </c>
      <c r="AS15" s="319">
        <v>0</v>
      </c>
      <c r="AT15" s="320">
        <v>0</v>
      </c>
      <c r="AU15" s="320">
        <v>72.54</v>
      </c>
      <c r="AV15" s="321">
        <v>2.91072232636292</v>
      </c>
      <c r="AW15" s="320">
        <v>0</v>
      </c>
      <c r="AX15" s="321">
        <v>0</v>
      </c>
      <c r="AY15" s="321">
        <v>0</v>
      </c>
      <c r="AZ15" s="321">
        <v>0</v>
      </c>
      <c r="BA15" s="321">
        <v>0</v>
      </c>
      <c r="BB15" s="321">
        <v>0</v>
      </c>
      <c r="BC15" s="321">
        <v>0</v>
      </c>
      <c r="BD15" s="334">
        <v>0</v>
      </c>
      <c r="BE15" s="334">
        <v>0</v>
      </c>
      <c r="BF15" s="334">
        <v>0</v>
      </c>
      <c r="BG15" s="346">
        <v>0</v>
      </c>
      <c r="BH15" s="346">
        <v>-0.0582144465272584</v>
      </c>
      <c r="BI15" s="346">
        <v>0</v>
      </c>
      <c r="BJ15" s="346">
        <v>-0.0582144465272584</v>
      </c>
      <c r="BK15" s="347">
        <v>-22.46012</v>
      </c>
      <c r="BL15" s="348">
        <v>1.123006</v>
      </c>
      <c r="BM15" s="348">
        <v>20.55548</v>
      </c>
      <c r="BN15" s="348">
        <v>21.678486</v>
      </c>
      <c r="BO15" s="348">
        <v>-22.46012</v>
      </c>
      <c r="BP15" s="367">
        <v>-0.781634</v>
      </c>
      <c r="BQ15" s="368">
        <v>119.447825947426</v>
      </c>
      <c r="BR15" s="372"/>
      <c r="BS15" s="373"/>
      <c r="BT15" s="374">
        <v>11</v>
      </c>
    </row>
    <row r="16" spans="1:72">
      <c r="A16" s="157">
        <v>12</v>
      </c>
      <c r="B16" s="158" t="s">
        <v>412</v>
      </c>
      <c r="C16" s="159">
        <v>3308026898</v>
      </c>
      <c r="D16" s="160">
        <v>0.031</v>
      </c>
      <c r="E16" s="161" t="s">
        <v>234</v>
      </c>
      <c r="F16" s="162">
        <v>8.97368421052632</v>
      </c>
      <c r="G16" s="163">
        <v>8.10526315789474</v>
      </c>
      <c r="H16" s="163">
        <v>8.97368421052632</v>
      </c>
      <c r="I16" s="163">
        <v>3.22684210526316</v>
      </c>
      <c r="J16" s="232">
        <v>13.5616438356164</v>
      </c>
      <c r="K16" s="232">
        <v>6.55841095890411</v>
      </c>
      <c r="L16" s="232">
        <v>19.8</v>
      </c>
      <c r="M16" s="233">
        <v>1.1</v>
      </c>
      <c r="N16" s="234">
        <v>70.299528478731</v>
      </c>
      <c r="O16" s="235">
        <v>1704.76</v>
      </c>
      <c r="P16" s="236">
        <v>1900.16</v>
      </c>
      <c r="Q16" s="255">
        <v>195.4</v>
      </c>
      <c r="R16" s="256">
        <v>2.17111111111111</v>
      </c>
      <c r="S16" s="257">
        <v>0.0251596621343222</v>
      </c>
      <c r="T16" s="258">
        <v>7.223</v>
      </c>
      <c r="U16" s="259">
        <v>2.17111111111111</v>
      </c>
      <c r="V16" s="259">
        <v>5.05188888888889</v>
      </c>
      <c r="W16" s="260">
        <v>0.0339694590901382</v>
      </c>
      <c r="X16" s="259">
        <v>195.4</v>
      </c>
      <c r="Y16" s="275">
        <v>0</v>
      </c>
      <c r="Z16" s="276">
        <v>0</v>
      </c>
      <c r="AA16" s="277">
        <v>72.54</v>
      </c>
      <c r="AB16" s="278">
        <v>0</v>
      </c>
      <c r="AC16" s="279">
        <v>195.4</v>
      </c>
      <c r="AD16" s="279">
        <v>0</v>
      </c>
      <c r="AE16" s="280">
        <v>0.0255162336263217</v>
      </c>
      <c r="AF16" s="281">
        <v>1403</v>
      </c>
      <c r="AG16" s="281">
        <v>35.7992757777293</v>
      </c>
      <c r="AH16" s="292">
        <v>697</v>
      </c>
      <c r="AI16" s="292">
        <v>21.607</v>
      </c>
      <c r="AJ16" s="293">
        <v>7.87584067110045</v>
      </c>
      <c r="AK16" s="293">
        <v>4.75354</v>
      </c>
      <c r="AL16" s="294">
        <v>42.988</v>
      </c>
      <c r="AM16" s="295">
        <v>0</v>
      </c>
      <c r="AN16" s="296">
        <v>0</v>
      </c>
      <c r="AO16" s="316">
        <v>55.6173806711005</v>
      </c>
      <c r="AP16" s="317">
        <v>3279.89</v>
      </c>
      <c r="AQ16" s="317">
        <v>5683.79</v>
      </c>
      <c r="AR16" s="318">
        <v>2403.9</v>
      </c>
      <c r="AS16" s="319">
        <v>0.0457564112081223</v>
      </c>
      <c r="AT16" s="320">
        <v>350.396648698343</v>
      </c>
      <c r="AU16" s="320">
        <v>72.54</v>
      </c>
      <c r="AV16" s="321">
        <v>2.46414456239862</v>
      </c>
      <c r="AW16" s="320">
        <v>64.1962449249956</v>
      </c>
      <c r="AX16" s="321">
        <v>31.8922186120612</v>
      </c>
      <c r="AY16" s="321">
        <v>137.909823381281</v>
      </c>
      <c r="AZ16" s="321">
        <v>1819.50506438332</v>
      </c>
      <c r="BA16" s="321">
        <v>0</v>
      </c>
      <c r="BB16" s="321">
        <v>0</v>
      </c>
      <c r="BC16" s="321">
        <v>1819.50506438332</v>
      </c>
      <c r="BD16" s="334">
        <v>-14.123173883499</v>
      </c>
      <c r="BE16" s="334">
        <v>-7.01628809465347</v>
      </c>
      <c r="BF16" s="334">
        <v>-30.3401611438817</v>
      </c>
      <c r="BG16" s="346">
        <v>-77.0872627136356</v>
      </c>
      <c r="BH16" s="346">
        <v>-0.0492828912479725</v>
      </c>
      <c r="BI16" s="346">
        <v>-70.0509449787578</v>
      </c>
      <c r="BJ16" s="346">
        <v>-198.667113705676</v>
      </c>
      <c r="BK16" s="347">
        <v>-22.46012</v>
      </c>
      <c r="BL16" s="348">
        <v>1.123006</v>
      </c>
      <c r="BM16" s="348">
        <v>20.55548</v>
      </c>
      <c r="BN16" s="348">
        <v>21.678486</v>
      </c>
      <c r="BO16" s="348">
        <v>-22.46012</v>
      </c>
      <c r="BP16" s="367">
        <v>-0.781634</v>
      </c>
      <c r="BQ16" s="368">
        <v>-73.5318385558445</v>
      </c>
      <c r="BR16" s="375"/>
      <c r="BS16" s="376"/>
      <c r="BT16" s="371">
        <v>12</v>
      </c>
    </row>
    <row r="17" spans="1:72">
      <c r="A17" s="164">
        <v>13</v>
      </c>
      <c r="B17" s="158" t="s">
        <v>414</v>
      </c>
      <c r="C17" s="159">
        <v>50003424</v>
      </c>
      <c r="D17" s="160">
        <v>0.031</v>
      </c>
      <c r="E17" s="161" t="s">
        <v>234</v>
      </c>
      <c r="F17" s="162">
        <v>8.97368421052632</v>
      </c>
      <c r="G17" s="163">
        <v>8.10526315789474</v>
      </c>
      <c r="H17" s="163">
        <v>8.97368421052632</v>
      </c>
      <c r="I17" s="163">
        <v>3.22684210526316</v>
      </c>
      <c r="J17" s="232">
        <v>13.5616438356164</v>
      </c>
      <c r="K17" s="232">
        <v>6.55841095890411</v>
      </c>
      <c r="L17" s="232">
        <v>19.8</v>
      </c>
      <c r="M17" s="233">
        <v>1.1</v>
      </c>
      <c r="N17" s="234">
        <v>70.299528478731</v>
      </c>
      <c r="O17" s="235">
        <v>6030</v>
      </c>
      <c r="P17" s="236">
        <v>6221</v>
      </c>
      <c r="Q17" s="255">
        <v>191</v>
      </c>
      <c r="R17" s="256">
        <v>2.12222222222222</v>
      </c>
      <c r="S17" s="257">
        <v>0.0245931190770499</v>
      </c>
      <c r="T17" s="258">
        <v>7.223</v>
      </c>
      <c r="U17" s="259">
        <v>2.12222222222222</v>
      </c>
      <c r="V17" s="259">
        <v>5.10077777777778</v>
      </c>
      <c r="W17" s="260">
        <v>0.0342981933809351</v>
      </c>
      <c r="X17" s="259">
        <v>191</v>
      </c>
      <c r="Y17" s="275">
        <v>0</v>
      </c>
      <c r="Z17" s="276">
        <v>0</v>
      </c>
      <c r="AA17" s="277">
        <v>72.54</v>
      </c>
      <c r="AB17" s="278">
        <v>0</v>
      </c>
      <c r="AC17" s="279">
        <v>191</v>
      </c>
      <c r="AD17" s="279">
        <v>0</v>
      </c>
      <c r="AE17" s="280">
        <v>0.0249416613235795</v>
      </c>
      <c r="AF17" s="281">
        <v>1403</v>
      </c>
      <c r="AG17" s="281">
        <v>34.9931508369821</v>
      </c>
      <c r="AH17" s="292">
        <v>697</v>
      </c>
      <c r="AI17" s="292">
        <v>21.607</v>
      </c>
      <c r="AJ17" s="293">
        <v>7.69849318413606</v>
      </c>
      <c r="AK17" s="293">
        <v>4.75354</v>
      </c>
      <c r="AL17" s="294">
        <v>42.02</v>
      </c>
      <c r="AM17" s="295">
        <v>0</v>
      </c>
      <c r="AN17" s="296">
        <v>0</v>
      </c>
      <c r="AO17" s="316">
        <v>54.4720331841361</v>
      </c>
      <c r="AP17" s="317">
        <v>9864</v>
      </c>
      <c r="AQ17" s="317">
        <v>12061</v>
      </c>
      <c r="AR17" s="318">
        <v>2197</v>
      </c>
      <c r="AS17" s="319">
        <v>0.0418182268082053</v>
      </c>
      <c r="AT17" s="320">
        <v>320.238544527751</v>
      </c>
      <c r="AU17" s="320">
        <v>72.54</v>
      </c>
      <c r="AV17" s="321">
        <v>2.48799094785303</v>
      </c>
      <c r="AW17" s="320">
        <v>58.670972211912</v>
      </c>
      <c r="AX17" s="321">
        <v>29.1473040853191</v>
      </c>
      <c r="AY17" s="321">
        <v>126.040135599931</v>
      </c>
      <c r="AZ17" s="321">
        <v>1662.90304357509</v>
      </c>
      <c r="BA17" s="321">
        <v>0</v>
      </c>
      <c r="BB17" s="321">
        <v>0</v>
      </c>
      <c r="BC17" s="321">
        <v>1662.90304357509</v>
      </c>
      <c r="BD17" s="334">
        <v>-12.9076138866206</v>
      </c>
      <c r="BE17" s="334">
        <v>-6.4124068987702</v>
      </c>
      <c r="BF17" s="334">
        <v>-27.7288298319848</v>
      </c>
      <c r="BG17" s="346">
        <v>-70.4524797961052</v>
      </c>
      <c r="BH17" s="346">
        <v>-0.0497598189570606</v>
      </c>
      <c r="BI17" s="346">
        <v>-64.0217671776409</v>
      </c>
      <c r="BJ17" s="346">
        <v>-181.572857410079</v>
      </c>
      <c r="BK17" s="347">
        <v>-22.46012</v>
      </c>
      <c r="BL17" s="348">
        <v>1.123006</v>
      </c>
      <c r="BM17" s="348">
        <v>20.55548</v>
      </c>
      <c r="BN17" s="348">
        <v>21.678486</v>
      </c>
      <c r="BO17" s="348">
        <v>-22.46012</v>
      </c>
      <c r="BP17" s="367">
        <v>-0.781634</v>
      </c>
      <c r="BQ17" s="368">
        <v>-57.5829297472118</v>
      </c>
      <c r="BR17" s="372"/>
      <c r="BS17" s="373"/>
      <c r="BT17" s="374">
        <v>13</v>
      </c>
    </row>
    <row r="18" spans="1:72">
      <c r="A18" s="157">
        <v>14</v>
      </c>
      <c r="B18" s="158" t="s">
        <v>416</v>
      </c>
      <c r="C18" s="159">
        <v>50003438</v>
      </c>
      <c r="D18" s="160">
        <v>0.037</v>
      </c>
      <c r="E18" s="161" t="s">
        <v>234</v>
      </c>
      <c r="F18" s="162">
        <v>8.97368421052632</v>
      </c>
      <c r="G18" s="163">
        <v>8.10526315789474</v>
      </c>
      <c r="H18" s="163">
        <v>8.97368421052632</v>
      </c>
      <c r="I18" s="163">
        <v>3.22684210526316</v>
      </c>
      <c r="J18" s="232">
        <v>13.5616438356164</v>
      </c>
      <c r="K18" s="232">
        <v>7.82778082191781</v>
      </c>
      <c r="L18" s="232">
        <v>19.8</v>
      </c>
      <c r="M18" s="233">
        <v>1.1</v>
      </c>
      <c r="N18" s="234">
        <v>71.5688983417447</v>
      </c>
      <c r="O18" s="235">
        <v>12736</v>
      </c>
      <c r="P18" s="236">
        <v>13164</v>
      </c>
      <c r="Q18" s="255">
        <v>428</v>
      </c>
      <c r="R18" s="256">
        <v>4.75555555555556</v>
      </c>
      <c r="S18" s="257">
        <v>0.0551091882983107</v>
      </c>
      <c r="T18" s="258">
        <v>8.621</v>
      </c>
      <c r="U18" s="259">
        <v>4.75555555555556</v>
      </c>
      <c r="V18" s="259">
        <v>3.86544444444444</v>
      </c>
      <c r="W18" s="260">
        <v>0.025991675551209</v>
      </c>
      <c r="X18" s="259">
        <v>428</v>
      </c>
      <c r="Y18" s="275">
        <v>0</v>
      </c>
      <c r="Z18" s="276">
        <v>0</v>
      </c>
      <c r="AA18" s="277">
        <v>72.54</v>
      </c>
      <c r="AB18" s="278">
        <v>0</v>
      </c>
      <c r="AC18" s="279">
        <v>428</v>
      </c>
      <c r="AD18" s="279">
        <v>0</v>
      </c>
      <c r="AE18" s="280">
        <v>0.0558902149030997</v>
      </c>
      <c r="AF18" s="281">
        <v>1403</v>
      </c>
      <c r="AG18" s="281">
        <v>78.4139715090489</v>
      </c>
      <c r="AH18" s="292">
        <v>697</v>
      </c>
      <c r="AI18" s="292">
        <v>25.789</v>
      </c>
      <c r="AJ18" s="293">
        <v>17.2510737319908</v>
      </c>
      <c r="AK18" s="293">
        <v>5.67358</v>
      </c>
      <c r="AL18" s="294">
        <v>94.16</v>
      </c>
      <c r="AM18" s="295">
        <v>0</v>
      </c>
      <c r="AN18" s="296">
        <v>0</v>
      </c>
      <c r="AO18" s="316">
        <v>117.084653731991</v>
      </c>
      <c r="AP18" s="317">
        <v>9306</v>
      </c>
      <c r="AQ18" s="317">
        <v>11592</v>
      </c>
      <c r="AR18" s="318">
        <v>2286</v>
      </c>
      <c r="AS18" s="319">
        <v>0.0435122742301126</v>
      </c>
      <c r="AT18" s="320">
        <v>333.211339458552</v>
      </c>
      <c r="AU18" s="320">
        <v>72.54</v>
      </c>
      <c r="AV18" s="321">
        <v>1.8854361444847</v>
      </c>
      <c r="AW18" s="320">
        <v>61.0477207448479</v>
      </c>
      <c r="AX18" s="321">
        <v>30.3280551383884</v>
      </c>
      <c r="AY18" s="321">
        <v>131.145994529559</v>
      </c>
      <c r="AZ18" s="321">
        <v>1730.26689012865</v>
      </c>
      <c r="BA18" s="321">
        <v>0</v>
      </c>
      <c r="BB18" s="321">
        <v>0</v>
      </c>
      <c r="BC18" s="321">
        <v>1730.26689012865</v>
      </c>
      <c r="BD18" s="334">
        <v>-13.4304985638665</v>
      </c>
      <c r="BE18" s="334">
        <v>-6.67217213044546</v>
      </c>
      <c r="BF18" s="334">
        <v>-28.852118796503</v>
      </c>
      <c r="BG18" s="346">
        <v>-73.3064946808814</v>
      </c>
      <c r="BH18" s="346">
        <v>-0.037708722889694</v>
      </c>
      <c r="BI18" s="346">
        <v>-66.6152752699531</v>
      </c>
      <c r="BJ18" s="346">
        <v>-188.914268164539</v>
      </c>
      <c r="BK18" s="347">
        <v>-26.80724</v>
      </c>
      <c r="BL18" s="348">
        <v>1.340362</v>
      </c>
      <c r="BM18" s="348">
        <v>24.53396</v>
      </c>
      <c r="BN18" s="348">
        <v>25.874322</v>
      </c>
      <c r="BO18" s="348">
        <v>-26.80724</v>
      </c>
      <c r="BP18" s="367">
        <v>-0.932917999999997</v>
      </c>
      <c r="BQ18" s="368">
        <v>-1.19363409080328</v>
      </c>
      <c r="BR18" s="375"/>
      <c r="BS18" s="376"/>
      <c r="BT18" s="371">
        <v>14</v>
      </c>
    </row>
    <row r="19" spans="1:72">
      <c r="A19" s="164">
        <v>15</v>
      </c>
      <c r="B19" s="158" t="s">
        <v>418</v>
      </c>
      <c r="C19" s="159">
        <v>50003404</v>
      </c>
      <c r="D19" s="160">
        <v>0.069</v>
      </c>
      <c r="E19" s="161" t="s">
        <v>234</v>
      </c>
      <c r="F19" s="162">
        <v>8.97368421052632</v>
      </c>
      <c r="G19" s="163">
        <v>8.10526315789474</v>
      </c>
      <c r="H19" s="163">
        <v>8.97368421052632</v>
      </c>
      <c r="I19" s="163">
        <v>3.22684210526316</v>
      </c>
      <c r="J19" s="232">
        <v>13.5616438356164</v>
      </c>
      <c r="K19" s="232">
        <v>14.5977534246575</v>
      </c>
      <c r="L19" s="232">
        <v>19.8</v>
      </c>
      <c r="M19" s="233">
        <v>1.1</v>
      </c>
      <c r="N19" s="234">
        <v>78.3388709444844</v>
      </c>
      <c r="O19" s="235">
        <v>7111</v>
      </c>
      <c r="P19" s="236">
        <v>7561</v>
      </c>
      <c r="Q19" s="255">
        <v>450</v>
      </c>
      <c r="R19" s="256">
        <v>5</v>
      </c>
      <c r="S19" s="257">
        <v>0.0579419035846724</v>
      </c>
      <c r="T19" s="258">
        <v>16.077</v>
      </c>
      <c r="U19" s="259">
        <v>5</v>
      </c>
      <c r="V19" s="259">
        <v>11.077</v>
      </c>
      <c r="W19" s="260">
        <v>0.0744829719372984</v>
      </c>
      <c r="X19" s="259">
        <v>450</v>
      </c>
      <c r="Y19" s="275">
        <v>0</v>
      </c>
      <c r="Z19" s="276">
        <v>0</v>
      </c>
      <c r="AA19" s="277">
        <v>72.54</v>
      </c>
      <c r="AB19" s="278">
        <v>0</v>
      </c>
      <c r="AC19" s="279">
        <v>450</v>
      </c>
      <c r="AD19" s="279">
        <v>0</v>
      </c>
      <c r="AE19" s="280">
        <v>0.0587630764168104</v>
      </c>
      <c r="AF19" s="281">
        <v>1403</v>
      </c>
      <c r="AG19" s="281">
        <v>82.444596212785</v>
      </c>
      <c r="AH19" s="292">
        <v>697</v>
      </c>
      <c r="AI19" s="292">
        <v>48.093</v>
      </c>
      <c r="AJ19" s="293">
        <v>18.1378111668127</v>
      </c>
      <c r="AK19" s="293">
        <v>10.58046</v>
      </c>
      <c r="AL19" s="294">
        <v>99</v>
      </c>
      <c r="AM19" s="295">
        <v>0</v>
      </c>
      <c r="AN19" s="296">
        <v>0</v>
      </c>
      <c r="AO19" s="316">
        <v>127.718271166813</v>
      </c>
      <c r="AP19" s="317">
        <v>16919</v>
      </c>
      <c r="AQ19" s="317">
        <v>20916</v>
      </c>
      <c r="AR19" s="318">
        <v>3997</v>
      </c>
      <c r="AS19" s="319">
        <v>0.0760798600602624</v>
      </c>
      <c r="AT19" s="320">
        <v>582.609677959682</v>
      </c>
      <c r="AU19" s="320">
        <v>72.54</v>
      </c>
      <c r="AV19" s="321">
        <v>5.40299478433163</v>
      </c>
      <c r="AW19" s="320">
        <v>106.740043664548</v>
      </c>
      <c r="AX19" s="321">
        <v>53.0276624620029</v>
      </c>
      <c r="AY19" s="321">
        <v>229.304698221631</v>
      </c>
      <c r="AZ19" s="321">
        <v>3025.31791769214</v>
      </c>
      <c r="BA19" s="321">
        <v>0</v>
      </c>
      <c r="BB19" s="321">
        <v>0</v>
      </c>
      <c r="BC19" s="321">
        <v>3025.31791769214</v>
      </c>
      <c r="BD19" s="334">
        <v>-23.4828096062006</v>
      </c>
      <c r="BE19" s="334">
        <v>-11.6660857416406</v>
      </c>
      <c r="BF19" s="334">
        <v>-50.4470336087588</v>
      </c>
      <c r="BG19" s="346">
        <v>-128.17412915113</v>
      </c>
      <c r="BH19" s="346">
        <v>-0.108059895686633</v>
      </c>
      <c r="BI19" s="346">
        <v>-116.474739831147</v>
      </c>
      <c r="BJ19" s="346">
        <v>-330.352857834564</v>
      </c>
      <c r="BK19" s="347">
        <v>-49.99188</v>
      </c>
      <c r="BL19" s="348">
        <v>2.499594</v>
      </c>
      <c r="BM19" s="348">
        <v>45.75252</v>
      </c>
      <c r="BN19" s="348">
        <v>48.252114</v>
      </c>
      <c r="BO19" s="348">
        <v>-49.99188</v>
      </c>
      <c r="BP19" s="367">
        <v>-1.739766</v>
      </c>
      <c r="BQ19" s="368">
        <v>-126.035481723267</v>
      </c>
      <c r="BR19" s="372"/>
      <c r="BS19" s="373"/>
      <c r="BT19" s="374">
        <v>15</v>
      </c>
    </row>
    <row r="20" spans="1:72">
      <c r="A20" s="157">
        <v>16</v>
      </c>
      <c r="B20" s="158" t="s">
        <v>420</v>
      </c>
      <c r="C20" s="159">
        <v>50003419</v>
      </c>
      <c r="D20" s="160">
        <v>0.069</v>
      </c>
      <c r="E20" s="161" t="s">
        <v>234</v>
      </c>
      <c r="F20" s="162">
        <v>8.97368421052632</v>
      </c>
      <c r="G20" s="163">
        <v>8.10526315789474</v>
      </c>
      <c r="H20" s="163">
        <v>8.97368421052632</v>
      </c>
      <c r="I20" s="163">
        <v>3.22684210526316</v>
      </c>
      <c r="J20" s="232">
        <v>13.5616438356164</v>
      </c>
      <c r="K20" s="232">
        <v>14.5977534246575</v>
      </c>
      <c r="L20" s="232">
        <v>19.8</v>
      </c>
      <c r="M20" s="233">
        <v>1.1</v>
      </c>
      <c r="N20" s="234">
        <v>78.3388709444844</v>
      </c>
      <c r="O20" s="235">
        <v>7360</v>
      </c>
      <c r="P20" s="236">
        <v>7763</v>
      </c>
      <c r="Q20" s="255">
        <v>403</v>
      </c>
      <c r="R20" s="256">
        <v>4.47777777777778</v>
      </c>
      <c r="S20" s="257">
        <v>0.0518901936547178</v>
      </c>
      <c r="T20" s="258">
        <v>16.077</v>
      </c>
      <c r="U20" s="259">
        <v>4.47777777777778</v>
      </c>
      <c r="V20" s="259">
        <v>11.5992222222222</v>
      </c>
      <c r="W20" s="260">
        <v>0.0779944518617194</v>
      </c>
      <c r="X20" s="259">
        <v>403</v>
      </c>
      <c r="Y20" s="275">
        <v>0</v>
      </c>
      <c r="Z20" s="276">
        <v>0</v>
      </c>
      <c r="AA20" s="277">
        <v>72.54</v>
      </c>
      <c r="AB20" s="278">
        <v>0</v>
      </c>
      <c r="AC20" s="279">
        <v>403</v>
      </c>
      <c r="AD20" s="279">
        <v>0</v>
      </c>
      <c r="AE20" s="280">
        <v>0.0526255995466102</v>
      </c>
      <c r="AF20" s="281">
        <v>1403</v>
      </c>
      <c r="AG20" s="281">
        <v>73.8337161638941</v>
      </c>
      <c r="AH20" s="292">
        <v>697</v>
      </c>
      <c r="AI20" s="292">
        <v>48.093</v>
      </c>
      <c r="AJ20" s="293">
        <v>16.2434175560567</v>
      </c>
      <c r="AK20" s="293">
        <v>10.58046</v>
      </c>
      <c r="AL20" s="294">
        <v>88.66</v>
      </c>
      <c r="AM20" s="295">
        <v>0</v>
      </c>
      <c r="AN20" s="296">
        <v>0</v>
      </c>
      <c r="AO20" s="316">
        <v>115.483877556057</v>
      </c>
      <c r="AP20" s="317">
        <v>24215</v>
      </c>
      <c r="AQ20" s="317">
        <v>29752</v>
      </c>
      <c r="AR20" s="318">
        <v>5537</v>
      </c>
      <c r="AS20" s="319">
        <v>0.105392590731467</v>
      </c>
      <c r="AT20" s="320">
        <v>807.082758784778</v>
      </c>
      <c r="AU20" s="320">
        <v>72.54</v>
      </c>
      <c r="AV20" s="321">
        <v>5.65771753804913</v>
      </c>
      <c r="AW20" s="320">
        <v>147.865804796248</v>
      </c>
      <c r="AX20" s="321">
        <v>73.4586357398324</v>
      </c>
      <c r="AY20" s="321">
        <v>317.653268464641</v>
      </c>
      <c r="AZ20" s="321">
        <v>4190.9395322145</v>
      </c>
      <c r="BA20" s="321">
        <v>0</v>
      </c>
      <c r="BB20" s="321">
        <v>0</v>
      </c>
      <c r="BC20" s="321">
        <v>4190.9395322145</v>
      </c>
      <c r="BD20" s="334">
        <v>-32.5304770551746</v>
      </c>
      <c r="BE20" s="334">
        <v>-16.1608998627631</v>
      </c>
      <c r="BF20" s="334">
        <v>-69.883719062221</v>
      </c>
      <c r="BG20" s="346">
        <v>-177.558206932651</v>
      </c>
      <c r="BH20" s="346">
        <v>-0.113154350760982</v>
      </c>
      <c r="BI20" s="346">
        <v>-161.351171990258</v>
      </c>
      <c r="BJ20" s="346">
        <v>-457.597629253829</v>
      </c>
      <c r="BK20" s="347">
        <v>-49.99188</v>
      </c>
      <c r="BL20" s="348">
        <v>2.499594</v>
      </c>
      <c r="BM20" s="348">
        <v>45.75252</v>
      </c>
      <c r="BN20" s="348">
        <v>48.252114</v>
      </c>
      <c r="BO20" s="348">
        <v>-49.99188</v>
      </c>
      <c r="BP20" s="367">
        <v>-1.739766</v>
      </c>
      <c r="BQ20" s="368">
        <v>-265.514646753288</v>
      </c>
      <c r="BR20" s="375"/>
      <c r="BS20" s="376"/>
      <c r="BT20" s="371">
        <v>16</v>
      </c>
    </row>
    <row r="21" spans="1:72">
      <c r="A21" s="157">
        <v>17</v>
      </c>
      <c r="B21" s="158" t="s">
        <v>422</v>
      </c>
      <c r="C21" s="159">
        <v>50003428</v>
      </c>
      <c r="D21" s="160">
        <v>0.069</v>
      </c>
      <c r="E21" s="161" t="s">
        <v>403</v>
      </c>
      <c r="F21" s="162">
        <v>8.97368421052632</v>
      </c>
      <c r="G21" s="163">
        <v>8.10526315789474</v>
      </c>
      <c r="H21" s="163">
        <v>8.97368421052632</v>
      </c>
      <c r="I21" s="163">
        <v>3.22684210526316</v>
      </c>
      <c r="J21" s="232">
        <v>13.5616438356164</v>
      </c>
      <c r="K21" s="232">
        <v>14.5977534246575</v>
      </c>
      <c r="L21" s="232">
        <v>19.8</v>
      </c>
      <c r="M21" s="233">
        <v>1.1</v>
      </c>
      <c r="N21" s="234">
        <v>78.3388709444844</v>
      </c>
      <c r="O21" s="235">
        <v>227</v>
      </c>
      <c r="P21" s="236">
        <v>586</v>
      </c>
      <c r="Q21" s="255">
        <v>359</v>
      </c>
      <c r="R21" s="256">
        <v>3.98888888888889</v>
      </c>
      <c r="S21" s="257">
        <v>0.0462247630819942</v>
      </c>
      <c r="T21" s="258">
        <v>16.077</v>
      </c>
      <c r="U21" s="259">
        <v>3.98888888888889</v>
      </c>
      <c r="V21" s="259">
        <v>12.0881111111111</v>
      </c>
      <c r="W21" s="260">
        <v>0.081281794769688</v>
      </c>
      <c r="X21" s="259">
        <v>359</v>
      </c>
      <c r="Y21" s="275">
        <v>0</v>
      </c>
      <c r="Z21" s="276">
        <v>0</v>
      </c>
      <c r="AA21" s="277">
        <v>72.54</v>
      </c>
      <c r="AB21" s="278">
        <v>0</v>
      </c>
      <c r="AC21" s="279">
        <v>359</v>
      </c>
      <c r="AD21" s="279">
        <v>0</v>
      </c>
      <c r="AE21" s="280">
        <v>0.0468798765191888</v>
      </c>
      <c r="AF21" s="281">
        <v>1403</v>
      </c>
      <c r="AG21" s="281">
        <v>65.7724667564218</v>
      </c>
      <c r="AH21" s="292">
        <v>697</v>
      </c>
      <c r="AI21" s="292">
        <v>48.093</v>
      </c>
      <c r="AJ21" s="293">
        <v>14.4699426864128</v>
      </c>
      <c r="AK21" s="293">
        <v>10.58046</v>
      </c>
      <c r="AL21" s="294">
        <v>129.24</v>
      </c>
      <c r="AM21" s="295">
        <v>0</v>
      </c>
      <c r="AN21" s="296">
        <v>0</v>
      </c>
      <c r="AO21" s="316">
        <v>154.290402686413</v>
      </c>
      <c r="AP21" s="317">
        <v>0</v>
      </c>
      <c r="AQ21" s="317">
        <v>0</v>
      </c>
      <c r="AR21" s="318">
        <v>0</v>
      </c>
      <c r="AS21" s="319">
        <v>0</v>
      </c>
      <c r="AT21" s="320">
        <v>0</v>
      </c>
      <c r="AU21" s="320">
        <v>72.54</v>
      </c>
      <c r="AV21" s="321">
        <v>5.89618139259317</v>
      </c>
      <c r="AW21" s="320">
        <v>0</v>
      </c>
      <c r="AX21" s="321">
        <v>0</v>
      </c>
      <c r="AY21" s="321">
        <v>0</v>
      </c>
      <c r="AZ21" s="321">
        <v>0</v>
      </c>
      <c r="BA21" s="321">
        <v>0</v>
      </c>
      <c r="BB21" s="321">
        <v>0</v>
      </c>
      <c r="BC21" s="321">
        <v>0</v>
      </c>
      <c r="BD21" s="334">
        <v>0</v>
      </c>
      <c r="BE21" s="334">
        <v>0</v>
      </c>
      <c r="BF21" s="334">
        <v>0</v>
      </c>
      <c r="BG21" s="346">
        <v>0</v>
      </c>
      <c r="BH21" s="346">
        <v>-0.117923627851863</v>
      </c>
      <c r="BI21" s="346">
        <v>0</v>
      </c>
      <c r="BJ21" s="346">
        <v>-0.117923627851863</v>
      </c>
      <c r="BK21" s="347">
        <v>-49.99188</v>
      </c>
      <c r="BL21" s="348">
        <v>2.499594</v>
      </c>
      <c r="BM21" s="348">
        <v>45.75252</v>
      </c>
      <c r="BN21" s="348">
        <v>48.252114</v>
      </c>
      <c r="BO21" s="348">
        <v>-49.99188</v>
      </c>
      <c r="BP21" s="367">
        <v>-1.739766</v>
      </c>
      <c r="BQ21" s="368">
        <v>230.771584003046</v>
      </c>
      <c r="BR21" s="375"/>
      <c r="BS21" s="376"/>
      <c r="BT21" s="371">
        <v>14</v>
      </c>
    </row>
    <row r="22" spans="1:72">
      <c r="A22" s="157">
        <v>18</v>
      </c>
      <c r="B22" s="158" t="s">
        <v>424</v>
      </c>
      <c r="C22" s="159">
        <v>50002935</v>
      </c>
      <c r="D22" s="160">
        <v>0.069</v>
      </c>
      <c r="E22" s="161" t="s">
        <v>234</v>
      </c>
      <c r="F22" s="162">
        <v>8.97368421052632</v>
      </c>
      <c r="G22" s="163">
        <v>8.10526315789474</v>
      </c>
      <c r="H22" s="163">
        <v>8.97368421052632</v>
      </c>
      <c r="I22" s="163">
        <v>3.22684210526316</v>
      </c>
      <c r="J22" s="232">
        <v>13.5616438356164</v>
      </c>
      <c r="K22" s="232">
        <v>14.5977534246575</v>
      </c>
      <c r="L22" s="232">
        <v>19.8</v>
      </c>
      <c r="M22" s="233">
        <v>1.1</v>
      </c>
      <c r="N22" s="234">
        <v>78.3388709444844</v>
      </c>
      <c r="O22" s="235">
        <v>4379</v>
      </c>
      <c r="P22" s="236">
        <v>6007</v>
      </c>
      <c r="Q22" s="255">
        <v>1628</v>
      </c>
      <c r="R22" s="256">
        <v>18.0888888888889</v>
      </c>
      <c r="S22" s="257">
        <v>0.209620931190771</v>
      </c>
      <c r="T22" s="258">
        <v>16.077</v>
      </c>
      <c r="U22" s="259">
        <v>16.077</v>
      </c>
      <c r="V22" s="259">
        <v>0</v>
      </c>
      <c r="W22" s="260">
        <v>0</v>
      </c>
      <c r="X22" s="259">
        <v>1446.93</v>
      </c>
      <c r="Y22" s="275">
        <v>181.07</v>
      </c>
      <c r="Z22" s="276">
        <v>1</v>
      </c>
      <c r="AA22" s="277">
        <v>72.54</v>
      </c>
      <c r="AB22" s="278">
        <v>72.54</v>
      </c>
      <c r="AC22" s="279">
        <v>1519.47</v>
      </c>
      <c r="AD22" s="279">
        <v>108.53</v>
      </c>
      <c r="AE22" s="280">
        <v>0.198419403829002</v>
      </c>
      <c r="AF22" s="281">
        <v>1403</v>
      </c>
      <c r="AG22" s="281">
        <v>278.38242357209</v>
      </c>
      <c r="AH22" s="292">
        <v>697</v>
      </c>
      <c r="AI22" s="292">
        <v>48.093</v>
      </c>
      <c r="AJ22" s="293">
        <v>61.2441331858598</v>
      </c>
      <c r="AK22" s="293">
        <v>10.58046</v>
      </c>
      <c r="AL22" s="294">
        <v>334.2834</v>
      </c>
      <c r="AM22" s="295">
        <v>1.4508</v>
      </c>
      <c r="AN22" s="296">
        <v>32.559</v>
      </c>
      <c r="AO22" s="316">
        <v>440.11779318586</v>
      </c>
      <c r="AP22" s="317">
        <v>4017</v>
      </c>
      <c r="AQ22" s="317">
        <v>7545</v>
      </c>
      <c r="AR22" s="318">
        <v>3528</v>
      </c>
      <c r="AS22" s="319">
        <v>0.067152801174032</v>
      </c>
      <c r="AT22" s="320">
        <v>514.247421526584</v>
      </c>
      <c r="AU22" s="320">
        <v>72.54</v>
      </c>
      <c r="AV22" s="321">
        <v>0</v>
      </c>
      <c r="AW22" s="320">
        <v>94.2153800471668</v>
      </c>
      <c r="AX22" s="321">
        <v>46.8055024183003</v>
      </c>
      <c r="AY22" s="321">
        <v>202.398542738532</v>
      </c>
      <c r="AZ22" s="321">
        <v>2670.33315326942</v>
      </c>
      <c r="BA22" s="321">
        <v>0</v>
      </c>
      <c r="BB22" s="321">
        <v>0</v>
      </c>
      <c r="BC22" s="321">
        <v>2670.33315326942</v>
      </c>
      <c r="BD22" s="334">
        <v>-20.7273836103767</v>
      </c>
      <c r="BE22" s="334">
        <v>-10.2972105320261</v>
      </c>
      <c r="BF22" s="334">
        <v>-44.5276794024771</v>
      </c>
      <c r="BG22" s="346">
        <v>-113.134432735849</v>
      </c>
      <c r="BH22" s="346">
        <v>0</v>
      </c>
      <c r="BI22" s="346">
        <v>-102.807826400873</v>
      </c>
      <c r="BJ22" s="346">
        <v>-291.494532681601</v>
      </c>
      <c r="BK22" s="347">
        <v>-49.99188</v>
      </c>
      <c r="BL22" s="348">
        <v>2.499594</v>
      </c>
      <c r="BM22" s="348">
        <v>45.75252</v>
      </c>
      <c r="BN22" s="348">
        <v>48.252114</v>
      </c>
      <c r="BO22" s="348">
        <v>-49.99188</v>
      </c>
      <c r="BP22" s="367">
        <v>-1.739766</v>
      </c>
      <c r="BQ22" s="368">
        <v>225.222365448743</v>
      </c>
      <c r="BR22" s="372"/>
      <c r="BS22" s="373"/>
      <c r="BT22" s="374">
        <v>15</v>
      </c>
    </row>
    <row r="23" spans="1:72">
      <c r="A23" s="157">
        <v>19</v>
      </c>
      <c r="B23" s="158" t="s">
        <v>426</v>
      </c>
      <c r="C23" s="159">
        <v>50003417</v>
      </c>
      <c r="D23" s="160">
        <v>0.079</v>
      </c>
      <c r="E23" s="161" t="s">
        <v>234</v>
      </c>
      <c r="F23" s="162">
        <v>8.97368421052632</v>
      </c>
      <c r="G23" s="163">
        <v>8.10526315789474</v>
      </c>
      <c r="H23" s="163">
        <v>8.97368421052632</v>
      </c>
      <c r="I23" s="163">
        <v>3.22684210526316</v>
      </c>
      <c r="J23" s="232">
        <v>13.5616438356164</v>
      </c>
      <c r="K23" s="232">
        <v>16.7133698630137</v>
      </c>
      <c r="L23" s="232">
        <v>19.8</v>
      </c>
      <c r="M23" s="233">
        <v>1.1</v>
      </c>
      <c r="N23" s="234">
        <v>80.4544873828406</v>
      </c>
      <c r="O23" s="235">
        <v>10411</v>
      </c>
      <c r="P23" s="236">
        <v>10951</v>
      </c>
      <c r="Q23" s="255">
        <v>540</v>
      </c>
      <c r="R23" s="256">
        <v>6</v>
      </c>
      <c r="S23" s="257">
        <v>0.0695302843016069</v>
      </c>
      <c r="T23" s="258">
        <v>18.407</v>
      </c>
      <c r="U23" s="259">
        <v>6</v>
      </c>
      <c r="V23" s="259">
        <v>12.407</v>
      </c>
      <c r="W23" s="260">
        <v>0.0834260388937493</v>
      </c>
      <c r="X23" s="259">
        <v>540</v>
      </c>
      <c r="Y23" s="275">
        <v>0</v>
      </c>
      <c r="Z23" s="276">
        <v>0</v>
      </c>
      <c r="AA23" s="277">
        <v>72.54</v>
      </c>
      <c r="AB23" s="278">
        <v>0</v>
      </c>
      <c r="AC23" s="279">
        <v>540</v>
      </c>
      <c r="AD23" s="279">
        <v>0</v>
      </c>
      <c r="AE23" s="280">
        <v>0.0705156917001725</v>
      </c>
      <c r="AF23" s="281">
        <v>1403</v>
      </c>
      <c r="AG23" s="281">
        <v>98.933515455342</v>
      </c>
      <c r="AH23" s="292">
        <v>697</v>
      </c>
      <c r="AI23" s="292">
        <v>55.063</v>
      </c>
      <c r="AJ23" s="293">
        <v>21.7653734001752</v>
      </c>
      <c r="AK23" s="293">
        <v>12.11386</v>
      </c>
      <c r="AL23" s="294">
        <v>118.8</v>
      </c>
      <c r="AM23" s="295">
        <v>0</v>
      </c>
      <c r="AN23" s="296">
        <v>0</v>
      </c>
      <c r="AO23" s="316">
        <v>152.679233400175</v>
      </c>
      <c r="AP23" s="317">
        <v>25220</v>
      </c>
      <c r="AQ23" s="317">
        <v>29966</v>
      </c>
      <c r="AR23" s="318">
        <v>4746</v>
      </c>
      <c r="AS23" s="319">
        <v>0.0903365063412573</v>
      </c>
      <c r="AT23" s="320">
        <v>691.785221815524</v>
      </c>
      <c r="AU23" s="320">
        <v>72.54</v>
      </c>
      <c r="AV23" s="321">
        <v>6.05172486135258</v>
      </c>
      <c r="AW23" s="320">
        <v>126.742118396784</v>
      </c>
      <c r="AX23" s="321">
        <v>62.9645449198563</v>
      </c>
      <c r="AY23" s="321">
        <v>272.274230112549</v>
      </c>
      <c r="AZ23" s="321">
        <v>3592.23388475529</v>
      </c>
      <c r="BA23" s="321">
        <v>0</v>
      </c>
      <c r="BB23" s="321">
        <v>0</v>
      </c>
      <c r="BC23" s="321">
        <v>3592.23388475529</v>
      </c>
      <c r="BD23" s="334">
        <v>-27.8832660472925</v>
      </c>
      <c r="BE23" s="334">
        <v>-13.8521998823684</v>
      </c>
      <c r="BF23" s="334">
        <v>-59.9003306247609</v>
      </c>
      <c r="BG23" s="346">
        <v>-152.192748799415</v>
      </c>
      <c r="BH23" s="346">
        <v>-0.121034497227052</v>
      </c>
      <c r="BI23" s="346">
        <v>-138.301004563079</v>
      </c>
      <c r="BJ23" s="346">
        <v>-392.250584414143</v>
      </c>
      <c r="BK23" s="347">
        <v>-57.23708</v>
      </c>
      <c r="BL23" s="348">
        <v>2.861854</v>
      </c>
      <c r="BM23" s="348">
        <v>52.38332</v>
      </c>
      <c r="BN23" s="348">
        <v>55.245174</v>
      </c>
      <c r="BO23" s="348">
        <v>-57.23708</v>
      </c>
      <c r="BP23" s="367">
        <v>-1.991906</v>
      </c>
      <c r="BQ23" s="368">
        <v>-161.108769631127</v>
      </c>
      <c r="BR23" s="375"/>
      <c r="BS23" s="376"/>
      <c r="BT23" s="371">
        <v>16</v>
      </c>
    </row>
    <row r="24" spans="1:72">
      <c r="A24" s="165" t="s">
        <v>334</v>
      </c>
      <c r="B24" s="166" t="s">
        <v>335</v>
      </c>
      <c r="C24" s="159">
        <v>40002722</v>
      </c>
      <c r="D24" s="160"/>
      <c r="E24" s="167"/>
      <c r="F24" s="168"/>
      <c r="G24" s="169"/>
      <c r="H24" s="169"/>
      <c r="I24" s="233"/>
      <c r="J24" s="237"/>
      <c r="K24" s="237"/>
      <c r="L24" s="237"/>
      <c r="M24" s="233"/>
      <c r="N24" s="234"/>
      <c r="O24" s="235">
        <v>42252</v>
      </c>
      <c r="P24" s="236">
        <v>50626</v>
      </c>
      <c r="Q24" s="255">
        <v>8374</v>
      </c>
      <c r="R24" s="256"/>
      <c r="S24" s="257"/>
      <c r="T24" s="261"/>
      <c r="U24" s="259"/>
      <c r="V24" s="259"/>
      <c r="W24" s="260"/>
      <c r="X24" s="259"/>
      <c r="Y24" s="275"/>
      <c r="Z24" s="276"/>
      <c r="AA24" s="276"/>
      <c r="AB24" s="279"/>
      <c r="AC24" s="279"/>
      <c r="AD24" s="279"/>
      <c r="AE24" s="281"/>
      <c r="AF24" s="281"/>
      <c r="AG24" s="281"/>
      <c r="AH24" s="297"/>
      <c r="AI24" s="297"/>
      <c r="AJ24" s="293"/>
      <c r="AK24" s="293"/>
      <c r="AL24" s="298"/>
      <c r="AM24" s="299"/>
      <c r="AN24" s="296"/>
      <c r="AO24" s="316"/>
      <c r="AP24" s="317">
        <v>33894</v>
      </c>
      <c r="AQ24" s="317">
        <v>40865</v>
      </c>
      <c r="AR24" s="318">
        <v>6971</v>
      </c>
      <c r="AS24" s="319"/>
      <c r="AT24" s="320"/>
      <c r="AU24" s="320"/>
      <c r="AV24" s="321"/>
      <c r="AW24" s="320"/>
      <c r="AX24" s="335"/>
      <c r="AY24" s="335"/>
      <c r="AZ24" s="335"/>
      <c r="BA24" s="335"/>
      <c r="BB24" s="335"/>
      <c r="BC24" s="335"/>
      <c r="BD24" s="336"/>
      <c r="BE24" s="349"/>
      <c r="BF24" s="349"/>
      <c r="BG24" s="349"/>
      <c r="BH24" s="349"/>
      <c r="BI24" s="350"/>
      <c r="BJ24" s="350"/>
      <c r="BK24" s="351"/>
      <c r="BL24" s="352"/>
      <c r="BM24" s="352"/>
      <c r="BN24" s="352"/>
      <c r="BO24" s="352"/>
      <c r="BP24" s="377"/>
      <c r="BQ24" s="378"/>
      <c r="BR24" s="379" t="s">
        <v>940</v>
      </c>
      <c r="BS24" s="380"/>
      <c r="BT24" s="381" t="s">
        <v>334</v>
      </c>
    </row>
    <row r="25" spans="1:72">
      <c r="A25" s="165" t="s">
        <v>336</v>
      </c>
      <c r="B25" s="166" t="s">
        <v>338</v>
      </c>
      <c r="C25" s="159">
        <v>40002728</v>
      </c>
      <c r="D25" s="159"/>
      <c r="E25" s="167"/>
      <c r="F25" s="168"/>
      <c r="G25" s="169"/>
      <c r="H25" s="169"/>
      <c r="I25" s="233"/>
      <c r="J25" s="237"/>
      <c r="K25" s="237"/>
      <c r="L25" s="237"/>
      <c r="M25" s="233"/>
      <c r="N25" s="234"/>
      <c r="O25" s="235">
        <v>7349</v>
      </c>
      <c r="P25" s="236">
        <v>10363</v>
      </c>
      <c r="Q25" s="255">
        <v>3014</v>
      </c>
      <c r="R25" s="256"/>
      <c r="S25" s="257"/>
      <c r="T25" s="261"/>
      <c r="U25" s="262"/>
      <c r="V25" s="262"/>
      <c r="W25" s="260"/>
      <c r="X25" s="259"/>
      <c r="Y25" s="275"/>
      <c r="Z25" s="276"/>
      <c r="AA25" s="276"/>
      <c r="AB25" s="279"/>
      <c r="AC25" s="279"/>
      <c r="AD25" s="279"/>
      <c r="AE25" s="281"/>
      <c r="AF25" s="281"/>
      <c r="AG25" s="281"/>
      <c r="AH25" s="297"/>
      <c r="AI25" s="297"/>
      <c r="AJ25" s="293"/>
      <c r="AK25" s="293"/>
      <c r="AL25" s="298"/>
      <c r="AM25" s="299"/>
      <c r="AN25" s="296"/>
      <c r="AO25" s="316"/>
      <c r="AP25" s="317">
        <v>0</v>
      </c>
      <c r="AQ25" s="317">
        <v>0</v>
      </c>
      <c r="AR25" s="318">
        <v>0</v>
      </c>
      <c r="AS25" s="319"/>
      <c r="AT25" s="320"/>
      <c r="AU25" s="320"/>
      <c r="AV25" s="320"/>
      <c r="AW25" s="320"/>
      <c r="AX25" s="335"/>
      <c r="AY25" s="335"/>
      <c r="AZ25" s="335"/>
      <c r="BA25" s="335"/>
      <c r="BB25" s="335"/>
      <c r="BC25" s="335"/>
      <c r="BD25" s="336"/>
      <c r="BE25" s="349"/>
      <c r="BF25" s="349"/>
      <c r="BG25" s="349"/>
      <c r="BH25" s="349"/>
      <c r="BI25" s="350"/>
      <c r="BJ25" s="350"/>
      <c r="BK25" s="347"/>
      <c r="BL25" s="348"/>
      <c r="BM25" s="348"/>
      <c r="BN25" s="348"/>
      <c r="BO25" s="348"/>
      <c r="BP25" s="367"/>
      <c r="BQ25" s="378"/>
      <c r="BR25" s="379"/>
      <c r="BS25" s="380"/>
      <c r="BT25" s="381" t="s">
        <v>336</v>
      </c>
    </row>
    <row r="26" spans="1:72">
      <c r="A26" s="165" t="s">
        <v>339</v>
      </c>
      <c r="B26" s="166" t="s">
        <v>340</v>
      </c>
      <c r="C26" s="159">
        <v>50003429</v>
      </c>
      <c r="D26" s="159"/>
      <c r="E26" s="167"/>
      <c r="F26" s="168"/>
      <c r="G26" s="169"/>
      <c r="H26" s="169"/>
      <c r="I26" s="233"/>
      <c r="J26" s="237"/>
      <c r="K26" s="237"/>
      <c r="L26" s="237"/>
      <c r="M26" s="233"/>
      <c r="N26" s="234"/>
      <c r="O26" s="235">
        <v>3640</v>
      </c>
      <c r="P26" s="236">
        <v>4295</v>
      </c>
      <c r="Q26" s="255">
        <v>655</v>
      </c>
      <c r="R26" s="256"/>
      <c r="S26" s="257"/>
      <c r="T26" s="261"/>
      <c r="U26" s="262"/>
      <c r="V26" s="262"/>
      <c r="W26" s="260"/>
      <c r="X26" s="259"/>
      <c r="Y26" s="275"/>
      <c r="Z26" s="276"/>
      <c r="AA26" s="276"/>
      <c r="AB26" s="279"/>
      <c r="AC26" s="279"/>
      <c r="AD26" s="279"/>
      <c r="AE26" s="281"/>
      <c r="AF26" s="281"/>
      <c r="AG26" s="281"/>
      <c r="AH26" s="297"/>
      <c r="AI26" s="297"/>
      <c r="AJ26" s="293"/>
      <c r="AK26" s="293"/>
      <c r="AL26" s="298"/>
      <c r="AM26" s="299"/>
      <c r="AN26" s="296"/>
      <c r="AO26" s="316"/>
      <c r="AP26" s="317">
        <v>0</v>
      </c>
      <c r="AQ26" s="317">
        <v>0</v>
      </c>
      <c r="AR26" s="318">
        <v>0</v>
      </c>
      <c r="AS26" s="320"/>
      <c r="AT26" s="320"/>
      <c r="AU26" s="320"/>
      <c r="AV26" s="320"/>
      <c r="AW26" s="320"/>
      <c r="AX26" s="335"/>
      <c r="AY26" s="335"/>
      <c r="AZ26" s="335"/>
      <c r="BA26" s="335"/>
      <c r="BB26" s="335"/>
      <c r="BC26" s="335"/>
      <c r="BD26" s="336"/>
      <c r="BE26" s="349"/>
      <c r="BF26" s="349"/>
      <c r="BG26" s="349"/>
      <c r="BH26" s="349"/>
      <c r="BI26" s="350"/>
      <c r="BJ26" s="350"/>
      <c r="BK26" s="351"/>
      <c r="BL26" s="352"/>
      <c r="BM26" s="352"/>
      <c r="BN26" s="352"/>
      <c r="BO26" s="352"/>
      <c r="BP26" s="377"/>
      <c r="BQ26" s="378"/>
      <c r="BR26" s="379"/>
      <c r="BS26" s="380"/>
      <c r="BT26" s="381" t="s">
        <v>339</v>
      </c>
    </row>
    <row r="27" spans="1:72">
      <c r="A27" s="165" t="s">
        <v>341</v>
      </c>
      <c r="B27" s="166" t="s">
        <v>941</v>
      </c>
      <c r="C27" s="159"/>
      <c r="D27" s="159"/>
      <c r="E27" s="167"/>
      <c r="F27" s="168"/>
      <c r="G27" s="169"/>
      <c r="H27" s="169"/>
      <c r="I27" s="233"/>
      <c r="J27" s="237"/>
      <c r="K27" s="237"/>
      <c r="L27" s="237"/>
      <c r="M27" s="233"/>
      <c r="N27" s="234"/>
      <c r="O27" s="235">
        <v>149</v>
      </c>
      <c r="P27" s="236">
        <v>168</v>
      </c>
      <c r="Q27" s="255">
        <v>19</v>
      </c>
      <c r="R27" s="263"/>
      <c r="S27" s="264"/>
      <c r="T27" s="265"/>
      <c r="U27" s="259"/>
      <c r="V27" s="259"/>
      <c r="W27" s="260"/>
      <c r="X27" s="259"/>
      <c r="Y27" s="275"/>
      <c r="Z27" s="276"/>
      <c r="AA27" s="276"/>
      <c r="AB27" s="279"/>
      <c r="AC27" s="279"/>
      <c r="AD27" s="279"/>
      <c r="AE27" s="282"/>
      <c r="AF27" s="282"/>
      <c r="AG27" s="282"/>
      <c r="AH27" s="297"/>
      <c r="AI27" s="297"/>
      <c r="AJ27" s="293"/>
      <c r="AK27" s="293"/>
      <c r="AL27" s="298"/>
      <c r="AM27" s="299"/>
      <c r="AN27" s="296"/>
      <c r="AO27" s="316"/>
      <c r="AP27" s="322"/>
      <c r="AQ27" s="323"/>
      <c r="AR27" s="324"/>
      <c r="AS27" s="320"/>
      <c r="AT27" s="320"/>
      <c r="AU27" s="320"/>
      <c r="AV27" s="320"/>
      <c r="AW27" s="320"/>
      <c r="AX27" s="335"/>
      <c r="AY27" s="335"/>
      <c r="AZ27" s="335"/>
      <c r="BA27" s="335"/>
      <c r="BB27" s="335"/>
      <c r="BC27" s="335"/>
      <c r="BD27" s="336"/>
      <c r="BE27" s="349"/>
      <c r="BF27" s="349"/>
      <c r="BG27" s="349"/>
      <c r="BH27" s="349"/>
      <c r="BI27" s="350"/>
      <c r="BJ27" s="350"/>
      <c r="BK27" s="351"/>
      <c r="BL27" s="352"/>
      <c r="BM27" s="352"/>
      <c r="BN27" s="352"/>
      <c r="BO27" s="352"/>
      <c r="BP27" s="377"/>
      <c r="BQ27" s="378"/>
      <c r="BR27" s="379"/>
      <c r="BS27" s="380"/>
      <c r="BT27" s="381" t="s">
        <v>341</v>
      </c>
    </row>
    <row r="28" spans="1:72">
      <c r="A28" s="165" t="s">
        <v>342</v>
      </c>
      <c r="B28" s="166" t="s">
        <v>942</v>
      </c>
      <c r="C28" s="159"/>
      <c r="D28" s="159"/>
      <c r="E28" s="167"/>
      <c r="F28" s="168"/>
      <c r="G28" s="169"/>
      <c r="H28" s="169"/>
      <c r="I28" s="233"/>
      <c r="J28" s="237"/>
      <c r="K28" s="237"/>
      <c r="L28" s="237"/>
      <c r="M28" s="233"/>
      <c r="N28" s="234"/>
      <c r="O28" s="235">
        <v>128</v>
      </c>
      <c r="P28" s="236">
        <v>151</v>
      </c>
      <c r="Q28" s="255">
        <v>23</v>
      </c>
      <c r="R28" s="263"/>
      <c r="S28" s="264"/>
      <c r="T28" s="265"/>
      <c r="U28" s="259"/>
      <c r="V28" s="259"/>
      <c r="W28" s="260"/>
      <c r="X28" s="259"/>
      <c r="Y28" s="275"/>
      <c r="Z28" s="276"/>
      <c r="AA28" s="276"/>
      <c r="AB28" s="279"/>
      <c r="AC28" s="279"/>
      <c r="AD28" s="279"/>
      <c r="AE28" s="283"/>
      <c r="AF28" s="284"/>
      <c r="AG28" s="284"/>
      <c r="AH28" s="297"/>
      <c r="AI28" s="297"/>
      <c r="AJ28" s="293"/>
      <c r="AK28" s="293"/>
      <c r="AL28" s="298"/>
      <c r="AM28" s="299"/>
      <c r="AN28" s="296"/>
      <c r="AO28" s="316"/>
      <c r="AP28" s="322"/>
      <c r="AQ28" s="323"/>
      <c r="AR28" s="324"/>
      <c r="AS28" s="320"/>
      <c r="AT28" s="320"/>
      <c r="AU28" s="320"/>
      <c r="AV28" s="320"/>
      <c r="AW28" s="320"/>
      <c r="AX28" s="335"/>
      <c r="AY28" s="335"/>
      <c r="AZ28" s="335"/>
      <c r="BA28" s="335"/>
      <c r="BB28" s="335"/>
      <c r="BC28" s="335"/>
      <c r="BD28" s="336"/>
      <c r="BE28" s="349"/>
      <c r="BF28" s="349"/>
      <c r="BG28" s="349"/>
      <c r="BH28" s="349"/>
      <c r="BI28" s="350"/>
      <c r="BJ28" s="350"/>
      <c r="BK28" s="351"/>
      <c r="BL28" s="352"/>
      <c r="BM28" s="352"/>
      <c r="BN28" s="352"/>
      <c r="BO28" s="352"/>
      <c r="BP28" s="377"/>
      <c r="BQ28" s="378"/>
      <c r="BR28" s="379"/>
      <c r="BS28" s="380"/>
      <c r="BT28" s="381" t="s">
        <v>342</v>
      </c>
    </row>
    <row r="29" ht="18.15" spans="1:72">
      <c r="A29" s="170" t="s">
        <v>943</v>
      </c>
      <c r="B29" s="166" t="s">
        <v>944</v>
      </c>
      <c r="C29" s="159"/>
      <c r="D29" s="159"/>
      <c r="E29" s="167"/>
      <c r="F29" s="171"/>
      <c r="G29" s="172"/>
      <c r="H29" s="172"/>
      <c r="I29" s="238"/>
      <c r="J29" s="239"/>
      <c r="K29" s="239"/>
      <c r="L29" s="239"/>
      <c r="M29" s="240"/>
      <c r="N29" s="241"/>
      <c r="O29" s="242"/>
      <c r="P29" s="243"/>
      <c r="Q29" s="266"/>
      <c r="R29" s="263"/>
      <c r="S29" s="264"/>
      <c r="T29" s="265"/>
      <c r="U29" s="259"/>
      <c r="V29" s="259"/>
      <c r="W29" s="260"/>
      <c r="X29" s="259"/>
      <c r="Y29" s="285"/>
      <c r="Z29" s="276"/>
      <c r="AA29" s="276"/>
      <c r="AB29" s="286"/>
      <c r="AC29" s="286"/>
      <c r="AD29" s="286"/>
      <c r="AE29" s="287"/>
      <c r="AF29" s="287"/>
      <c r="AG29" s="287"/>
      <c r="AH29" s="297"/>
      <c r="AI29" s="297"/>
      <c r="AJ29" s="293"/>
      <c r="AK29" s="293"/>
      <c r="AL29" s="293"/>
      <c r="AM29" s="300"/>
      <c r="AN29" s="300"/>
      <c r="AO29" s="325"/>
      <c r="AP29" s="326"/>
      <c r="AQ29" s="327"/>
      <c r="AR29" s="328"/>
      <c r="AS29" s="329"/>
      <c r="AT29" s="329"/>
      <c r="AU29" s="329"/>
      <c r="AV29" s="329"/>
      <c r="AW29" s="329"/>
      <c r="AX29" s="337"/>
      <c r="AY29" s="337"/>
      <c r="AZ29" s="337"/>
      <c r="BA29" s="337"/>
      <c r="BB29" s="337"/>
      <c r="BC29" s="337"/>
      <c r="BD29" s="338"/>
      <c r="BE29" s="353"/>
      <c r="BF29" s="353"/>
      <c r="BG29" s="354"/>
      <c r="BH29" s="354"/>
      <c r="BI29" s="355"/>
      <c r="BJ29" s="356"/>
      <c r="BK29" s="357"/>
      <c r="BL29" s="358"/>
      <c r="BM29" s="358"/>
      <c r="BN29" s="358"/>
      <c r="BO29" s="358"/>
      <c r="BP29" s="382"/>
      <c r="BQ29" s="383"/>
      <c r="BR29" s="384"/>
      <c r="BS29" s="385"/>
      <c r="BT29" s="173" t="s">
        <v>943</v>
      </c>
    </row>
    <row r="30" s="135" customFormat="1" spans="1:72">
      <c r="A30" s="173"/>
      <c r="B30" s="148"/>
      <c r="C30" s="148"/>
      <c r="D30" s="174">
        <v>1</v>
      </c>
      <c r="E30" s="174">
        <v>0</v>
      </c>
      <c r="F30" s="175">
        <v>170.5</v>
      </c>
      <c r="G30" s="175"/>
      <c r="H30" s="175">
        <v>170.5</v>
      </c>
      <c r="I30" s="175">
        <v>61.31</v>
      </c>
      <c r="J30" s="175">
        <v>257.671232876712</v>
      </c>
      <c r="K30" s="175">
        <v>211.561643835616</v>
      </c>
      <c r="L30" s="175">
        <v>376.2</v>
      </c>
      <c r="M30" s="175">
        <v>20.9</v>
      </c>
      <c r="N30" s="175">
        <v>1422.64287671233</v>
      </c>
      <c r="O30" s="244"/>
      <c r="P30" s="244"/>
      <c r="Q30" s="267">
        <v>7766.4</v>
      </c>
      <c r="R30" s="174"/>
      <c r="S30" s="268">
        <v>1</v>
      </c>
      <c r="T30" s="269">
        <v>233</v>
      </c>
      <c r="U30" s="174"/>
      <c r="V30" s="174">
        <v>148.718555555556</v>
      </c>
      <c r="W30" s="268">
        <v>1</v>
      </c>
      <c r="X30" s="174">
        <v>7585.33</v>
      </c>
      <c r="Y30" s="174">
        <v>181.07</v>
      </c>
      <c r="Z30" s="268">
        <v>1</v>
      </c>
      <c r="AA30" s="268"/>
      <c r="AB30" s="288">
        <v>72.54</v>
      </c>
      <c r="AC30" s="288">
        <v>7657.87</v>
      </c>
      <c r="AD30" s="288">
        <v>108.53</v>
      </c>
      <c r="AE30" s="268">
        <v>1</v>
      </c>
      <c r="AF30" s="174"/>
      <c r="AG30" s="174">
        <v>1403</v>
      </c>
      <c r="AH30" s="301"/>
      <c r="AI30" s="174">
        <v>697</v>
      </c>
      <c r="AJ30" s="301">
        <v>308.66</v>
      </c>
      <c r="AK30" s="302">
        <v>153.34</v>
      </c>
      <c r="AL30" s="301">
        <v>1762.5714</v>
      </c>
      <c r="AM30" s="301">
        <v>1.4508</v>
      </c>
      <c r="AN30" s="301">
        <v>32.559</v>
      </c>
      <c r="AO30" s="330">
        <v>2258.5812</v>
      </c>
      <c r="AP30" s="174"/>
      <c r="AQ30" s="174"/>
      <c r="AR30" s="174">
        <v>52536.9</v>
      </c>
      <c r="AS30" s="268">
        <v>1</v>
      </c>
      <c r="AT30" s="174">
        <v>7657.87</v>
      </c>
      <c r="AU30" s="174"/>
      <c r="AV30" s="174">
        <v>72.54</v>
      </c>
      <c r="AW30" s="174">
        <v>1403</v>
      </c>
      <c r="AX30" s="339">
        <v>697</v>
      </c>
      <c r="AY30" s="339">
        <v>3014</v>
      </c>
      <c r="AZ30" s="339">
        <v>39765.03</v>
      </c>
      <c r="BA30" s="339"/>
      <c r="BB30" s="339">
        <v>0</v>
      </c>
      <c r="BC30" s="339">
        <v>39765.03</v>
      </c>
      <c r="BD30" s="340">
        <v>-308.66</v>
      </c>
      <c r="BE30" s="340">
        <v>-153.34</v>
      </c>
      <c r="BF30" s="340">
        <v>-663.08</v>
      </c>
      <c r="BG30" s="340">
        <v>-1684.7314</v>
      </c>
      <c r="BH30" s="340">
        <v>-1.4508</v>
      </c>
      <c r="BI30" s="340">
        <v>-1530.953655</v>
      </c>
      <c r="BJ30" s="340">
        <v>-4342.215855</v>
      </c>
      <c r="BK30" s="359">
        <v>-724.52</v>
      </c>
      <c r="BL30" s="359">
        <v>36.226</v>
      </c>
      <c r="BM30" s="359">
        <v>663.08</v>
      </c>
      <c r="BN30" s="359">
        <v>699.306</v>
      </c>
      <c r="BO30" s="359">
        <v>-724.52</v>
      </c>
      <c r="BP30" s="359">
        <v>-25.214</v>
      </c>
      <c r="BQ30" s="386"/>
      <c r="BR30" s="387"/>
      <c r="BS30" s="148"/>
      <c r="BT30" s="173"/>
    </row>
    <row r="31" spans="12:42">
      <c r="L31" s="137">
        <v>19</v>
      </c>
      <c r="M31" s="137">
        <v>19</v>
      </c>
      <c r="AO31"/>
      <c r="AP31"/>
    </row>
    <row r="32" ht="139.2" spans="21:71">
      <c r="U32" s="270"/>
      <c r="V32" s="270"/>
      <c r="W32" s="270"/>
      <c r="X32" s="270"/>
      <c r="Y32" s="289"/>
      <c r="Z32" s="289"/>
      <c r="AA32" s="670" t="s">
        <v>945</v>
      </c>
      <c r="AB32" s="289"/>
      <c r="AC32" s="289"/>
      <c r="AD32" s="289"/>
      <c r="AE32" s="137"/>
      <c r="AF32" s="137"/>
      <c r="AG32" s="137"/>
      <c r="AH32" s="303"/>
      <c r="AI32" s="303"/>
      <c r="AJ32" s="303"/>
      <c r="AK32" s="304"/>
      <c r="AL32" s="305" t="s">
        <v>946</v>
      </c>
      <c r="AM32" s="306"/>
      <c r="AN32" s="141"/>
      <c r="AO32"/>
      <c r="AP32"/>
      <c r="AQ32" s="331"/>
      <c r="AR32" s="332"/>
      <c r="AS32" s="332"/>
      <c r="AT32" s="332"/>
      <c r="AU32" s="332"/>
      <c r="AV32" s="332"/>
      <c r="AW32" s="332"/>
      <c r="AX32" s="332"/>
      <c r="AY32" s="332"/>
      <c r="AZ32" s="332"/>
      <c r="BA32" s="332"/>
      <c r="BB32" s="332"/>
      <c r="BC32" s="332"/>
      <c r="BG32" s="332"/>
      <c r="BH32" s="332"/>
      <c r="BI32" s="304"/>
      <c r="BL32" s="304"/>
      <c r="BN32" s="304"/>
      <c r="BO32" s="304"/>
      <c r="BP32" s="304"/>
      <c r="BQ32" s="304"/>
      <c r="BR32" s="2"/>
      <c r="BS32" s="2"/>
    </row>
    <row r="33" ht="18.15" spans="2:71">
      <c r="B33"/>
      <c r="C33"/>
      <c r="D33"/>
      <c r="E33"/>
      <c r="F33"/>
      <c r="G33"/>
      <c r="H33"/>
      <c r="I33"/>
      <c r="K33" s="137"/>
      <c r="L33" s="139"/>
      <c r="AA33" s="139"/>
      <c r="AB33" s="141"/>
      <c r="AC33" s="141"/>
      <c r="AD33" s="141"/>
      <c r="AE33"/>
      <c r="AF33"/>
      <c r="AG33"/>
      <c r="AH33"/>
      <c r="AI33"/>
      <c r="AJ33"/>
      <c r="AK33" s="304"/>
      <c r="AL33" s="306"/>
      <c r="AM33" s="306"/>
      <c r="AN33" s="141"/>
      <c r="AO33" s="140"/>
      <c r="AQ33" s="331"/>
      <c r="AR33" s="332"/>
      <c r="BL33" s="304"/>
      <c r="BN33" s="304"/>
      <c r="BO33" s="304"/>
      <c r="BP33" s="304"/>
      <c r="BQ33" s="304"/>
      <c r="BR33" s="388"/>
      <c r="BS33" s="137"/>
    </row>
    <row r="34" ht="39.6" spans="2:71">
      <c r="B34" s="176" t="s">
        <v>947</v>
      </c>
      <c r="C34" s="177" t="s">
        <v>822</v>
      </c>
      <c r="D34" s="177" t="s">
        <v>823</v>
      </c>
      <c r="E34" s="177" t="s">
        <v>824</v>
      </c>
      <c r="F34" s="177" t="s">
        <v>825</v>
      </c>
      <c r="G34" s="178" t="s">
        <v>826</v>
      </c>
      <c r="H34" s="178" t="s">
        <v>827</v>
      </c>
      <c r="I34" s="178" t="s">
        <v>828</v>
      </c>
      <c r="J34" s="178" t="s">
        <v>829</v>
      </c>
      <c r="K34" s="245" t="s">
        <v>830</v>
      </c>
      <c r="L34" s="139"/>
      <c r="AA34" s="139"/>
      <c r="AB34" s="141"/>
      <c r="AC34" s="141"/>
      <c r="AD34" s="141"/>
      <c r="AE34"/>
      <c r="AF34"/>
      <c r="AG34"/>
      <c r="AH34"/>
      <c r="AI34"/>
      <c r="AJ34"/>
      <c r="AK34" s="304"/>
      <c r="AL34" s="306"/>
      <c r="AM34" s="306"/>
      <c r="AN34" s="141"/>
      <c r="AO34" s="140"/>
      <c r="AQ34" s="331"/>
      <c r="AR34" s="332"/>
      <c r="BK34" s="304"/>
      <c r="BM34" s="304"/>
      <c r="BN34" s="304"/>
      <c r="BO34" s="304"/>
      <c r="BP34" s="304"/>
      <c r="BQ34" s="388"/>
      <c r="BR34" s="137"/>
      <c r="BS34" s="137"/>
    </row>
    <row r="35" spans="2:71">
      <c r="B35" s="179" t="s">
        <v>52</v>
      </c>
      <c r="C35" s="180">
        <v>2025</v>
      </c>
      <c r="D35" s="671" t="s">
        <v>831</v>
      </c>
      <c r="E35" s="181">
        <v>44.48</v>
      </c>
      <c r="F35" s="181">
        <v>13074.94</v>
      </c>
      <c r="G35" s="182">
        <v>13.32</v>
      </c>
      <c r="H35" s="182">
        <v>-503.38</v>
      </c>
      <c r="I35" s="182">
        <v>170.5</v>
      </c>
      <c r="J35" s="182">
        <v>22.22</v>
      </c>
      <c r="K35" s="246">
        <v>-297.34</v>
      </c>
      <c r="L35" s="139"/>
      <c r="AA35" s="139"/>
      <c r="AB35" s="141"/>
      <c r="AC35" s="141"/>
      <c r="AD35" s="141"/>
      <c r="AE35"/>
      <c r="AF35"/>
      <c r="AG35"/>
      <c r="AH35"/>
      <c r="AI35"/>
      <c r="AJ35"/>
      <c r="AK35" s="304"/>
      <c r="AL35"/>
      <c r="AM35"/>
      <c r="AN35" s="141"/>
      <c r="AO35" s="140"/>
      <c r="AQ35" s="331"/>
      <c r="AR35" s="332"/>
      <c r="BK35" s="304"/>
      <c r="BM35" s="304"/>
      <c r="BN35" s="304"/>
      <c r="BO35" s="304"/>
      <c r="BP35" s="304"/>
      <c r="BQ35" s="388"/>
      <c r="BR35" s="137"/>
      <c r="BS35" s="137"/>
    </row>
    <row r="36" spans="2:71">
      <c r="B36" s="179" t="s">
        <v>52</v>
      </c>
      <c r="C36" s="180">
        <v>2025</v>
      </c>
      <c r="D36" s="671" t="s">
        <v>832</v>
      </c>
      <c r="E36" s="181">
        <v>46.06</v>
      </c>
      <c r="F36" s="181">
        <v>12380.74</v>
      </c>
      <c r="G36" s="182">
        <v>13.78</v>
      </c>
      <c r="H36" s="182">
        <v>-476.66</v>
      </c>
      <c r="I36" s="182">
        <v>154</v>
      </c>
      <c r="J36" s="182">
        <v>19.29</v>
      </c>
      <c r="K36" s="246">
        <v>-289.59</v>
      </c>
      <c r="L36" s="139"/>
      <c r="AA36" s="139"/>
      <c r="AB36" s="141"/>
      <c r="AC36" s="141"/>
      <c r="AD36" s="141"/>
      <c r="AE36"/>
      <c r="AF36"/>
      <c r="AG36"/>
      <c r="AH36"/>
      <c r="AI36"/>
      <c r="AJ36"/>
      <c r="AK36" s="304"/>
      <c r="AL36"/>
      <c r="AM36"/>
      <c r="AN36" s="141"/>
      <c r="AO36" s="140"/>
      <c r="AQ36" s="331"/>
      <c r="AR36" s="332"/>
      <c r="BK36" s="304"/>
      <c r="BM36" s="304"/>
      <c r="BN36" s="304"/>
      <c r="BO36" s="304"/>
      <c r="BP36" s="304"/>
      <c r="BQ36" s="388"/>
      <c r="BR36" s="137"/>
      <c r="BS36" s="137"/>
    </row>
    <row r="37" spans="2:58">
      <c r="B37" s="179" t="s">
        <v>52</v>
      </c>
      <c r="C37" s="180">
        <v>2025</v>
      </c>
      <c r="D37" s="671" t="s">
        <v>833</v>
      </c>
      <c r="E37" s="181">
        <v>17.99</v>
      </c>
      <c r="F37" s="181">
        <v>14328.95</v>
      </c>
      <c r="G37" s="182">
        <v>5.38</v>
      </c>
      <c r="H37" s="182">
        <v>-551.66</v>
      </c>
      <c r="I37" s="182">
        <v>170.5</v>
      </c>
      <c r="J37" s="182">
        <v>19.8</v>
      </c>
      <c r="K37" s="246">
        <v>-355.98</v>
      </c>
      <c r="L37" s="139"/>
      <c r="AA37" s="139"/>
      <c r="AB37"/>
      <c r="AC37"/>
      <c r="AD37"/>
      <c r="AE37"/>
      <c r="AF37"/>
      <c r="AG37"/>
      <c r="AH37"/>
      <c r="AI37"/>
      <c r="AJ37"/>
      <c r="AL37"/>
      <c r="AM37"/>
      <c r="AN37"/>
      <c r="AO37"/>
      <c r="AP37"/>
      <c r="AQ37"/>
      <c r="AR37"/>
      <c r="AS37"/>
      <c r="AT37"/>
      <c r="AU37"/>
      <c r="AV37"/>
      <c r="AW37"/>
      <c r="AX37"/>
      <c r="AY37"/>
      <c r="AZ37"/>
      <c r="BA37"/>
      <c r="BB37"/>
      <c r="BC37"/>
      <c r="BD37"/>
      <c r="BE37"/>
      <c r="BF37"/>
    </row>
    <row r="38" ht="18.15" spans="2:58">
      <c r="B38" s="183" t="s">
        <v>948</v>
      </c>
      <c r="C38" s="184"/>
      <c r="D38" s="185"/>
      <c r="E38" s="184">
        <v>108.53</v>
      </c>
      <c r="F38" s="184">
        <v>39784.63</v>
      </c>
      <c r="G38" s="185">
        <v>32.48</v>
      </c>
      <c r="H38" s="185">
        <v>-1531.7</v>
      </c>
      <c r="I38" s="185">
        <v>495</v>
      </c>
      <c r="J38" s="185">
        <v>61.31</v>
      </c>
      <c r="K38" s="247">
        <v>-942.91</v>
      </c>
      <c r="L38" s="139"/>
      <c r="AA38" s="139"/>
      <c r="AB38"/>
      <c r="AC38"/>
      <c r="AD38"/>
      <c r="AE38"/>
      <c r="AF38"/>
      <c r="AG38"/>
      <c r="AH38"/>
      <c r="AI38"/>
      <c r="AJ38"/>
      <c r="AL38"/>
      <c r="AM38"/>
      <c r="AN38"/>
      <c r="AO38"/>
      <c r="AP38"/>
      <c r="AQ38"/>
      <c r="AR38"/>
      <c r="AS38"/>
      <c r="AT38"/>
      <c r="AU38"/>
      <c r="AV38"/>
      <c r="AW38"/>
      <c r="AX38"/>
      <c r="AY38"/>
      <c r="AZ38"/>
      <c r="BA38"/>
      <c r="BB38"/>
      <c r="BC38"/>
      <c r="BD38"/>
      <c r="BE38"/>
      <c r="BF38"/>
    </row>
    <row r="39" ht="18.15" spans="2:58">
      <c r="B39"/>
      <c r="C39"/>
      <c r="D39"/>
      <c r="E39"/>
      <c r="F39"/>
      <c r="G39" s="186">
        <v>0.299272090666175</v>
      </c>
      <c r="H39" s="186">
        <v>-0.0384997925078102</v>
      </c>
      <c r="I39"/>
      <c r="J39"/>
      <c r="K39" s="248"/>
      <c r="L39" s="139"/>
      <c r="AA39" s="139"/>
      <c r="AB39"/>
      <c r="AC39"/>
      <c r="AD39"/>
      <c r="AE39"/>
      <c r="AF39"/>
      <c r="AG39"/>
      <c r="AH39"/>
      <c r="AI39"/>
      <c r="AJ39"/>
      <c r="AL39"/>
      <c r="AM39"/>
      <c r="AN39"/>
      <c r="AO39"/>
      <c r="AP39"/>
      <c r="AQ39"/>
      <c r="AR39"/>
      <c r="AS39"/>
      <c r="AT39"/>
      <c r="AU39"/>
      <c r="AV39"/>
      <c r="AW39"/>
      <c r="AX39"/>
      <c r="AY39"/>
      <c r="AZ39"/>
      <c r="BA39"/>
      <c r="BB39"/>
      <c r="BC39"/>
      <c r="BD39"/>
      <c r="BE39"/>
      <c r="BF39"/>
    </row>
    <row r="40" ht="26.4" spans="2:58">
      <c r="B40" s="187" t="s">
        <v>823</v>
      </c>
      <c r="C40" s="188" t="s">
        <v>949</v>
      </c>
      <c r="D40" s="188" t="s">
        <v>950</v>
      </c>
      <c r="E40" s="189" t="s">
        <v>951</v>
      </c>
      <c r="F40"/>
      <c r="G40" s="190"/>
      <c r="H40" s="191"/>
      <c r="I40" s="191"/>
      <c r="J40" s="191"/>
      <c r="K40" s="248"/>
      <c r="L40" s="139"/>
      <c r="AA40" s="139"/>
      <c r="AB40"/>
      <c r="AC40"/>
      <c r="AD40"/>
      <c r="AE40"/>
      <c r="AF40"/>
      <c r="AG40"/>
      <c r="AH40"/>
      <c r="AI40"/>
      <c r="AJ40"/>
      <c r="AL40"/>
      <c r="AM40"/>
      <c r="AN40"/>
      <c r="AO40"/>
      <c r="AP40"/>
      <c r="AQ40"/>
      <c r="AR40"/>
      <c r="AS40"/>
      <c r="AT40"/>
      <c r="AU40"/>
      <c r="AV40"/>
      <c r="AW40"/>
      <c r="AX40"/>
      <c r="AY40"/>
      <c r="AZ40"/>
      <c r="BA40"/>
      <c r="BB40"/>
      <c r="BC40"/>
      <c r="BD40"/>
      <c r="BE40"/>
      <c r="BF40"/>
    </row>
    <row r="41" customFormat="1" spans="1:72">
      <c r="A41" s="136"/>
      <c r="B41" s="192">
        <v>45658</v>
      </c>
      <c r="C41" s="193">
        <v>514.2</v>
      </c>
      <c r="D41" s="194">
        <v>-200.44</v>
      </c>
      <c r="E41" s="195">
        <v>-190.42</v>
      </c>
      <c r="G41" s="196"/>
      <c r="H41" s="191"/>
      <c r="I41" s="191"/>
      <c r="J41" s="191"/>
      <c r="K41" s="248"/>
      <c r="L41" s="139"/>
      <c r="M41" s="139"/>
      <c r="N41" s="139"/>
      <c r="O41" s="139"/>
      <c r="P41" s="139"/>
      <c r="Q41" s="139"/>
      <c r="R41" s="139"/>
      <c r="S41" s="139"/>
      <c r="T41" s="139"/>
      <c r="U41" s="137"/>
      <c r="V41" s="137"/>
      <c r="W41" s="137"/>
      <c r="X41" s="137"/>
      <c r="Y41" s="140"/>
      <c r="Z41" s="140"/>
      <c r="AA41" s="139"/>
      <c r="AK41" s="139"/>
      <c r="BG41" s="137"/>
      <c r="BH41" s="137"/>
      <c r="BI41" s="137"/>
      <c r="BJ41" s="137"/>
      <c r="BK41" s="137"/>
      <c r="BL41" s="137"/>
      <c r="BM41" s="137"/>
      <c r="BN41" s="137"/>
      <c r="BO41" s="142"/>
      <c r="BP41" s="137"/>
      <c r="BQ41" s="137"/>
      <c r="BT41" s="136"/>
    </row>
    <row r="42" customFormat="1" spans="1:72">
      <c r="A42" s="136"/>
      <c r="B42" s="197">
        <v>45689</v>
      </c>
      <c r="C42" s="198">
        <v>669.75</v>
      </c>
      <c r="D42" s="199">
        <v>-252.66</v>
      </c>
      <c r="E42" s="200">
        <v>-240.03</v>
      </c>
      <c r="G42" s="196"/>
      <c r="H42" s="191"/>
      <c r="I42" s="191"/>
      <c r="J42" s="191"/>
      <c r="K42" s="248"/>
      <c r="L42" s="139"/>
      <c r="M42" s="139"/>
      <c r="N42" s="139"/>
      <c r="O42" s="139"/>
      <c r="P42" s="139"/>
      <c r="Q42" s="139"/>
      <c r="R42" s="139"/>
      <c r="S42" s="139"/>
      <c r="T42" s="139"/>
      <c r="U42" s="137"/>
      <c r="V42" s="137"/>
      <c r="W42" s="137"/>
      <c r="X42" s="137"/>
      <c r="Y42" s="140"/>
      <c r="Z42" s="140"/>
      <c r="AA42" s="139"/>
      <c r="AK42" s="139"/>
      <c r="BG42" s="137"/>
      <c r="BH42" s="137"/>
      <c r="BI42" s="137"/>
      <c r="BJ42" s="137"/>
      <c r="BK42" s="137"/>
      <c r="BL42" s="137"/>
      <c r="BM42" s="137"/>
      <c r="BN42" s="137"/>
      <c r="BO42" s="142"/>
      <c r="BP42" s="137"/>
      <c r="BQ42" s="137"/>
      <c r="BT42" s="136"/>
    </row>
    <row r="43" customFormat="1" ht="18.15" spans="1:72">
      <c r="A43" s="136"/>
      <c r="B43" s="197">
        <v>45717</v>
      </c>
      <c r="C43" s="198">
        <v>735.27</v>
      </c>
      <c r="D43" s="199">
        <v>-271.42</v>
      </c>
      <c r="E43" s="200">
        <v>-257.58</v>
      </c>
      <c r="G43" s="196"/>
      <c r="H43" s="191"/>
      <c r="I43" s="191"/>
      <c r="J43" s="191"/>
      <c r="K43" s="248"/>
      <c r="L43" s="139"/>
      <c r="M43" s="139"/>
      <c r="N43" s="139"/>
      <c r="O43" s="139"/>
      <c r="P43" s="139"/>
      <c r="Q43" s="139"/>
      <c r="R43" s="139"/>
      <c r="S43" s="139"/>
      <c r="T43" s="139"/>
      <c r="U43" s="137"/>
      <c r="V43" s="137"/>
      <c r="W43" s="137"/>
      <c r="X43" s="137"/>
      <c r="Y43" s="140"/>
      <c r="Z43" s="140"/>
      <c r="AA43" s="139"/>
      <c r="AK43" s="139"/>
      <c r="BG43" s="137"/>
      <c r="BH43" s="137"/>
      <c r="BI43" s="137"/>
      <c r="BJ43" s="137"/>
      <c r="BK43" s="137"/>
      <c r="BL43" s="137"/>
      <c r="BM43" s="137"/>
      <c r="BN43" s="137"/>
      <c r="BO43" s="142"/>
      <c r="BP43" s="137"/>
      <c r="BQ43" s="137"/>
      <c r="BT43" s="136"/>
    </row>
    <row r="44" customFormat="1" ht="18.15" spans="1:72">
      <c r="A44" s="136"/>
      <c r="B44" s="201" t="s">
        <v>948</v>
      </c>
      <c r="C44" s="202">
        <v>1919.22</v>
      </c>
      <c r="D44" s="203">
        <v>-724.52</v>
      </c>
      <c r="E44" s="204">
        <v>-688.29</v>
      </c>
      <c r="G44" s="191"/>
      <c r="H44" s="191"/>
      <c r="I44" s="191"/>
      <c r="J44" s="191"/>
      <c r="K44" s="248"/>
      <c r="L44" s="139"/>
      <c r="M44" s="139"/>
      <c r="N44" s="139"/>
      <c r="O44" s="139"/>
      <c r="P44" s="139"/>
      <c r="Q44" s="139"/>
      <c r="R44" s="139"/>
      <c r="S44" s="139"/>
      <c r="T44" s="139"/>
      <c r="U44" s="137"/>
      <c r="V44" s="137"/>
      <c r="W44" s="137"/>
      <c r="X44" s="137"/>
      <c r="Y44" s="140"/>
      <c r="Z44" s="140"/>
      <c r="AA44" s="139"/>
      <c r="AK44" s="139"/>
      <c r="BG44" s="137"/>
      <c r="BH44" s="137"/>
      <c r="BI44" s="137"/>
      <c r="BJ44" s="137"/>
      <c r="BK44" s="137"/>
      <c r="BL44" s="137"/>
      <c r="BM44" s="137"/>
      <c r="BN44" s="137"/>
      <c r="BO44" s="142"/>
      <c r="BP44" s="137"/>
      <c r="BQ44" s="137"/>
      <c r="BT44" s="136"/>
    </row>
    <row r="45" spans="2:58">
      <c r="B45"/>
      <c r="C45" s="205">
        <v>0.636768414067684</v>
      </c>
      <c r="D45"/>
      <c r="E45"/>
      <c r="F45"/>
      <c r="G45"/>
      <c r="H45"/>
      <c r="I45"/>
      <c r="J45"/>
      <c r="K45" s="248"/>
      <c r="L45" s="139"/>
      <c r="AA45" s="139"/>
      <c r="AB45"/>
      <c r="AC45"/>
      <c r="AD45"/>
      <c r="AE45"/>
      <c r="AF45"/>
      <c r="AG45"/>
      <c r="AH45"/>
      <c r="AI45"/>
      <c r="AJ45"/>
      <c r="AL45"/>
      <c r="AM45"/>
      <c r="AN45"/>
      <c r="AO45"/>
      <c r="AP45"/>
      <c r="AQ45"/>
      <c r="AR45"/>
      <c r="AS45"/>
      <c r="AT45"/>
      <c r="AU45"/>
      <c r="AV45"/>
      <c r="AW45"/>
      <c r="AX45"/>
      <c r="AY45"/>
      <c r="AZ45"/>
      <c r="BA45"/>
      <c r="BB45"/>
      <c r="BC45"/>
      <c r="BD45"/>
      <c r="BE45"/>
      <c r="BF45"/>
    </row>
    <row r="46" ht="18.15" spans="2:58">
      <c r="B46"/>
      <c r="C46"/>
      <c r="D46"/>
      <c r="E46"/>
      <c r="F46"/>
      <c r="G46"/>
      <c r="H46"/>
      <c r="I46"/>
      <c r="J46"/>
      <c r="K46" s="248"/>
      <c r="L46" s="139"/>
      <c r="AA46" s="139"/>
      <c r="AB46"/>
      <c r="AC46"/>
      <c r="AD46"/>
      <c r="AE46"/>
      <c r="AF46"/>
      <c r="AG46"/>
      <c r="AH46"/>
      <c r="AI46"/>
      <c r="AJ46"/>
      <c r="AL46"/>
      <c r="AM46"/>
      <c r="AN46"/>
      <c r="AO46"/>
      <c r="AP46"/>
      <c r="AQ46"/>
      <c r="AR46"/>
      <c r="AS46"/>
      <c r="AT46"/>
      <c r="AU46"/>
      <c r="AV46"/>
      <c r="AW46"/>
      <c r="AX46"/>
      <c r="AY46"/>
      <c r="AZ46"/>
      <c r="BA46"/>
      <c r="BB46"/>
      <c r="BC46"/>
      <c r="BD46"/>
      <c r="BE46"/>
      <c r="BF46"/>
    </row>
    <row r="47" ht="18.15" spans="2:68">
      <c r="B47" s="206" t="s">
        <v>952</v>
      </c>
      <c r="C47" s="207" t="s">
        <v>953</v>
      </c>
      <c r="D47"/>
      <c r="E47"/>
      <c r="F47"/>
      <c r="G47"/>
      <c r="H47"/>
      <c r="I47"/>
      <c r="J47"/>
      <c r="K47" s="249"/>
      <c r="L47" s="139"/>
      <c r="AA47" s="139"/>
      <c r="AB47"/>
      <c r="AC47"/>
      <c r="AD47"/>
      <c r="AE47"/>
      <c r="AF47"/>
      <c r="AG47"/>
      <c r="AH47"/>
      <c r="AI47"/>
      <c r="AJ47"/>
      <c r="AL47"/>
      <c r="AM47"/>
      <c r="AN47"/>
      <c r="AO47"/>
      <c r="AP47"/>
      <c r="AQ47"/>
      <c r="AR47"/>
      <c r="AS47"/>
      <c r="AT47"/>
      <c r="AU47"/>
      <c r="AV47"/>
      <c r="AW47"/>
      <c r="AX47"/>
      <c r="AY47"/>
      <c r="AZ47"/>
      <c r="BA47"/>
      <c r="BB47"/>
      <c r="BC47"/>
      <c r="BD47"/>
      <c r="BE47"/>
      <c r="BF47"/>
      <c r="BL47"/>
      <c r="BM47"/>
      <c r="BN47"/>
      <c r="BO47"/>
      <c r="BP47"/>
    </row>
    <row r="48" spans="2:68">
      <c r="B48" s="208" t="s">
        <v>954</v>
      </c>
      <c r="C48" s="209">
        <v>1422.64287671233</v>
      </c>
      <c r="D48"/>
      <c r="E48"/>
      <c r="F48"/>
      <c r="G48"/>
      <c r="H48"/>
      <c r="I48"/>
      <c r="J48"/>
      <c r="K48" s="250"/>
      <c r="L48" s="139"/>
      <c r="AA48" s="139"/>
      <c r="AB48"/>
      <c r="AC48"/>
      <c r="AD48"/>
      <c r="AE48"/>
      <c r="AF48"/>
      <c r="AG48"/>
      <c r="AH48"/>
      <c r="AI48"/>
      <c r="AJ48"/>
      <c r="AL48"/>
      <c r="AM48"/>
      <c r="AN48"/>
      <c r="AO48"/>
      <c r="AP48"/>
      <c r="AQ48"/>
      <c r="AR48"/>
      <c r="AS48"/>
      <c r="AT48"/>
      <c r="AU48"/>
      <c r="AV48"/>
      <c r="AW48"/>
      <c r="AX48"/>
      <c r="AY48"/>
      <c r="AZ48"/>
      <c r="BA48"/>
      <c r="BB48"/>
      <c r="BC48"/>
      <c r="BD48"/>
      <c r="BE48"/>
      <c r="BF48"/>
      <c r="BL48"/>
      <c r="BM48"/>
      <c r="BN48"/>
      <c r="BO48"/>
      <c r="BP48"/>
    </row>
    <row r="49" spans="2:68">
      <c r="B49" s="210" t="s">
        <v>955</v>
      </c>
      <c r="C49" s="209">
        <v>1531.7</v>
      </c>
      <c r="D49"/>
      <c r="E49"/>
      <c r="F49"/>
      <c r="G49"/>
      <c r="H49"/>
      <c r="I49"/>
      <c r="J49"/>
      <c r="K49" s="137"/>
      <c r="L49" s="139"/>
      <c r="AA49" s="139"/>
      <c r="AB49"/>
      <c r="AC49"/>
      <c r="AD49"/>
      <c r="AE49"/>
      <c r="AF49"/>
      <c r="AG49"/>
      <c r="AH49"/>
      <c r="AI49"/>
      <c r="AJ49"/>
      <c r="AL49"/>
      <c r="AM49"/>
      <c r="AN49"/>
      <c r="AO49"/>
      <c r="AP49"/>
      <c r="AQ49"/>
      <c r="AR49"/>
      <c r="AS49"/>
      <c r="AT49"/>
      <c r="AU49"/>
      <c r="AV49"/>
      <c r="AW49"/>
      <c r="AX49"/>
      <c r="AY49"/>
      <c r="AZ49"/>
      <c r="BA49"/>
      <c r="BB49"/>
      <c r="BC49"/>
      <c r="BD49"/>
      <c r="BE49"/>
      <c r="BF49"/>
      <c r="BL49"/>
      <c r="BM49"/>
      <c r="BN49"/>
      <c r="BO49"/>
      <c r="BP49"/>
    </row>
    <row r="50" spans="2:68">
      <c r="B50" s="210" t="s">
        <v>956</v>
      </c>
      <c r="C50" s="209">
        <v>2258.5812</v>
      </c>
      <c r="D50"/>
      <c r="E50"/>
      <c r="F50"/>
      <c r="G50"/>
      <c r="H50"/>
      <c r="I50"/>
      <c r="J50"/>
      <c r="K50" s="137"/>
      <c r="L50" s="139"/>
      <c r="AA50" s="139"/>
      <c r="AB50"/>
      <c r="AC50"/>
      <c r="AD50"/>
      <c r="AE50"/>
      <c r="AF50"/>
      <c r="AG50"/>
      <c r="AH50"/>
      <c r="AI50"/>
      <c r="AJ50"/>
      <c r="AL50"/>
      <c r="AM50"/>
      <c r="AN50"/>
      <c r="AO50"/>
      <c r="AP50"/>
      <c r="AQ50"/>
      <c r="AR50"/>
      <c r="AS50"/>
      <c r="AT50"/>
      <c r="AU50"/>
      <c r="AV50"/>
      <c r="AW50"/>
      <c r="AX50"/>
      <c r="AY50"/>
      <c r="AZ50"/>
      <c r="BA50"/>
      <c r="BB50"/>
      <c r="BC50"/>
      <c r="BD50"/>
      <c r="BE50"/>
      <c r="BF50"/>
      <c r="BL50"/>
      <c r="BM50"/>
      <c r="BN50"/>
      <c r="BO50"/>
      <c r="BP50"/>
    </row>
    <row r="51" spans="2:68">
      <c r="B51" s="210" t="s">
        <v>957</v>
      </c>
      <c r="C51" s="209">
        <v>699.306</v>
      </c>
      <c r="D51"/>
      <c r="E51"/>
      <c r="F51"/>
      <c r="G51"/>
      <c r="H51"/>
      <c r="I51"/>
      <c r="J51"/>
      <c r="K51" s="137"/>
      <c r="L51" s="139"/>
      <c r="AA51" s="139"/>
      <c r="AB51"/>
      <c r="AC51"/>
      <c r="AD51"/>
      <c r="AE51"/>
      <c r="AF51"/>
      <c r="AG51"/>
      <c r="AH51"/>
      <c r="AI51"/>
      <c r="AJ51"/>
      <c r="AL51"/>
      <c r="AM51"/>
      <c r="AN51"/>
      <c r="AO51"/>
      <c r="AP51"/>
      <c r="AQ51"/>
      <c r="AR51"/>
      <c r="AS51"/>
      <c r="AT51"/>
      <c r="AU51"/>
      <c r="AV51"/>
      <c r="AW51"/>
      <c r="AX51"/>
      <c r="AY51"/>
      <c r="AZ51"/>
      <c r="BA51"/>
      <c r="BB51"/>
      <c r="BC51"/>
      <c r="BD51"/>
      <c r="BE51"/>
      <c r="BF51"/>
      <c r="BL51"/>
      <c r="BM51"/>
      <c r="BN51"/>
      <c r="BO51"/>
      <c r="BP51"/>
    </row>
    <row r="52" ht="18.15" spans="2:68">
      <c r="B52" s="210" t="s">
        <v>958</v>
      </c>
      <c r="C52" s="209">
        <v>688.29</v>
      </c>
      <c r="D52"/>
      <c r="E52"/>
      <c r="F52"/>
      <c r="G52"/>
      <c r="H52"/>
      <c r="I52"/>
      <c r="J52"/>
      <c r="K52" s="137"/>
      <c r="L52" s="139"/>
      <c r="AA52" s="139"/>
      <c r="AB52"/>
      <c r="AC52"/>
      <c r="AD52"/>
      <c r="AE52"/>
      <c r="AF52"/>
      <c r="AG52"/>
      <c r="AH52"/>
      <c r="AI52"/>
      <c r="AJ52"/>
      <c r="AL52"/>
      <c r="AM52"/>
      <c r="AN52"/>
      <c r="AO52"/>
      <c r="AP52"/>
      <c r="AQ52"/>
      <c r="AR52"/>
      <c r="AS52"/>
      <c r="AT52"/>
      <c r="AU52"/>
      <c r="AV52"/>
      <c r="AW52"/>
      <c r="AX52"/>
      <c r="AY52"/>
      <c r="AZ52"/>
      <c r="BA52"/>
      <c r="BB52"/>
      <c r="BC52"/>
      <c r="BD52"/>
      <c r="BE52"/>
      <c r="BF52"/>
      <c r="BL52"/>
      <c r="BM52"/>
      <c r="BN52"/>
      <c r="BO52"/>
      <c r="BP52"/>
    </row>
    <row r="53" ht="18.15" spans="2:68">
      <c r="B53" s="211" t="s">
        <v>959</v>
      </c>
      <c r="C53" s="212">
        <v>6600.52007671233</v>
      </c>
      <c r="D53"/>
      <c r="E53"/>
      <c r="F53"/>
      <c r="G53"/>
      <c r="H53"/>
      <c r="I53"/>
      <c r="J53"/>
      <c r="K53" s="137"/>
      <c r="L53" s="139"/>
      <c r="AA53" s="139"/>
      <c r="AB53"/>
      <c r="AC53"/>
      <c r="AD53"/>
      <c r="AE53"/>
      <c r="AF53"/>
      <c r="AG53"/>
      <c r="AH53"/>
      <c r="AI53"/>
      <c r="AJ53"/>
      <c r="AL53"/>
      <c r="AM53"/>
      <c r="AN53"/>
      <c r="AO53"/>
      <c r="AP53"/>
      <c r="AQ53"/>
      <c r="AR53"/>
      <c r="AS53"/>
      <c r="AT53"/>
      <c r="AU53"/>
      <c r="AV53"/>
      <c r="AW53"/>
      <c r="AX53"/>
      <c r="AY53"/>
      <c r="AZ53"/>
      <c r="BA53"/>
      <c r="BB53"/>
      <c r="BC53"/>
      <c r="BD53"/>
      <c r="BE53"/>
      <c r="BF53"/>
      <c r="BL53"/>
      <c r="BM53"/>
      <c r="BN53"/>
      <c r="BO53"/>
      <c r="BP53"/>
    </row>
    <row r="54" spans="2:68">
      <c r="B54" s="208" t="s">
        <v>960</v>
      </c>
      <c r="C54" s="213">
        <v>-4342.215855</v>
      </c>
      <c r="D54"/>
      <c r="E54"/>
      <c r="F54"/>
      <c r="G54"/>
      <c r="H54"/>
      <c r="I54"/>
      <c r="J54"/>
      <c r="K54" s="137"/>
      <c r="L54" s="139"/>
      <c r="AA54" s="139"/>
      <c r="AB54"/>
      <c r="AC54"/>
      <c r="AD54"/>
      <c r="AE54"/>
      <c r="AF54"/>
      <c r="AG54"/>
      <c r="AH54"/>
      <c r="AI54"/>
      <c r="AJ54"/>
      <c r="AL54"/>
      <c r="AM54"/>
      <c r="AN54"/>
      <c r="AO54"/>
      <c r="AP54"/>
      <c r="AQ54"/>
      <c r="AR54"/>
      <c r="AS54"/>
      <c r="AT54"/>
      <c r="AU54"/>
      <c r="AV54"/>
      <c r="AW54"/>
      <c r="AX54"/>
      <c r="AY54"/>
      <c r="AZ54"/>
      <c r="BA54"/>
      <c r="BB54"/>
      <c r="BC54"/>
      <c r="BD54"/>
      <c r="BE54"/>
      <c r="BF54"/>
      <c r="BL54"/>
      <c r="BM54"/>
      <c r="BN54"/>
      <c r="BO54"/>
      <c r="BP54"/>
    </row>
    <row r="55" spans="2:68">
      <c r="B55" s="214" t="s">
        <v>961</v>
      </c>
      <c r="C55" s="215">
        <v>-724.52</v>
      </c>
      <c r="D55"/>
      <c r="E55"/>
      <c r="F55"/>
      <c r="G55"/>
      <c r="H55"/>
      <c r="I55"/>
      <c r="J55"/>
      <c r="K55" s="137"/>
      <c r="L55" s="139"/>
      <c r="AA55" s="139"/>
      <c r="AB55"/>
      <c r="AC55"/>
      <c r="AD55"/>
      <c r="AE55"/>
      <c r="AF55"/>
      <c r="AG55"/>
      <c r="AH55"/>
      <c r="AI55"/>
      <c r="AJ55"/>
      <c r="AL55"/>
      <c r="AM55"/>
      <c r="AN55"/>
      <c r="AO55"/>
      <c r="AP55"/>
      <c r="AQ55"/>
      <c r="AR55"/>
      <c r="AS55"/>
      <c r="AT55"/>
      <c r="AU55"/>
      <c r="AV55"/>
      <c r="AW55"/>
      <c r="AX55"/>
      <c r="AY55"/>
      <c r="AZ55"/>
      <c r="BA55"/>
      <c r="BB55"/>
      <c r="BC55"/>
      <c r="BD55"/>
      <c r="BE55"/>
      <c r="BF55"/>
      <c r="BL55"/>
      <c r="BM55"/>
      <c r="BN55"/>
      <c r="BO55"/>
      <c r="BP55"/>
    </row>
    <row r="56" ht="18" customHeight="1" spans="2:68">
      <c r="B56" s="214" t="s">
        <v>962</v>
      </c>
      <c r="C56" s="215">
        <v>-588.79</v>
      </c>
      <c r="D56" s="216"/>
      <c r="E56"/>
      <c r="F56"/>
      <c r="G56"/>
      <c r="H56"/>
      <c r="I56"/>
      <c r="J56"/>
      <c r="K56" s="137"/>
      <c r="L56" s="139"/>
      <c r="AA56" s="139"/>
      <c r="AB56"/>
      <c r="AC56"/>
      <c r="AD56"/>
      <c r="AE56"/>
      <c r="AF56"/>
      <c r="AG56"/>
      <c r="AH56"/>
      <c r="AI56"/>
      <c r="AJ56"/>
      <c r="AL56"/>
      <c r="AM56"/>
      <c r="AN56"/>
      <c r="AO56"/>
      <c r="AP56"/>
      <c r="AQ56"/>
      <c r="AR56"/>
      <c r="AS56"/>
      <c r="AT56"/>
      <c r="AU56"/>
      <c r="AV56"/>
      <c r="AW56"/>
      <c r="AX56"/>
      <c r="AY56"/>
      <c r="AZ56"/>
      <c r="BA56"/>
      <c r="BB56"/>
      <c r="BC56"/>
      <c r="BD56"/>
      <c r="BE56"/>
      <c r="BF56"/>
      <c r="BK56" s="220"/>
      <c r="BL56"/>
      <c r="BM56"/>
      <c r="BN56"/>
      <c r="BO56"/>
      <c r="BP56"/>
    </row>
    <row r="57" ht="18" customHeight="1" spans="2:68">
      <c r="B57" s="217" t="s">
        <v>963</v>
      </c>
      <c r="C57" s="218">
        <v>-866.332876712328</v>
      </c>
      <c r="D57"/>
      <c r="E57"/>
      <c r="F57"/>
      <c r="G57"/>
      <c r="H57"/>
      <c r="I57"/>
      <c r="J57"/>
      <c r="K57" s="248"/>
      <c r="L57" s="139"/>
      <c r="AA57" s="139"/>
      <c r="AB57"/>
      <c r="AC57"/>
      <c r="AD57"/>
      <c r="AE57"/>
      <c r="AF57"/>
      <c r="AG57"/>
      <c r="AH57"/>
      <c r="AI57"/>
      <c r="AJ57"/>
      <c r="AL57"/>
      <c r="AM57"/>
      <c r="AN57"/>
      <c r="AO57"/>
      <c r="AP57"/>
      <c r="AQ57"/>
      <c r="AR57"/>
      <c r="AS57"/>
      <c r="AT57"/>
      <c r="AU57"/>
      <c r="AV57"/>
      <c r="AW57"/>
      <c r="AX57"/>
      <c r="AY57"/>
      <c r="AZ57"/>
      <c r="BA57"/>
      <c r="BB57"/>
      <c r="BC57"/>
      <c r="BD57"/>
      <c r="BE57"/>
      <c r="BF57"/>
      <c r="BK57" s="220"/>
      <c r="BL57"/>
      <c r="BM57"/>
      <c r="BN57"/>
      <c r="BO57"/>
      <c r="BP57"/>
    </row>
    <row r="58" ht="18" customHeight="1" spans="2:68">
      <c r="B58" s="211" t="s">
        <v>964</v>
      </c>
      <c r="C58" s="212">
        <v>-6521.85873171233</v>
      </c>
      <c r="D58"/>
      <c r="E58"/>
      <c r="F58"/>
      <c r="G58"/>
      <c r="H58"/>
      <c r="I58"/>
      <c r="J58"/>
      <c r="K58" s="248"/>
      <c r="L58" s="139"/>
      <c r="AA58" s="139"/>
      <c r="AB58"/>
      <c r="AC58"/>
      <c r="AD58"/>
      <c r="AE58"/>
      <c r="AF58"/>
      <c r="AG58"/>
      <c r="AH58"/>
      <c r="AI58"/>
      <c r="AJ58"/>
      <c r="AK58" s="307"/>
      <c r="AL58"/>
      <c r="AM58"/>
      <c r="AN58"/>
      <c r="AO58"/>
      <c r="AP58"/>
      <c r="AQ58"/>
      <c r="AR58"/>
      <c r="AS58"/>
      <c r="AT58"/>
      <c r="AU58"/>
      <c r="AV58"/>
      <c r="AW58"/>
      <c r="AX58"/>
      <c r="AY58"/>
      <c r="AZ58"/>
      <c r="BA58"/>
      <c r="BB58"/>
      <c r="BC58"/>
      <c r="BD58"/>
      <c r="BE58"/>
      <c r="BF58"/>
      <c r="BK58" s="220"/>
      <c r="BL58"/>
      <c r="BM58"/>
      <c r="BN58"/>
      <c r="BO58"/>
      <c r="BP58"/>
    </row>
    <row r="59" ht="18" customHeight="1" spans="2:68">
      <c r="B59" s="211" t="s">
        <v>965</v>
      </c>
      <c r="C59" s="212">
        <v>77.8399999999997</v>
      </c>
      <c r="D59"/>
      <c r="E59"/>
      <c r="F59"/>
      <c r="G59"/>
      <c r="H59"/>
      <c r="I59"/>
      <c r="J59"/>
      <c r="K59" s="248"/>
      <c r="L59" s="139"/>
      <c r="AA59" s="139"/>
      <c r="AB59"/>
      <c r="AC59"/>
      <c r="AD59"/>
      <c r="AE59"/>
      <c r="AF59"/>
      <c r="AG59"/>
      <c r="AH59"/>
      <c r="AI59"/>
      <c r="AJ59"/>
      <c r="AK59" s="307"/>
      <c r="AL59"/>
      <c r="AM59"/>
      <c r="AN59"/>
      <c r="AO59"/>
      <c r="AP59"/>
      <c r="AQ59"/>
      <c r="AR59"/>
      <c r="AS59"/>
      <c r="AT59"/>
      <c r="AU59"/>
      <c r="AV59"/>
      <c r="AW59"/>
      <c r="AX59"/>
      <c r="AY59"/>
      <c r="AZ59"/>
      <c r="BA59"/>
      <c r="BB59"/>
      <c r="BC59"/>
      <c r="BD59"/>
      <c r="BE59"/>
      <c r="BF59"/>
      <c r="BK59" s="220"/>
      <c r="BL59"/>
      <c r="BM59"/>
      <c r="BN59"/>
      <c r="BO59"/>
      <c r="BP59"/>
    </row>
    <row r="60" ht="18" customHeight="1" spans="2:68">
      <c r="B60" s="208" t="s">
        <v>966</v>
      </c>
      <c r="C60" s="213">
        <v>0.821344999999837</v>
      </c>
      <c r="D60"/>
      <c r="E60"/>
      <c r="F60"/>
      <c r="G60"/>
      <c r="H60"/>
      <c r="I60"/>
      <c r="J60"/>
      <c r="K60" s="249"/>
      <c r="L60" s="139"/>
      <c r="AA60" s="139"/>
      <c r="AB60"/>
      <c r="AC60"/>
      <c r="AD60"/>
      <c r="AE60"/>
      <c r="AF60"/>
      <c r="AG60"/>
      <c r="AH60"/>
      <c r="AI60"/>
      <c r="AJ60"/>
      <c r="AK60" s="308"/>
      <c r="AL60"/>
      <c r="AM60"/>
      <c r="AN60"/>
      <c r="AO60"/>
      <c r="AP60"/>
      <c r="AQ60"/>
      <c r="AR60"/>
      <c r="AS60"/>
      <c r="AT60"/>
      <c r="AU60"/>
      <c r="AV60"/>
      <c r="AW60"/>
      <c r="AX60"/>
      <c r="AY60"/>
      <c r="AZ60"/>
      <c r="BA60"/>
      <c r="BB60"/>
      <c r="BC60"/>
      <c r="BD60"/>
      <c r="BE60"/>
      <c r="BF60"/>
      <c r="BK60" s="220"/>
      <c r="BL60"/>
      <c r="BM60"/>
      <c r="BN60"/>
      <c r="BO60"/>
      <c r="BP60"/>
    </row>
    <row r="61" ht="18" customHeight="1" spans="2:68">
      <c r="B61" s="217" t="s">
        <v>967</v>
      </c>
      <c r="C61" s="219">
        <v>0.000124436406594334</v>
      </c>
      <c r="D61"/>
      <c r="E61"/>
      <c r="F61"/>
      <c r="G61"/>
      <c r="H61"/>
      <c r="I61"/>
      <c r="J61"/>
      <c r="K61" s="250"/>
      <c r="L61" s="139"/>
      <c r="AA61" s="139"/>
      <c r="AB61"/>
      <c r="AC61"/>
      <c r="AD61"/>
      <c r="AE61"/>
      <c r="AF61"/>
      <c r="AG61"/>
      <c r="AH61"/>
      <c r="AI61"/>
      <c r="AJ61"/>
      <c r="AK61" s="309"/>
      <c r="AL61"/>
      <c r="AM61"/>
      <c r="AN61"/>
      <c r="AO61"/>
      <c r="AP61"/>
      <c r="AQ61"/>
      <c r="AR61"/>
      <c r="AS61"/>
      <c r="AT61"/>
      <c r="AU61"/>
      <c r="AV61"/>
      <c r="AW61"/>
      <c r="AX61"/>
      <c r="AY61"/>
      <c r="AZ61"/>
      <c r="BA61"/>
      <c r="BB61"/>
      <c r="BC61"/>
      <c r="BD61"/>
      <c r="BE61"/>
      <c r="BF61"/>
      <c r="BK61" s="220"/>
      <c r="BL61"/>
      <c r="BM61"/>
      <c r="BN61"/>
      <c r="BO61"/>
      <c r="BP61"/>
    </row>
    <row r="62" ht="18" customHeight="1" spans="2:68">
      <c r="B62"/>
      <c r="D62" s="220"/>
      <c r="F62" s="221"/>
      <c r="G62" s="221"/>
      <c r="H62"/>
      <c r="I62"/>
      <c r="J62"/>
      <c r="K62"/>
      <c r="L62" s="139"/>
      <c r="O62" s="221"/>
      <c r="AA62" s="139"/>
      <c r="AB62"/>
      <c r="AC62"/>
      <c r="AD62"/>
      <c r="AE62"/>
      <c r="AF62"/>
      <c r="AG62"/>
      <c r="AH62"/>
      <c r="AI62"/>
      <c r="AJ62"/>
      <c r="AK62" s="309"/>
      <c r="AL62"/>
      <c r="AM62"/>
      <c r="AN62"/>
      <c r="AO62"/>
      <c r="AP62"/>
      <c r="AQ62"/>
      <c r="AR62"/>
      <c r="AS62"/>
      <c r="AT62"/>
      <c r="AU62"/>
      <c r="AV62"/>
      <c r="AW62"/>
      <c r="AX62"/>
      <c r="AY62"/>
      <c r="AZ62"/>
      <c r="BA62"/>
      <c r="BB62"/>
      <c r="BC62"/>
      <c r="BD62"/>
      <c r="BE62"/>
      <c r="BF62"/>
      <c r="BK62" s="220"/>
      <c r="BL62"/>
      <c r="BM62"/>
      <c r="BN62"/>
      <c r="BO62"/>
      <c r="BP62"/>
    </row>
    <row r="63" ht="37.95" customHeight="1" spans="2:68">
      <c r="B63"/>
      <c r="C63"/>
      <c r="D63"/>
      <c r="E63"/>
      <c r="F63"/>
      <c r="G63"/>
      <c r="H63"/>
      <c r="I63"/>
      <c r="K63" s="220"/>
      <c r="O63" s="221"/>
      <c r="AA63" s="221"/>
      <c r="AB63"/>
      <c r="AC63"/>
      <c r="AD63"/>
      <c r="AE63"/>
      <c r="AF63"/>
      <c r="AG63"/>
      <c r="AH63"/>
      <c r="AI63"/>
      <c r="AJ63"/>
      <c r="AK63" s="309"/>
      <c r="AL63"/>
      <c r="AM63"/>
      <c r="AN63"/>
      <c r="AO63"/>
      <c r="AP63"/>
      <c r="AQ63"/>
      <c r="AR63"/>
      <c r="AS63"/>
      <c r="AT63"/>
      <c r="AU63"/>
      <c r="AV63"/>
      <c r="AW63"/>
      <c r="AX63"/>
      <c r="AY63"/>
      <c r="AZ63"/>
      <c r="BA63"/>
      <c r="BB63"/>
      <c r="BC63"/>
      <c r="BD63"/>
      <c r="BE63"/>
      <c r="BF63"/>
      <c r="BK63" s="220"/>
      <c r="BL63"/>
      <c r="BM63"/>
      <c r="BN63"/>
      <c r="BO63"/>
      <c r="BP63"/>
    </row>
    <row r="64" spans="2:68">
      <c r="B64"/>
      <c r="C64"/>
      <c r="D64"/>
      <c r="E64"/>
      <c r="F64"/>
      <c r="G64"/>
      <c r="H64"/>
      <c r="I64"/>
      <c r="K64" s="251"/>
      <c r="M64" s="251"/>
      <c r="N64" s="221"/>
      <c r="O64" s="221"/>
      <c r="P64"/>
      <c r="Q64"/>
      <c r="R64"/>
      <c r="S64"/>
      <c r="T64"/>
      <c r="U64"/>
      <c r="V64"/>
      <c r="W64"/>
      <c r="Y64" s="220"/>
      <c r="Z64" s="137"/>
      <c r="AA64" s="221"/>
      <c r="AB64"/>
      <c r="AC64"/>
      <c r="AD64"/>
      <c r="AE64"/>
      <c r="AF64"/>
      <c r="AG64"/>
      <c r="AH64"/>
      <c r="AI64"/>
      <c r="AJ64"/>
      <c r="AK64" s="309"/>
      <c r="AL64"/>
      <c r="AM64"/>
      <c r="AN64"/>
      <c r="AO64"/>
      <c r="AP64"/>
      <c r="AQ64"/>
      <c r="AR64"/>
      <c r="AS64"/>
      <c r="AT64"/>
      <c r="AU64"/>
      <c r="AV64"/>
      <c r="AW64"/>
      <c r="AX64"/>
      <c r="AY64"/>
      <c r="AZ64"/>
      <c r="BA64"/>
      <c r="BB64"/>
      <c r="BC64"/>
      <c r="BD64"/>
      <c r="BE64"/>
      <c r="BF64"/>
      <c r="BL64"/>
      <c r="BM64"/>
      <c r="BN64"/>
      <c r="BO64"/>
      <c r="BP64"/>
    </row>
    <row r="65" spans="2:68">
      <c r="B65"/>
      <c r="C65"/>
      <c r="D65"/>
      <c r="E65"/>
      <c r="F65"/>
      <c r="G65"/>
      <c r="H65"/>
      <c r="I65"/>
      <c r="K65" s="251"/>
      <c r="M65" s="251"/>
      <c r="N65" s="221"/>
      <c r="O65" s="221"/>
      <c r="P65"/>
      <c r="Q65"/>
      <c r="R65"/>
      <c r="S65"/>
      <c r="T65"/>
      <c r="U65"/>
      <c r="V65"/>
      <c r="W65"/>
      <c r="X65"/>
      <c r="Y65"/>
      <c r="Z65"/>
      <c r="AA65"/>
      <c r="AB65"/>
      <c r="AC65"/>
      <c r="AD65"/>
      <c r="AE65"/>
      <c r="AF65"/>
      <c r="AG65"/>
      <c r="AH65"/>
      <c r="AI65"/>
      <c r="AJ65"/>
      <c r="AK65" s="309"/>
      <c r="AL65"/>
      <c r="AM65"/>
      <c r="AN65"/>
      <c r="AO65"/>
      <c r="AP65"/>
      <c r="AQ65"/>
      <c r="AR65"/>
      <c r="AS65"/>
      <c r="AT65"/>
      <c r="AU65"/>
      <c r="AV65"/>
      <c r="AW65"/>
      <c r="AX65"/>
      <c r="AY65"/>
      <c r="AZ65"/>
      <c r="BA65"/>
      <c r="BB65"/>
      <c r="BC65"/>
      <c r="BD65"/>
      <c r="BE65"/>
      <c r="BF65"/>
      <c r="BL65"/>
      <c r="BM65"/>
      <c r="BN65"/>
      <c r="BO65"/>
      <c r="BP65"/>
    </row>
    <row r="66" spans="2:68">
      <c r="B66"/>
      <c r="C66"/>
      <c r="D66"/>
      <c r="E66"/>
      <c r="F66"/>
      <c r="G66"/>
      <c r="H66"/>
      <c r="I66"/>
      <c r="K66" s="251"/>
      <c r="M66" s="251"/>
      <c r="N66" s="221"/>
      <c r="O66" s="221"/>
      <c r="P66"/>
      <c r="Q66"/>
      <c r="R66"/>
      <c r="S66"/>
      <c r="T66"/>
      <c r="U66"/>
      <c r="V66"/>
      <c r="W66"/>
      <c r="X66"/>
      <c r="Y66"/>
      <c r="Z66"/>
      <c r="AA66"/>
      <c r="AB66"/>
      <c r="AC66"/>
      <c r="AD66"/>
      <c r="AE66"/>
      <c r="AF66"/>
      <c r="AG66"/>
      <c r="AH66"/>
      <c r="AI66"/>
      <c r="AJ66"/>
      <c r="AK66" s="309"/>
      <c r="AL66"/>
      <c r="AM66"/>
      <c r="AN66"/>
      <c r="AO66"/>
      <c r="AP66"/>
      <c r="AQ66"/>
      <c r="AR66"/>
      <c r="AS66"/>
      <c r="AT66"/>
      <c r="AU66"/>
      <c r="AV66"/>
      <c r="AW66"/>
      <c r="AX66"/>
      <c r="AY66"/>
      <c r="AZ66"/>
      <c r="BA66"/>
      <c r="BB66"/>
      <c r="BC66"/>
      <c r="BD66"/>
      <c r="BE66"/>
      <c r="BF66"/>
      <c r="BL66"/>
      <c r="BM66"/>
      <c r="BN66"/>
      <c r="BO66"/>
      <c r="BP66"/>
    </row>
    <row r="67" spans="2:68">
      <c r="B67"/>
      <c r="C67"/>
      <c r="D67"/>
      <c r="E67"/>
      <c r="F67"/>
      <c r="G67"/>
      <c r="H67"/>
      <c r="I67"/>
      <c r="K67" s="137"/>
      <c r="M67" s="137"/>
      <c r="P67"/>
      <c r="Q67"/>
      <c r="R67"/>
      <c r="S67"/>
      <c r="T67"/>
      <c r="U67"/>
      <c r="V67"/>
      <c r="W67"/>
      <c r="X67"/>
      <c r="Y67"/>
      <c r="Z67"/>
      <c r="AA67"/>
      <c r="AB67"/>
      <c r="AC67"/>
      <c r="AD67"/>
      <c r="AE67"/>
      <c r="AF67"/>
      <c r="AG67"/>
      <c r="AH67"/>
      <c r="AI67"/>
      <c r="AJ67"/>
      <c r="AL67"/>
      <c r="AM67"/>
      <c r="AN67"/>
      <c r="AO67"/>
      <c r="AP67"/>
      <c r="AQ67"/>
      <c r="AR67"/>
      <c r="AS67"/>
      <c r="AT67"/>
      <c r="AU67"/>
      <c r="AV67"/>
      <c r="AW67"/>
      <c r="AX67"/>
      <c r="AY67"/>
      <c r="AZ67"/>
      <c r="BA67"/>
      <c r="BB67"/>
      <c r="BC67"/>
      <c r="BD67"/>
      <c r="BE67"/>
      <c r="BF67"/>
      <c r="BL67"/>
      <c r="BM67"/>
      <c r="BN67"/>
      <c r="BO67"/>
      <c r="BP67"/>
    </row>
    <row r="68" spans="2:68">
      <c r="B68"/>
      <c r="C68"/>
      <c r="D68"/>
      <c r="E68"/>
      <c r="F68"/>
      <c r="G68"/>
      <c r="H68"/>
      <c r="I68"/>
      <c r="K68" s="137"/>
      <c r="M68" s="137"/>
      <c r="P68"/>
      <c r="Q68"/>
      <c r="R68"/>
      <c r="S68"/>
      <c r="T68"/>
      <c r="U68"/>
      <c r="V68"/>
      <c r="W68"/>
      <c r="X68"/>
      <c r="Y68"/>
      <c r="Z68"/>
      <c r="AA68"/>
      <c r="AB68"/>
      <c r="AC68"/>
      <c r="AD68"/>
      <c r="AE68"/>
      <c r="AF68"/>
      <c r="AG68"/>
      <c r="AH68"/>
      <c r="AI68"/>
      <c r="AJ68"/>
      <c r="AL68"/>
      <c r="AM68"/>
      <c r="AN68"/>
      <c r="AO68"/>
      <c r="AP68"/>
      <c r="AQ68"/>
      <c r="AR68"/>
      <c r="AS68"/>
      <c r="AT68"/>
      <c r="AU68"/>
      <c r="AV68"/>
      <c r="AW68"/>
      <c r="AX68"/>
      <c r="AY68"/>
      <c r="AZ68"/>
      <c r="BA68"/>
      <c r="BB68"/>
      <c r="BC68"/>
      <c r="BD68"/>
      <c r="BE68"/>
      <c r="BF68"/>
      <c r="BG68" s="390"/>
      <c r="BH68" s="390"/>
      <c r="BI68" s="390"/>
      <c r="BJ68" s="390"/>
      <c r="BL68"/>
      <c r="BM68"/>
      <c r="BN68"/>
      <c r="BO68"/>
      <c r="BP68"/>
    </row>
    <row r="69" spans="2:68">
      <c r="B69"/>
      <c r="C69"/>
      <c r="D69"/>
      <c r="E69"/>
      <c r="F69"/>
      <c r="G69"/>
      <c r="H69"/>
      <c r="I69"/>
      <c r="K69" s="137"/>
      <c r="M69" s="137"/>
      <c r="U69" s="390"/>
      <c r="V69" s="390"/>
      <c r="W69" s="390"/>
      <c r="X69" s="390"/>
      <c r="Y69" s="139"/>
      <c r="Z69" s="139"/>
      <c r="AA69" s="139"/>
      <c r="AB69" s="139"/>
      <c r="AC69" s="139"/>
      <c r="AD69" s="139"/>
      <c r="AH69" s="139"/>
      <c r="AI69" s="139"/>
      <c r="AJ69" s="139"/>
      <c r="AL69" s="139"/>
      <c r="AM69" s="139"/>
      <c r="AN69" s="139"/>
      <c r="AO69" s="139"/>
      <c r="AP69" s="390"/>
      <c r="AQ69" s="390"/>
      <c r="AR69" s="390"/>
      <c r="AS69" s="390"/>
      <c r="AT69" s="390"/>
      <c r="AU69" s="390"/>
      <c r="AV69" s="390"/>
      <c r="AW69" s="390"/>
      <c r="AX69" s="390"/>
      <c r="AY69" s="390"/>
      <c r="AZ69" s="390"/>
      <c r="BA69" s="390"/>
      <c r="BB69" s="390"/>
      <c r="BC69" s="390"/>
      <c r="BD69" s="390"/>
      <c r="BE69" s="390"/>
      <c r="BF69" s="390"/>
      <c r="BG69" s="390"/>
      <c r="BH69" s="390"/>
      <c r="BI69" s="390"/>
      <c r="BJ69" s="390"/>
      <c r="BL69"/>
      <c r="BM69"/>
      <c r="BN69"/>
      <c r="BO69"/>
      <c r="BP69"/>
    </row>
    <row r="70" ht="13.8" spans="1:72">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T70"/>
    </row>
    <row r="71" ht="13.8" spans="1:72">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T71"/>
    </row>
    <row r="72" ht="13.8" spans="1:72">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T72"/>
    </row>
    <row r="73" ht="13.8" spans="1:72">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T73"/>
    </row>
    <row r="74" ht="13.8" spans="1:72">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T74"/>
    </row>
    <row r="75" ht="13.8" spans="1:72">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T75"/>
    </row>
    <row r="76" ht="13.8" spans="1:72">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T76"/>
    </row>
    <row r="77" ht="13.8" spans="1:72">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T77"/>
    </row>
    <row r="78" ht="13.8" spans="1:72">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T78"/>
    </row>
    <row r="79" ht="13.8" spans="1:72">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T79"/>
    </row>
    <row r="80" ht="13.8" spans="1:72">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T80"/>
    </row>
    <row r="81" ht="13.8" spans="1:72">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T81"/>
    </row>
    <row r="82" ht="13.8" spans="1:72">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T82"/>
    </row>
    <row r="83" spans="2:41">
      <c r="B83"/>
      <c r="C83"/>
      <c r="D83"/>
      <c r="E83"/>
      <c r="F83"/>
      <c r="G83"/>
      <c r="H83"/>
      <c r="I83"/>
      <c r="K83" s="137"/>
      <c r="M83" s="137"/>
      <c r="Y83" s="139"/>
      <c r="Z83" s="139"/>
      <c r="AA83" s="139"/>
      <c r="AB83" s="139"/>
      <c r="AC83" s="139"/>
      <c r="AD83" s="139"/>
      <c r="AH83" s="139"/>
      <c r="AI83" s="139"/>
      <c r="AJ83" s="139"/>
      <c r="AL83" s="139"/>
      <c r="AM83" s="139"/>
      <c r="AN83" s="139"/>
      <c r="AO83" s="139"/>
    </row>
    <row r="84" spans="2:41">
      <c r="B84"/>
      <c r="C84"/>
      <c r="D84"/>
      <c r="E84"/>
      <c r="F84"/>
      <c r="G84"/>
      <c r="H84"/>
      <c r="I84"/>
      <c r="K84" s="137"/>
      <c r="M84" s="137"/>
      <c r="Y84" s="139"/>
      <c r="Z84" s="139"/>
      <c r="AA84" s="139"/>
      <c r="AB84" s="139"/>
      <c r="AC84" s="139"/>
      <c r="AD84" s="139"/>
      <c r="AH84" s="139"/>
      <c r="AI84" s="139"/>
      <c r="AJ84" s="139"/>
      <c r="AL84" s="139"/>
      <c r="AM84" s="139"/>
      <c r="AN84" s="139"/>
      <c r="AO84" s="139"/>
    </row>
    <row r="85" spans="2:41">
      <c r="B85"/>
      <c r="C85"/>
      <c r="D85"/>
      <c r="E85"/>
      <c r="F85"/>
      <c r="G85"/>
      <c r="H85"/>
      <c r="I85"/>
      <c r="K85" s="137"/>
      <c r="M85" s="137"/>
      <c r="Y85" s="139"/>
      <c r="Z85" s="139"/>
      <c r="AA85" s="139"/>
      <c r="AB85" s="139"/>
      <c r="AC85" s="139"/>
      <c r="AD85" s="139"/>
      <c r="AH85" s="139"/>
      <c r="AI85" s="139"/>
      <c r="AJ85" s="139"/>
      <c r="AL85" s="139"/>
      <c r="AM85" s="139"/>
      <c r="AN85" s="139"/>
      <c r="AO85" s="139"/>
    </row>
    <row r="86" spans="1:72">
      <c r="A86" s="173"/>
      <c r="B86"/>
      <c r="C86"/>
      <c r="D86"/>
      <c r="E86"/>
      <c r="F86"/>
      <c r="G86"/>
      <c r="H86"/>
      <c r="I86"/>
      <c r="N86" s="251"/>
      <c r="O86" s="251"/>
      <c r="P86" s="389"/>
      <c r="Q86" s="389"/>
      <c r="R86" s="391"/>
      <c r="S86" s="391"/>
      <c r="AK86" s="251"/>
      <c r="BT86" s="173"/>
    </row>
    <row r="87" spans="2:37">
      <c r="B87"/>
      <c r="C87"/>
      <c r="D87"/>
      <c r="E87"/>
      <c r="F87"/>
      <c r="G87"/>
      <c r="H87"/>
      <c r="I87"/>
      <c r="N87" s="251"/>
      <c r="O87" s="251"/>
      <c r="P87" s="251"/>
      <c r="Q87" s="251"/>
      <c r="R87" s="391"/>
      <c r="S87" s="391"/>
      <c r="AK87" s="251"/>
    </row>
    <row r="88" spans="6:37">
      <c r="F88"/>
      <c r="G88"/>
      <c r="N88" s="251"/>
      <c r="O88" s="251"/>
      <c r="P88" s="389"/>
      <c r="Q88" s="389"/>
      <c r="R88" s="391"/>
      <c r="S88" s="391"/>
      <c r="AK88" s="251"/>
    </row>
    <row r="89" spans="14:37">
      <c r="N89" s="251"/>
      <c r="O89" s="251"/>
      <c r="P89" s="251"/>
      <c r="Q89" s="251"/>
      <c r="R89" s="391"/>
      <c r="S89" s="391"/>
      <c r="AK89" s="251"/>
    </row>
  </sheetData>
  <mergeCells count="3">
    <mergeCell ref="R3:AD3"/>
    <mergeCell ref="AE3:AI3"/>
    <mergeCell ref="AJ3:AO3"/>
  </mergeCells>
  <conditionalFormatting sqref="Q4:AO5 AR5:AU23 Q6:AP23 A1:B2 O1:BS2 BT1:XFD20 F2:H2 J2 F3:R3 AE3 AJ3 AP3:BS3 A3:E23 AR4:BS4 J4:N23 AP5:AQ5 AV5:BS5 BN6:BS20 BB6:BM21 AV6:BA23 AQ6:AQ26 BN21:XFD21 BB22:XFD23 AG24:AP26 AR24:XFD26 C24:E27 A24:B29 F24:N29 Q24:AF29 AG27:XFD30 A30:AF30 T32:AF32 AL32:AN32 AQ32:BC32 BG32:BS33 AG32:AK36 A32:A40 A45:A87 K39:K40 K45:K61 BT32:XFD40 BT45:XFD1048576 AK37:AK40 AK45:AK68 BG37:BS40 BG45:BS46 J33:K33 AL33:BC33 L33:L35 AA33:AF36 G34:K35 AL34:BS36 G36:L36 G37:K37 F89:G1048576 H88:M1048576 A88:E1048576 AX71:BS1048576 N69:AW1048576 AX69:BK70 J64:M87 N64:O68 X64:AA64 AA63 J63:L63 O62:O63 C62:G62 BQ47:BS70 BG47:BK68">
    <cfRule type="cellIs" dxfId="36" priority="3" operator="lessThan">
      <formula>0</formula>
    </cfRule>
  </conditionalFormatting>
  <conditionalFormatting sqref="AL5:AL23 AR5:AR23">
    <cfRule type="expression" dxfId="125" priority="2" stopIfTrue="1">
      <formula>$AR5=0</formula>
    </cfRule>
  </conditionalFormatting>
  <conditionalFormatting sqref="A41:A44 BT41:XFD44 K41:K44 BG41:BS44 AK41:AK44">
    <cfRule type="cellIs" dxfId="36" priority="1" operator="lessThan">
      <formula>0</formula>
    </cfRule>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973</v>
      </c>
    </row>
    <row r="7" ht="18" customHeight="1" spans="1:5">
      <c r="A7" t="s">
        <v>974</v>
      </c>
      <c r="B7" s="8" t="s">
        <v>975</v>
      </c>
      <c r="C7" s="3"/>
      <c r="D7" s="3"/>
      <c r="E7" s="12" t="s">
        <v>52</v>
      </c>
    </row>
    <row r="8" ht="18" customHeight="1" spans="1:5">
      <c r="A8" s="13" t="s">
        <v>976</v>
      </c>
      <c r="B8" s="8" t="s">
        <v>977</v>
      </c>
      <c r="C8" s="3"/>
      <c r="D8" s="3"/>
      <c r="E8">
        <v>1</v>
      </c>
    </row>
    <row r="9" ht="18" customHeight="1" spans="1:5">
      <c r="A9" s="14"/>
      <c r="B9" s="8" t="s">
        <v>978</v>
      </c>
      <c r="C9" s="15"/>
      <c r="D9" s="15"/>
      <c r="E9" s="16">
        <v>50003397</v>
      </c>
    </row>
    <row r="10" spans="1:5">
      <c r="A10" s="17" t="s">
        <v>979</v>
      </c>
      <c r="B10" s="8" t="s">
        <v>980</v>
      </c>
      <c r="C10" s="15"/>
      <c r="D10" s="15"/>
      <c r="E10" s="18">
        <v>42</v>
      </c>
    </row>
    <row r="11" ht="15" customHeight="1" spans="1:5">
      <c r="A11" s="19" t="s">
        <v>387</v>
      </c>
      <c r="B11" s="20" t="s">
        <v>981</v>
      </c>
      <c r="C11" s="3"/>
      <c r="D11" s="3"/>
      <c r="E11" s="21">
        <v>0.042</v>
      </c>
    </row>
    <row r="12" ht="15" customHeight="1" spans="1:5">
      <c r="A12" t="s">
        <v>388</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1008</v>
      </c>
      <c r="C23" s="35">
        <v>90</v>
      </c>
      <c r="D23" s="35" t="s">
        <v>1003</v>
      </c>
      <c r="E23" s="36" t="s">
        <v>1009</v>
      </c>
    </row>
    <row r="24" ht="30" customHeight="1" spans="1:5">
      <c r="A24" s="39" t="s">
        <v>1010</v>
      </c>
      <c r="B24" s="34" t="s">
        <v>1011</v>
      </c>
      <c r="C24" s="35">
        <v>90</v>
      </c>
      <c r="D24" s="35" t="s">
        <v>1003</v>
      </c>
      <c r="E24" s="36" t="s">
        <v>1012</v>
      </c>
    </row>
    <row r="25" ht="30" customHeight="1" spans="1:5">
      <c r="A25" s="40" t="s">
        <v>1013</v>
      </c>
      <c r="B25" s="41" t="s">
        <v>1014</v>
      </c>
      <c r="C25" s="42">
        <v>90</v>
      </c>
      <c r="D25" s="42" t="s">
        <v>1003</v>
      </c>
      <c r="E25" s="43" t="s">
        <v>1015</v>
      </c>
    </row>
    <row r="26" ht="30" customHeight="1" spans="1:5">
      <c r="A26" s="44" t="s">
        <v>1016</v>
      </c>
      <c r="B26" s="45"/>
      <c r="C26" s="46"/>
      <c r="D26" s="46"/>
      <c r="E26" s="47"/>
    </row>
    <row r="27" ht="30" customHeight="1" spans="1:5">
      <c r="A27" s="39" t="s">
        <v>1017</v>
      </c>
      <c r="B27" s="34" t="s">
        <v>1002</v>
      </c>
      <c r="C27" s="35">
        <v>29.274</v>
      </c>
      <c r="D27" s="35" t="s">
        <v>1018</v>
      </c>
      <c r="E27" s="36" t="s">
        <v>1019</v>
      </c>
    </row>
    <row r="28" ht="30" customHeight="1" spans="1:7">
      <c r="A28" s="39" t="s">
        <v>1020</v>
      </c>
      <c r="B28" s="34" t="s">
        <v>1021</v>
      </c>
      <c r="C28" s="35">
        <v>51.6346</v>
      </c>
      <c r="D28" s="35" t="s">
        <v>1018</v>
      </c>
      <c r="E28" s="36" t="s">
        <v>1022</v>
      </c>
      <c r="G28" s="48"/>
    </row>
    <row r="29" ht="30" customHeight="1" spans="1:7">
      <c r="A29" s="39" t="s">
        <v>1023</v>
      </c>
      <c r="B29" s="34" t="s">
        <v>1002</v>
      </c>
      <c r="C29" s="35">
        <v>90.3226</v>
      </c>
      <c r="D29" s="35" t="s">
        <v>1018</v>
      </c>
      <c r="E29" s="36" t="s">
        <v>1024</v>
      </c>
      <c r="G29" s="48"/>
    </row>
    <row r="30" ht="30" customHeight="1" spans="1:5">
      <c r="A30" s="39" t="s">
        <v>1025</v>
      </c>
      <c r="B30" s="34" t="s">
        <v>1021</v>
      </c>
      <c r="C30" s="35">
        <v>103.936</v>
      </c>
      <c r="D30" s="35" t="s">
        <v>1018</v>
      </c>
      <c r="E30" s="36" t="s">
        <v>1026</v>
      </c>
    </row>
    <row r="31" ht="30" customHeight="1" spans="1:5">
      <c r="A31" s="39" t="s">
        <v>1027</v>
      </c>
      <c r="B31" s="34" t="s">
        <v>1028</v>
      </c>
      <c r="C31" s="35">
        <v>126.588</v>
      </c>
      <c r="D31" s="35" t="s">
        <v>1018</v>
      </c>
      <c r="E31" s="36" t="s">
        <v>1029</v>
      </c>
    </row>
    <row r="32" ht="30" customHeight="1" spans="1:5">
      <c r="A32" s="39" t="s">
        <v>1030</v>
      </c>
      <c r="B32" s="34" t="s">
        <v>1002</v>
      </c>
      <c r="C32" s="35">
        <v>126.588</v>
      </c>
      <c r="D32" s="35" t="s">
        <v>1018</v>
      </c>
      <c r="E32" s="36" t="s">
        <v>1031</v>
      </c>
    </row>
    <row r="33" ht="30" customHeight="1" spans="1:5">
      <c r="A33" s="39" t="s">
        <v>1032</v>
      </c>
      <c r="B33" s="34" t="s">
        <v>1021</v>
      </c>
      <c r="C33" s="35">
        <v>223.2809</v>
      </c>
      <c r="D33" s="35" t="s">
        <v>1018</v>
      </c>
      <c r="E33" s="36" t="s">
        <v>1033</v>
      </c>
    </row>
    <row r="34" ht="30" customHeight="1" spans="1:5">
      <c r="A34" s="39" t="s">
        <v>1034</v>
      </c>
      <c r="B34" s="34" t="s">
        <v>1035</v>
      </c>
      <c r="C34" s="35">
        <v>126.588</v>
      </c>
      <c r="D34" s="35" t="s">
        <v>1018</v>
      </c>
      <c r="E34" s="36" t="s">
        <v>1036</v>
      </c>
    </row>
    <row r="35" ht="30" customHeight="1" spans="1:5">
      <c r="A35" s="40" t="s">
        <v>1037</v>
      </c>
      <c r="B35" s="49" t="s">
        <v>1038</v>
      </c>
      <c r="C35" s="50">
        <v>90</v>
      </c>
      <c r="D35" s="50" t="s">
        <v>1003</v>
      </c>
      <c r="E35" s="51" t="s">
        <v>1039</v>
      </c>
    </row>
    <row r="36" ht="30" customHeight="1" spans="1:5">
      <c r="A36" s="44" t="s">
        <v>1040</v>
      </c>
      <c r="B36" s="52"/>
      <c r="C36" s="53"/>
      <c r="D36" s="53"/>
      <c r="E36" s="54"/>
    </row>
    <row r="37" ht="30" customHeight="1" spans="1:5">
      <c r="A37" s="39" t="s">
        <v>1041</v>
      </c>
      <c r="B37" s="34" t="s">
        <v>1002</v>
      </c>
      <c r="C37" s="35">
        <v>493</v>
      </c>
      <c r="D37" s="35" t="s">
        <v>1018</v>
      </c>
      <c r="E37" s="36" t="s">
        <v>1042</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1047</v>
      </c>
      <c r="C40" s="50">
        <v>90</v>
      </c>
      <c r="D40" s="50" t="s">
        <v>1003</v>
      </c>
      <c r="E40" s="51" t="s">
        <v>1042</v>
      </c>
    </row>
    <row r="41" ht="30" customHeight="1" spans="1:5">
      <c r="A41" s="44" t="s">
        <v>1048</v>
      </c>
      <c r="B41" s="34"/>
      <c r="C41" s="35"/>
      <c r="D41" s="35"/>
      <c r="E41" s="47"/>
    </row>
    <row r="42" ht="30" customHeight="1" spans="1:5">
      <c r="A42" s="55" t="s">
        <v>1049</v>
      </c>
      <c r="B42" s="34" t="s">
        <v>1021</v>
      </c>
      <c r="C42" s="35">
        <v>567.3047</v>
      </c>
      <c r="D42" s="35" t="s">
        <v>1018</v>
      </c>
      <c r="E42" s="36" t="s">
        <v>1050</v>
      </c>
    </row>
    <row r="43" ht="30" customHeight="1" spans="1:5">
      <c r="A43" s="33" t="s">
        <v>1051</v>
      </c>
      <c r="B43" s="34" t="s">
        <v>1052</v>
      </c>
      <c r="C43" s="35">
        <v>2.1014</v>
      </c>
      <c r="D43" s="35" t="s">
        <v>1018</v>
      </c>
      <c r="E43" s="36" t="s">
        <v>1053</v>
      </c>
    </row>
    <row r="44" ht="30" customHeight="1" spans="1:5">
      <c r="A44" s="33" t="s">
        <v>1054</v>
      </c>
      <c r="B44" s="34" t="s">
        <v>1055</v>
      </c>
      <c r="C44" s="35">
        <v>2945.8437</v>
      </c>
      <c r="D44" s="35" t="s">
        <v>1018</v>
      </c>
      <c r="E44" s="36" t="s">
        <v>1056</v>
      </c>
    </row>
    <row r="45" ht="34.05" customHeight="1" spans="1:5">
      <c r="A45" s="40" t="s">
        <v>1057</v>
      </c>
      <c r="B45" s="34" t="s">
        <v>1058</v>
      </c>
      <c r="C45" s="50">
        <v>90</v>
      </c>
      <c r="D45" s="50" t="s">
        <v>1003</v>
      </c>
      <c r="E45" s="51" t="s">
        <v>1059</v>
      </c>
    </row>
    <row r="46" ht="30" customHeight="1" spans="1:5">
      <c r="A46" s="56" t="s">
        <v>1060</v>
      </c>
      <c r="B46" s="57" t="s">
        <v>1061</v>
      </c>
      <c r="C46" s="58">
        <v>90</v>
      </c>
      <c r="D46" s="58" t="s">
        <v>1003</v>
      </c>
      <c r="E46" s="59" t="s">
        <v>1062</v>
      </c>
    </row>
    <row r="47" s="1" customFormat="1" ht="31.95" customHeight="1" spans="1:5">
      <c r="A47" s="60" t="s">
        <v>1063</v>
      </c>
      <c r="B47" s="61"/>
      <c r="C47" s="62"/>
      <c r="D47" s="62"/>
      <c r="E47" s="63"/>
    </row>
    <row r="48" spans="1:5">
      <c r="A48" s="64" t="s">
        <v>1064</v>
      </c>
      <c r="B48" s="65" t="s">
        <v>1065</v>
      </c>
      <c r="C48" s="66"/>
      <c r="D48" s="66"/>
      <c r="E48" s="67" t="s">
        <v>1062</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1069</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1070</v>
      </c>
    </row>
    <row r="7" ht="18" customHeight="1" spans="1:5">
      <c r="A7" t="s">
        <v>974</v>
      </c>
      <c r="B7" s="8" t="s">
        <v>975</v>
      </c>
      <c r="C7" s="3"/>
      <c r="D7" s="3"/>
      <c r="E7" s="12" t="s">
        <v>52</v>
      </c>
    </row>
    <row r="8" ht="18" customHeight="1" spans="1:5">
      <c r="A8" s="13" t="s">
        <v>976</v>
      </c>
      <c r="B8" s="8" t="s">
        <v>977</v>
      </c>
      <c r="C8" s="3"/>
      <c r="D8" s="3"/>
      <c r="E8">
        <v>2</v>
      </c>
    </row>
    <row r="9" ht="18" customHeight="1" spans="1:5">
      <c r="A9" s="14"/>
      <c r="B9" s="8" t="s">
        <v>978</v>
      </c>
      <c r="C9" s="15"/>
      <c r="D9" s="15"/>
      <c r="E9" s="16">
        <v>50003402</v>
      </c>
    </row>
    <row r="10" spans="1:5">
      <c r="A10" s="17" t="s">
        <v>979</v>
      </c>
      <c r="B10" s="8" t="s">
        <v>980</v>
      </c>
      <c r="C10" s="15"/>
      <c r="D10" s="15"/>
      <c r="E10" s="18">
        <v>43</v>
      </c>
    </row>
    <row r="11" ht="15" customHeight="1" spans="1:5">
      <c r="A11" t="s">
        <v>391</v>
      </c>
      <c r="B11" s="20" t="s">
        <v>981</v>
      </c>
      <c r="C11" s="3"/>
      <c r="D11" s="3"/>
      <c r="E11" s="21">
        <v>0.043</v>
      </c>
    </row>
    <row r="12" ht="15" customHeight="1" spans="1:5">
      <c r="A12" t="s">
        <v>392</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1071</v>
      </c>
      <c r="C23" s="35">
        <v>90</v>
      </c>
      <c r="D23" s="35" t="s">
        <v>1003</v>
      </c>
      <c r="E23" s="36" t="s">
        <v>1072</v>
      </c>
    </row>
    <row r="24" ht="30" customHeight="1" spans="1:5">
      <c r="A24" s="39" t="s">
        <v>1010</v>
      </c>
      <c r="B24" s="34" t="s">
        <v>1011</v>
      </c>
      <c r="C24" s="35">
        <v>90</v>
      </c>
      <c r="D24" s="35" t="s">
        <v>1003</v>
      </c>
      <c r="E24" s="36" t="s">
        <v>1012</v>
      </c>
    </row>
    <row r="25" ht="30" customHeight="1" spans="1:5">
      <c r="A25" s="40" t="s">
        <v>1013</v>
      </c>
      <c r="B25" s="41" t="s">
        <v>1073</v>
      </c>
      <c r="C25" s="42">
        <v>90</v>
      </c>
      <c r="D25" s="42" t="s">
        <v>1003</v>
      </c>
      <c r="E25" s="43" t="s">
        <v>1074</v>
      </c>
    </row>
    <row r="26" ht="30" customHeight="1" spans="1:5">
      <c r="A26" s="44" t="s">
        <v>1016</v>
      </c>
      <c r="B26" s="45"/>
      <c r="C26" s="46"/>
      <c r="D26" s="46"/>
      <c r="E26" s="47"/>
    </row>
    <row r="27" ht="30" customHeight="1" spans="1:5">
      <c r="A27" s="39" t="s">
        <v>1017</v>
      </c>
      <c r="B27" s="34" t="s">
        <v>1002</v>
      </c>
      <c r="C27" s="35">
        <v>29.971</v>
      </c>
      <c r="D27" s="35" t="s">
        <v>1018</v>
      </c>
      <c r="E27" s="36" t="s">
        <v>1075</v>
      </c>
    </row>
    <row r="28" ht="30" customHeight="1" spans="1:7">
      <c r="A28" s="39" t="s">
        <v>1020</v>
      </c>
      <c r="B28" s="34" t="s">
        <v>1021</v>
      </c>
      <c r="C28" s="35">
        <v>31.1639</v>
      </c>
      <c r="D28" s="35" t="s">
        <v>1018</v>
      </c>
      <c r="E28" s="36" t="s">
        <v>1076</v>
      </c>
      <c r="G28" s="48"/>
    </row>
    <row r="29" ht="30" customHeight="1" spans="1:7">
      <c r="A29" s="39" t="s">
        <v>1023</v>
      </c>
      <c r="B29" s="34" t="s">
        <v>1002</v>
      </c>
      <c r="C29" s="35">
        <v>42.688</v>
      </c>
      <c r="D29" s="35" t="s">
        <v>1018</v>
      </c>
      <c r="E29" s="36" t="s">
        <v>1077</v>
      </c>
      <c r="G29" s="48"/>
    </row>
    <row r="30" ht="30" customHeight="1" spans="1:5">
      <c r="A30" s="39" t="s">
        <v>1025</v>
      </c>
      <c r="B30" s="34" t="s">
        <v>1021</v>
      </c>
      <c r="C30" s="35">
        <v>62.7301</v>
      </c>
      <c r="D30" s="35" t="s">
        <v>1018</v>
      </c>
      <c r="E30" s="36" t="s">
        <v>1078</v>
      </c>
    </row>
    <row r="31" ht="30" customHeight="1" spans="1:5">
      <c r="A31" s="39" t="s">
        <v>1027</v>
      </c>
      <c r="B31" s="34" t="s">
        <v>1028</v>
      </c>
      <c r="C31" s="35">
        <v>129.602</v>
      </c>
      <c r="D31" s="35" t="s">
        <v>1018</v>
      </c>
      <c r="E31" s="36" t="s">
        <v>1079</v>
      </c>
    </row>
    <row r="32" ht="30" customHeight="1" spans="1:5">
      <c r="A32" s="39" t="s">
        <v>1030</v>
      </c>
      <c r="B32" s="34" t="s">
        <v>1002</v>
      </c>
      <c r="C32" s="35">
        <v>129.602</v>
      </c>
      <c r="D32" s="35" t="s">
        <v>1018</v>
      </c>
      <c r="E32" s="36" t="s">
        <v>1080</v>
      </c>
    </row>
    <row r="33" ht="30" customHeight="1" spans="1:5">
      <c r="A33" s="39" t="s">
        <v>1032</v>
      </c>
      <c r="B33" s="34" t="s">
        <v>1021</v>
      </c>
      <c r="C33" s="35">
        <v>134.7603</v>
      </c>
      <c r="D33" s="35" t="s">
        <v>1018</v>
      </c>
      <c r="E33" s="36" t="s">
        <v>1081</v>
      </c>
    </row>
    <row r="34" ht="30" customHeight="1" spans="1:5">
      <c r="A34" s="39" t="s">
        <v>1034</v>
      </c>
      <c r="B34" s="34" t="s">
        <v>1035</v>
      </c>
      <c r="C34" s="35">
        <v>129.602</v>
      </c>
      <c r="D34" s="35" t="s">
        <v>1018</v>
      </c>
      <c r="E34" s="36" t="s">
        <v>1082</v>
      </c>
    </row>
    <row r="35" ht="30" customHeight="1" spans="1:5">
      <c r="A35" s="40" t="s">
        <v>1037</v>
      </c>
      <c r="B35" s="49" t="s">
        <v>1083</v>
      </c>
      <c r="C35" s="50">
        <v>90</v>
      </c>
      <c r="D35" s="50" t="s">
        <v>1003</v>
      </c>
      <c r="E35" s="51" t="s">
        <v>1084</v>
      </c>
    </row>
    <row r="36" ht="30" customHeight="1" spans="1:5">
      <c r="A36" s="44" t="s">
        <v>1040</v>
      </c>
      <c r="B36" s="52"/>
      <c r="C36" s="53"/>
      <c r="D36" s="53"/>
      <c r="E36" s="54"/>
    </row>
    <row r="37" ht="30" customHeight="1" spans="1:5">
      <c r="A37" s="39" t="s">
        <v>1041</v>
      </c>
      <c r="B37" s="34" t="s">
        <v>1002</v>
      </c>
      <c r="C37" s="35">
        <v>233</v>
      </c>
      <c r="D37" s="35" t="s">
        <v>1018</v>
      </c>
      <c r="E37" s="36" t="s">
        <v>1085</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1086</v>
      </c>
      <c r="C40" s="50">
        <v>90</v>
      </c>
      <c r="D40" s="50" t="s">
        <v>1003</v>
      </c>
      <c r="E40" s="51" t="s">
        <v>1085</v>
      </c>
    </row>
    <row r="41" ht="30" customHeight="1" spans="1:5">
      <c r="A41" s="44" t="s">
        <v>1048</v>
      </c>
      <c r="B41" s="34"/>
      <c r="C41" s="35"/>
      <c r="D41" s="35"/>
      <c r="E41" s="47"/>
    </row>
    <row r="42" ht="30" customHeight="1" spans="1:5">
      <c r="A42" s="55" t="s">
        <v>1049</v>
      </c>
      <c r="B42" s="34" t="s">
        <v>1021</v>
      </c>
      <c r="C42" s="35">
        <v>342.3943</v>
      </c>
      <c r="D42" s="35" t="s">
        <v>1018</v>
      </c>
      <c r="E42" s="36" t="s">
        <v>1087</v>
      </c>
    </row>
    <row r="43" ht="30" customHeight="1" spans="1:5">
      <c r="A43" s="33" t="s">
        <v>1051</v>
      </c>
      <c r="B43" s="34" t="s">
        <v>1052</v>
      </c>
      <c r="C43" s="35">
        <v>3.6242</v>
      </c>
      <c r="D43" s="35" t="s">
        <v>1018</v>
      </c>
      <c r="E43" s="36" t="s">
        <v>1088</v>
      </c>
    </row>
    <row r="44" ht="30" customHeight="1" spans="1:5">
      <c r="A44" s="33" t="s">
        <v>1054</v>
      </c>
      <c r="B44" s="34" t="s">
        <v>1055</v>
      </c>
      <c r="C44" s="35">
        <v>1777.9514</v>
      </c>
      <c r="D44" s="35" t="s">
        <v>1018</v>
      </c>
      <c r="E44" s="36" t="s">
        <v>1089</v>
      </c>
    </row>
    <row r="45" ht="34.05" customHeight="1" spans="1:5">
      <c r="A45" s="40" t="s">
        <v>1057</v>
      </c>
      <c r="B45" s="34" t="s">
        <v>1090</v>
      </c>
      <c r="C45" s="50">
        <v>90</v>
      </c>
      <c r="D45" s="50" t="s">
        <v>1003</v>
      </c>
      <c r="E45" s="51" t="s">
        <v>1091</v>
      </c>
    </row>
    <row r="46" ht="30" customHeight="1" spans="1:5">
      <c r="A46" s="56" t="s">
        <v>1060</v>
      </c>
      <c r="B46" s="57" t="s">
        <v>1092</v>
      </c>
      <c r="C46" s="58">
        <v>90</v>
      </c>
      <c r="D46" s="58" t="s">
        <v>1003</v>
      </c>
      <c r="E46" s="59" t="s">
        <v>1093</v>
      </c>
    </row>
    <row r="47" s="1" customFormat="1" ht="31.95" customHeight="1" spans="1:5">
      <c r="A47" s="60" t="s">
        <v>1063</v>
      </c>
      <c r="B47" s="61"/>
      <c r="C47" s="62"/>
      <c r="D47" s="62"/>
      <c r="E47" s="63"/>
    </row>
    <row r="48" spans="1:5">
      <c r="A48" s="64" t="s">
        <v>1064</v>
      </c>
      <c r="B48" s="65" t="s">
        <v>1065</v>
      </c>
      <c r="C48" s="66"/>
      <c r="D48" s="66"/>
      <c r="E48" s="67" t="s">
        <v>1093</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1094</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1095</v>
      </c>
    </row>
    <row r="7" ht="18" customHeight="1" spans="1:5">
      <c r="A7" t="s">
        <v>974</v>
      </c>
      <c r="B7" s="8" t="s">
        <v>975</v>
      </c>
      <c r="C7" s="3"/>
      <c r="D7" s="3"/>
      <c r="E7" s="12" t="s">
        <v>52</v>
      </c>
    </row>
    <row r="8" ht="18" customHeight="1" spans="1:5">
      <c r="A8" s="13" t="s">
        <v>976</v>
      </c>
      <c r="B8" s="8" t="s">
        <v>977</v>
      </c>
      <c r="C8" s="3"/>
      <c r="D8" s="3"/>
      <c r="E8">
        <v>3</v>
      </c>
    </row>
    <row r="9" ht="18" customHeight="1" spans="1:5">
      <c r="A9" s="14"/>
      <c r="B9" s="8" t="s">
        <v>978</v>
      </c>
      <c r="C9" s="15"/>
      <c r="D9" s="15"/>
      <c r="E9" s="16">
        <v>50003431</v>
      </c>
    </row>
    <row r="10" spans="1:5">
      <c r="A10" s="17" t="s">
        <v>979</v>
      </c>
      <c r="B10" s="8" t="s">
        <v>980</v>
      </c>
      <c r="C10" s="15"/>
      <c r="D10" s="15"/>
      <c r="E10" s="18">
        <v>44</v>
      </c>
    </row>
    <row r="11" ht="15" customHeight="1" spans="1:5">
      <c r="A11" s="19" t="s">
        <v>393</v>
      </c>
      <c r="B11" s="20" t="s">
        <v>981</v>
      </c>
      <c r="C11" s="3"/>
      <c r="D11" s="3"/>
      <c r="E11" s="21">
        <v>0.044</v>
      </c>
    </row>
    <row r="12" ht="15" customHeight="1" spans="1:5">
      <c r="A12" t="s">
        <v>394</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1096</v>
      </c>
      <c r="C23" s="35">
        <v>90</v>
      </c>
      <c r="D23" s="35" t="s">
        <v>1003</v>
      </c>
      <c r="E23" s="36" t="s">
        <v>1097</v>
      </c>
    </row>
    <row r="24" ht="30" customHeight="1" spans="1:5">
      <c r="A24" s="39" t="s">
        <v>1010</v>
      </c>
      <c r="B24" s="34" t="s">
        <v>1011</v>
      </c>
      <c r="C24" s="35">
        <v>90</v>
      </c>
      <c r="D24" s="35" t="s">
        <v>1003</v>
      </c>
      <c r="E24" s="36" t="s">
        <v>1012</v>
      </c>
    </row>
    <row r="25" ht="30" customHeight="1" spans="1:5">
      <c r="A25" s="40" t="s">
        <v>1013</v>
      </c>
      <c r="B25" s="41" t="s">
        <v>1098</v>
      </c>
      <c r="C25" s="42">
        <v>90</v>
      </c>
      <c r="D25" s="42" t="s">
        <v>1003</v>
      </c>
      <c r="E25" s="43" t="s">
        <v>1099</v>
      </c>
    </row>
    <row r="26" ht="30" customHeight="1" spans="1:5">
      <c r="A26" s="44" t="s">
        <v>1016</v>
      </c>
      <c r="B26" s="45"/>
      <c r="C26" s="46"/>
      <c r="D26" s="46"/>
      <c r="E26" s="47"/>
    </row>
    <row r="27" ht="30" customHeight="1" spans="1:5">
      <c r="A27" s="39" t="s">
        <v>1017</v>
      </c>
      <c r="B27" s="34" t="s">
        <v>1002</v>
      </c>
      <c r="C27" s="35">
        <v>30.668</v>
      </c>
      <c r="D27" s="35" t="s">
        <v>1018</v>
      </c>
      <c r="E27" s="36" t="s">
        <v>1100</v>
      </c>
    </row>
    <row r="28" ht="30" customHeight="1" spans="1:7">
      <c r="A28" s="39" t="s">
        <v>1020</v>
      </c>
      <c r="B28" s="34" t="s">
        <v>1021</v>
      </c>
      <c r="C28" s="35">
        <v>52.9879</v>
      </c>
      <c r="D28" s="35" t="s">
        <v>1018</v>
      </c>
      <c r="E28" s="36" t="s">
        <v>1101</v>
      </c>
      <c r="G28" s="48"/>
    </row>
    <row r="29" ht="30" customHeight="1" spans="1:7">
      <c r="A29" s="39" t="s">
        <v>1023</v>
      </c>
      <c r="B29" s="34" t="s">
        <v>1002</v>
      </c>
      <c r="C29" s="35">
        <v>52.3981</v>
      </c>
      <c r="D29" s="35" t="s">
        <v>1018</v>
      </c>
      <c r="E29" s="36" t="s">
        <v>1102</v>
      </c>
      <c r="G29" s="48"/>
    </row>
    <row r="30" ht="30" customHeight="1" spans="1:5">
      <c r="A30" s="39" t="s">
        <v>1025</v>
      </c>
      <c r="B30" s="34" t="s">
        <v>1021</v>
      </c>
      <c r="C30" s="35">
        <v>106.6599</v>
      </c>
      <c r="D30" s="35" t="s">
        <v>1018</v>
      </c>
      <c r="E30" s="36" t="s">
        <v>1103</v>
      </c>
    </row>
    <row r="31" ht="30" customHeight="1" spans="1:5">
      <c r="A31" s="39" t="s">
        <v>1027</v>
      </c>
      <c r="B31" s="34" t="s">
        <v>1028</v>
      </c>
      <c r="C31" s="35">
        <v>132.616</v>
      </c>
      <c r="D31" s="35" t="s">
        <v>1018</v>
      </c>
      <c r="E31" s="36" t="s">
        <v>1104</v>
      </c>
    </row>
    <row r="32" ht="30" customHeight="1" spans="1:5">
      <c r="A32" s="39" t="s">
        <v>1030</v>
      </c>
      <c r="B32" s="34" t="s">
        <v>1002</v>
      </c>
      <c r="C32" s="35">
        <v>132.616</v>
      </c>
      <c r="D32" s="35" t="s">
        <v>1018</v>
      </c>
      <c r="E32" s="36" t="s">
        <v>1105</v>
      </c>
    </row>
    <row r="33" ht="30" customHeight="1" spans="1:5">
      <c r="A33" s="39" t="s">
        <v>1032</v>
      </c>
      <c r="B33" s="34" t="s">
        <v>1021</v>
      </c>
      <c r="C33" s="35">
        <v>229.1326</v>
      </c>
      <c r="D33" s="35" t="s">
        <v>1018</v>
      </c>
      <c r="E33" s="36" t="s">
        <v>1106</v>
      </c>
    </row>
    <row r="34" ht="30" customHeight="1" spans="1:5">
      <c r="A34" s="39" t="s">
        <v>1034</v>
      </c>
      <c r="B34" s="34" t="s">
        <v>1035</v>
      </c>
      <c r="C34" s="35">
        <v>132.616</v>
      </c>
      <c r="D34" s="35" t="s">
        <v>1018</v>
      </c>
      <c r="E34" s="36" t="s">
        <v>1107</v>
      </c>
    </row>
    <row r="35" ht="30" customHeight="1" spans="1:5">
      <c r="A35" s="40" t="s">
        <v>1037</v>
      </c>
      <c r="B35" s="49" t="s">
        <v>1108</v>
      </c>
      <c r="C35" s="50">
        <v>90</v>
      </c>
      <c r="D35" s="50" t="s">
        <v>1003</v>
      </c>
      <c r="E35" s="51" t="s">
        <v>1109</v>
      </c>
    </row>
    <row r="36" ht="30" customHeight="1" spans="1:5">
      <c r="A36" s="44" t="s">
        <v>1040</v>
      </c>
      <c r="B36" s="52"/>
      <c r="C36" s="53"/>
      <c r="D36" s="53"/>
      <c r="E36" s="54"/>
    </row>
    <row r="37" ht="30" customHeight="1" spans="1:5">
      <c r="A37" s="39" t="s">
        <v>1041</v>
      </c>
      <c r="B37" s="34" t="s">
        <v>1002</v>
      </c>
      <c r="C37" s="35">
        <v>286</v>
      </c>
      <c r="D37" s="35" t="s">
        <v>1018</v>
      </c>
      <c r="E37" s="36" t="s">
        <v>1110</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1111</v>
      </c>
      <c r="C40" s="50">
        <v>90</v>
      </c>
      <c r="D40" s="50" t="s">
        <v>1003</v>
      </c>
      <c r="E40" s="51" t="s">
        <v>1110</v>
      </c>
    </row>
    <row r="41" ht="30" customHeight="1" spans="1:5">
      <c r="A41" s="44" t="s">
        <v>1048</v>
      </c>
      <c r="B41" s="34"/>
      <c r="C41" s="35"/>
      <c r="D41" s="35"/>
      <c r="E41" s="47"/>
    </row>
    <row r="42" ht="30" customHeight="1" spans="1:5">
      <c r="A42" s="55" t="s">
        <v>1049</v>
      </c>
      <c r="B42" s="34" t="s">
        <v>1021</v>
      </c>
      <c r="C42" s="35">
        <v>582.1724</v>
      </c>
      <c r="D42" s="35" t="s">
        <v>1018</v>
      </c>
      <c r="E42" s="36" t="s">
        <v>1112</v>
      </c>
    </row>
    <row r="43" ht="30" customHeight="1" spans="1:5">
      <c r="A43" s="33" t="s">
        <v>1051</v>
      </c>
      <c r="B43" s="34" t="s">
        <v>1052</v>
      </c>
      <c r="C43" s="35">
        <v>3.4506</v>
      </c>
      <c r="D43" s="35" t="s">
        <v>1018</v>
      </c>
      <c r="E43" s="36" t="s">
        <v>1088</v>
      </c>
    </row>
    <row r="44" ht="30" customHeight="1" spans="1:5">
      <c r="A44" s="33" t="s">
        <v>1054</v>
      </c>
      <c r="B44" s="34" t="s">
        <v>1055</v>
      </c>
      <c r="C44" s="35">
        <v>3023.0472</v>
      </c>
      <c r="D44" s="35" t="s">
        <v>1018</v>
      </c>
      <c r="E44" s="36" t="s">
        <v>1113</v>
      </c>
    </row>
    <row r="45" ht="34.05" customHeight="1" spans="1:5">
      <c r="A45" s="40" t="s">
        <v>1057</v>
      </c>
      <c r="B45" s="34" t="s">
        <v>1114</v>
      </c>
      <c r="C45" s="50">
        <v>90</v>
      </c>
      <c r="D45" s="50" t="s">
        <v>1003</v>
      </c>
      <c r="E45" s="51" t="s">
        <v>1115</v>
      </c>
    </row>
    <row r="46" ht="30" customHeight="1" spans="1:5">
      <c r="A46" s="56" t="s">
        <v>1060</v>
      </c>
      <c r="B46" s="57" t="s">
        <v>1116</v>
      </c>
      <c r="C46" s="58">
        <v>90</v>
      </c>
      <c r="D46" s="58" t="s">
        <v>1003</v>
      </c>
      <c r="E46" s="59" t="s">
        <v>1117</v>
      </c>
    </row>
    <row r="47" s="1" customFormat="1" ht="31.95" customHeight="1" spans="1:5">
      <c r="A47" s="60" t="s">
        <v>1063</v>
      </c>
      <c r="B47" s="61"/>
      <c r="C47" s="62"/>
      <c r="D47" s="62"/>
      <c r="E47" s="63"/>
    </row>
    <row r="48" spans="1:5">
      <c r="A48" s="64" t="s">
        <v>1064</v>
      </c>
      <c r="B48" s="65" t="s">
        <v>1065</v>
      </c>
      <c r="C48" s="66"/>
      <c r="D48" s="66"/>
      <c r="E48" s="67" t="s">
        <v>1117</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1118</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1119</v>
      </c>
    </row>
    <row r="7" ht="18" customHeight="1" spans="1:5">
      <c r="A7" t="s">
        <v>974</v>
      </c>
      <c r="B7" s="8" t="s">
        <v>975</v>
      </c>
      <c r="C7" s="3"/>
      <c r="D7" s="3"/>
      <c r="E7" s="12" t="s">
        <v>52</v>
      </c>
    </row>
    <row r="8" ht="18" customHeight="1" spans="1:5">
      <c r="A8" s="13" t="s">
        <v>976</v>
      </c>
      <c r="B8" s="8" t="s">
        <v>977</v>
      </c>
      <c r="C8" s="3"/>
      <c r="D8" s="3"/>
      <c r="E8">
        <v>4</v>
      </c>
    </row>
    <row r="9" ht="18" customHeight="1" spans="1:5">
      <c r="A9" s="14"/>
      <c r="B9" s="8" t="s">
        <v>978</v>
      </c>
      <c r="C9" s="15"/>
      <c r="D9" s="15"/>
      <c r="E9" s="16">
        <v>50003394</v>
      </c>
    </row>
    <row r="10" spans="1:5">
      <c r="A10" s="17" t="s">
        <v>979</v>
      </c>
      <c r="B10" s="8" t="s">
        <v>980</v>
      </c>
      <c r="C10" s="15"/>
      <c r="D10" s="15"/>
      <c r="E10" s="18">
        <v>45</v>
      </c>
    </row>
    <row r="11" ht="15" customHeight="1" spans="1:5">
      <c r="A11" t="s">
        <v>395</v>
      </c>
      <c r="B11" s="20" t="s">
        <v>981</v>
      </c>
      <c r="C11" s="3"/>
      <c r="D11" s="3"/>
      <c r="E11" s="21">
        <v>0.045</v>
      </c>
    </row>
    <row r="12" ht="15" customHeight="1" spans="1:5">
      <c r="A12" t="s">
        <v>396</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1120</v>
      </c>
      <c r="C23" s="35">
        <v>90</v>
      </c>
      <c r="D23" s="35" t="s">
        <v>1003</v>
      </c>
      <c r="E23" s="36" t="s">
        <v>1121</v>
      </c>
    </row>
    <row r="24" ht="30" customHeight="1" spans="1:5">
      <c r="A24" s="39" t="s">
        <v>1010</v>
      </c>
      <c r="B24" s="34" t="s">
        <v>1011</v>
      </c>
      <c r="C24" s="35">
        <v>90</v>
      </c>
      <c r="D24" s="35" t="s">
        <v>1003</v>
      </c>
      <c r="E24" s="36" t="s">
        <v>1012</v>
      </c>
    </row>
    <row r="25" ht="30" customHeight="1" spans="1:5">
      <c r="A25" s="40" t="s">
        <v>1013</v>
      </c>
      <c r="B25" s="41" t="s">
        <v>1122</v>
      </c>
      <c r="C25" s="42">
        <v>90</v>
      </c>
      <c r="D25" s="42" t="s">
        <v>1003</v>
      </c>
      <c r="E25" s="43" t="s">
        <v>1123</v>
      </c>
    </row>
    <row r="26" ht="30" customHeight="1" spans="1:5">
      <c r="A26" s="44" t="s">
        <v>1016</v>
      </c>
      <c r="B26" s="45"/>
      <c r="C26" s="46"/>
      <c r="D26" s="46"/>
      <c r="E26" s="47"/>
    </row>
    <row r="27" ht="30" customHeight="1" spans="1:5">
      <c r="A27" s="39" t="s">
        <v>1017</v>
      </c>
      <c r="B27" s="34" t="s">
        <v>1002</v>
      </c>
      <c r="C27" s="35">
        <v>31.365</v>
      </c>
      <c r="D27" s="35" t="s">
        <v>1018</v>
      </c>
      <c r="E27" s="36" t="s">
        <v>1124</v>
      </c>
    </row>
    <row r="28" ht="30" customHeight="1" spans="1:7">
      <c r="A28" s="39" t="s">
        <v>1020</v>
      </c>
      <c r="B28" s="34" t="s">
        <v>1021</v>
      </c>
      <c r="C28" s="35">
        <v>29.6647</v>
      </c>
      <c r="D28" s="35" t="s">
        <v>1018</v>
      </c>
      <c r="E28" s="36" t="s">
        <v>1125</v>
      </c>
      <c r="G28" s="48"/>
    </row>
    <row r="29" ht="30" customHeight="1" spans="1:7">
      <c r="A29" s="39" t="s">
        <v>1023</v>
      </c>
      <c r="B29" s="34" t="s">
        <v>1002</v>
      </c>
      <c r="C29" s="35">
        <v>40.6727</v>
      </c>
      <c r="D29" s="35" t="s">
        <v>1018</v>
      </c>
      <c r="E29" s="36" t="s">
        <v>1126</v>
      </c>
      <c r="G29" s="48"/>
    </row>
    <row r="30" ht="30" customHeight="1" spans="1:5">
      <c r="A30" s="39" t="s">
        <v>1025</v>
      </c>
      <c r="B30" s="34" t="s">
        <v>1021</v>
      </c>
      <c r="C30" s="35">
        <v>59.7125</v>
      </c>
      <c r="D30" s="35" t="s">
        <v>1018</v>
      </c>
      <c r="E30" s="36" t="s">
        <v>1127</v>
      </c>
    </row>
    <row r="31" ht="30" customHeight="1" spans="1:5">
      <c r="A31" s="39" t="s">
        <v>1027</v>
      </c>
      <c r="B31" s="34" t="s">
        <v>1028</v>
      </c>
      <c r="C31" s="35">
        <v>135.63</v>
      </c>
      <c r="D31" s="35" t="s">
        <v>1018</v>
      </c>
      <c r="E31" s="36" t="s">
        <v>1128</v>
      </c>
    </row>
    <row r="32" ht="30" customHeight="1" spans="1:5">
      <c r="A32" s="39" t="s">
        <v>1030</v>
      </c>
      <c r="B32" s="34" t="s">
        <v>1002</v>
      </c>
      <c r="C32" s="35">
        <v>135.63</v>
      </c>
      <c r="D32" s="35" t="s">
        <v>1018</v>
      </c>
      <c r="E32" s="36" t="s">
        <v>1129</v>
      </c>
    </row>
    <row r="33" ht="30" customHeight="1" spans="1:5">
      <c r="A33" s="39" t="s">
        <v>1032</v>
      </c>
      <c r="B33" s="34" t="s">
        <v>1021</v>
      </c>
      <c r="C33" s="35">
        <v>128.2775</v>
      </c>
      <c r="D33" s="35" t="s">
        <v>1018</v>
      </c>
      <c r="E33" s="36" t="s">
        <v>1130</v>
      </c>
    </row>
    <row r="34" ht="30" customHeight="1" spans="1:5">
      <c r="A34" s="39" t="s">
        <v>1034</v>
      </c>
      <c r="B34" s="34" t="s">
        <v>1035</v>
      </c>
      <c r="C34" s="35">
        <v>135.63</v>
      </c>
      <c r="D34" s="35" t="s">
        <v>1018</v>
      </c>
      <c r="E34" s="36" t="s">
        <v>1131</v>
      </c>
    </row>
    <row r="35" ht="30" customHeight="1" spans="1:5">
      <c r="A35" s="40" t="s">
        <v>1037</v>
      </c>
      <c r="B35" s="49" t="s">
        <v>1132</v>
      </c>
      <c r="C35" s="50">
        <v>90</v>
      </c>
      <c r="D35" s="50" t="s">
        <v>1003</v>
      </c>
      <c r="E35" s="51" t="s">
        <v>1133</v>
      </c>
    </row>
    <row r="36" ht="30" customHeight="1" spans="1:5">
      <c r="A36" s="44" t="s">
        <v>1040</v>
      </c>
      <c r="B36" s="52"/>
      <c r="C36" s="53"/>
      <c r="D36" s="53"/>
      <c r="E36" s="54"/>
    </row>
    <row r="37" ht="30" customHeight="1" spans="1:5">
      <c r="A37" s="39" t="s">
        <v>1041</v>
      </c>
      <c r="B37" s="34" t="s">
        <v>1002</v>
      </c>
      <c r="C37" s="35">
        <v>222</v>
      </c>
      <c r="D37" s="35" t="s">
        <v>1018</v>
      </c>
      <c r="E37" s="36" t="s">
        <v>1134</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1135</v>
      </c>
      <c r="C40" s="50">
        <v>90</v>
      </c>
      <c r="D40" s="50" t="s">
        <v>1003</v>
      </c>
      <c r="E40" s="51" t="s">
        <v>1134</v>
      </c>
    </row>
    <row r="41" ht="30" customHeight="1" spans="1:5">
      <c r="A41" s="44" t="s">
        <v>1048</v>
      </c>
      <c r="B41" s="34"/>
      <c r="C41" s="35"/>
      <c r="D41" s="35"/>
      <c r="E41" s="47"/>
    </row>
    <row r="42" ht="30" customHeight="1" spans="1:5">
      <c r="A42" s="55" t="s">
        <v>1049</v>
      </c>
      <c r="B42" s="34" t="s">
        <v>1021</v>
      </c>
      <c r="C42" s="35">
        <v>325.9233</v>
      </c>
      <c r="D42" s="35" t="s">
        <v>1018</v>
      </c>
      <c r="E42" s="36" t="s">
        <v>1136</v>
      </c>
    </row>
    <row r="43" ht="30" customHeight="1" spans="1:5">
      <c r="A43" s="33" t="s">
        <v>1051</v>
      </c>
      <c r="B43" s="34" t="s">
        <v>1052</v>
      </c>
      <c r="C43" s="35">
        <v>3.9111</v>
      </c>
      <c r="D43" s="35" t="s">
        <v>1018</v>
      </c>
      <c r="E43" s="36" t="s">
        <v>1137</v>
      </c>
    </row>
    <row r="44" ht="30" customHeight="1" spans="1:5">
      <c r="A44" s="33" t="s">
        <v>1054</v>
      </c>
      <c r="B44" s="34" t="s">
        <v>1055</v>
      </c>
      <c r="C44" s="35">
        <v>1692.422</v>
      </c>
      <c r="D44" s="35" t="s">
        <v>1018</v>
      </c>
      <c r="E44" s="36" t="s">
        <v>1138</v>
      </c>
    </row>
    <row r="45" ht="34.05" customHeight="1" spans="1:5">
      <c r="A45" s="40" t="s">
        <v>1057</v>
      </c>
      <c r="B45" s="34" t="s">
        <v>1139</v>
      </c>
      <c r="C45" s="50">
        <v>90</v>
      </c>
      <c r="D45" s="50" t="s">
        <v>1003</v>
      </c>
      <c r="E45" s="51" t="s">
        <v>1140</v>
      </c>
    </row>
    <row r="46" ht="30" customHeight="1" spans="1:5">
      <c r="A46" s="56" t="s">
        <v>1060</v>
      </c>
      <c r="B46" s="57" t="s">
        <v>1141</v>
      </c>
      <c r="C46" s="58">
        <v>90</v>
      </c>
      <c r="D46" s="58" t="s">
        <v>1003</v>
      </c>
      <c r="E46" s="59" t="s">
        <v>1142</v>
      </c>
    </row>
    <row r="47" s="1" customFormat="1" ht="31.95" customHeight="1" spans="1:5">
      <c r="A47" s="60" t="s">
        <v>1063</v>
      </c>
      <c r="B47" s="61"/>
      <c r="C47" s="62"/>
      <c r="D47" s="62"/>
      <c r="E47" s="63"/>
    </row>
    <row r="48" spans="1:5">
      <c r="A48" s="64" t="s">
        <v>1064</v>
      </c>
      <c r="B48" s="65" t="s">
        <v>1065</v>
      </c>
      <c r="C48" s="66"/>
      <c r="D48" s="66"/>
      <c r="E48" s="67" t="s">
        <v>1142</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1143</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1144</v>
      </c>
    </row>
    <row r="7" ht="18" customHeight="1" spans="1:5">
      <c r="A7" t="s">
        <v>974</v>
      </c>
      <c r="B7" s="8" t="s">
        <v>975</v>
      </c>
      <c r="C7" s="3"/>
      <c r="D7" s="3"/>
      <c r="E7" s="12" t="s">
        <v>52</v>
      </c>
    </row>
    <row r="8" ht="18" customHeight="1" spans="1:5">
      <c r="A8" s="13" t="s">
        <v>976</v>
      </c>
      <c r="B8" s="8" t="s">
        <v>977</v>
      </c>
      <c r="C8" s="3"/>
      <c r="D8" s="3"/>
      <c r="E8">
        <v>5</v>
      </c>
    </row>
    <row r="9" ht="18" customHeight="1" spans="1:5">
      <c r="A9" s="14"/>
      <c r="B9" s="8" t="s">
        <v>978</v>
      </c>
      <c r="C9" s="15"/>
      <c r="D9" s="15"/>
      <c r="E9" s="16">
        <v>50003433</v>
      </c>
    </row>
    <row r="10" spans="1:5">
      <c r="A10" s="17" t="s">
        <v>979</v>
      </c>
      <c r="B10" s="8" t="s">
        <v>980</v>
      </c>
      <c r="C10" s="15"/>
      <c r="D10" s="15"/>
      <c r="E10" s="18">
        <v>46</v>
      </c>
    </row>
    <row r="11" ht="15" customHeight="1" spans="1:5">
      <c r="A11" t="s">
        <v>397</v>
      </c>
      <c r="B11" s="20" t="s">
        <v>981</v>
      </c>
      <c r="C11" s="3"/>
      <c r="D11" s="3"/>
      <c r="E11" s="21">
        <v>0.046</v>
      </c>
    </row>
    <row r="12" ht="15" customHeight="1" spans="1:5">
      <c r="A12" t="s">
        <v>398</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1145</v>
      </c>
      <c r="C23" s="35">
        <v>90</v>
      </c>
      <c r="D23" s="35" t="s">
        <v>1003</v>
      </c>
      <c r="E23" s="36" t="s">
        <v>1146</v>
      </c>
    </row>
    <row r="24" ht="30" customHeight="1" spans="1:5">
      <c r="A24" s="39" t="s">
        <v>1010</v>
      </c>
      <c r="B24" s="34" t="s">
        <v>1011</v>
      </c>
      <c r="C24" s="35">
        <v>90</v>
      </c>
      <c r="D24" s="35" t="s">
        <v>1003</v>
      </c>
      <c r="E24" s="36" t="s">
        <v>1012</v>
      </c>
    </row>
    <row r="25" ht="30" customHeight="1" spans="1:5">
      <c r="A25" s="40" t="s">
        <v>1013</v>
      </c>
      <c r="B25" s="41" t="s">
        <v>1147</v>
      </c>
      <c r="C25" s="42">
        <v>90</v>
      </c>
      <c r="D25" s="42" t="s">
        <v>1003</v>
      </c>
      <c r="E25" s="43" t="s">
        <v>1148</v>
      </c>
    </row>
    <row r="26" ht="30" customHeight="1" spans="1:5">
      <c r="A26" s="44" t="s">
        <v>1016</v>
      </c>
      <c r="B26" s="45"/>
      <c r="C26" s="46"/>
      <c r="D26" s="46"/>
      <c r="E26" s="47"/>
    </row>
    <row r="27" ht="30" customHeight="1" spans="1:5">
      <c r="A27" s="39" t="s">
        <v>1017</v>
      </c>
      <c r="B27" s="34" t="s">
        <v>1002</v>
      </c>
      <c r="C27" s="35">
        <v>32.062</v>
      </c>
      <c r="D27" s="35" t="s">
        <v>1018</v>
      </c>
      <c r="E27" s="36" t="s">
        <v>1149</v>
      </c>
    </row>
    <row r="28" ht="30" customHeight="1" spans="1:7">
      <c r="A28" s="39" t="s">
        <v>1020</v>
      </c>
      <c r="B28" s="34" t="s">
        <v>1021</v>
      </c>
      <c r="C28" s="35">
        <v>52.2449</v>
      </c>
      <c r="D28" s="35" t="s">
        <v>1018</v>
      </c>
      <c r="E28" s="36" t="s">
        <v>1150</v>
      </c>
      <c r="G28" s="48"/>
    </row>
    <row r="29" ht="30" customHeight="1" spans="1:7">
      <c r="A29" s="39" t="s">
        <v>1023</v>
      </c>
      <c r="B29" s="34" t="s">
        <v>1002</v>
      </c>
      <c r="C29" s="35">
        <v>167.4541</v>
      </c>
      <c r="D29" s="35" t="s">
        <v>1018</v>
      </c>
      <c r="E29" s="36" t="s">
        <v>1151</v>
      </c>
      <c r="G29" s="48"/>
    </row>
    <row r="30" ht="30" customHeight="1" spans="1:5">
      <c r="A30" s="39" t="s">
        <v>1025</v>
      </c>
      <c r="B30" s="34" t="s">
        <v>1021</v>
      </c>
      <c r="C30" s="35">
        <v>105.1644</v>
      </c>
      <c r="D30" s="35" t="s">
        <v>1018</v>
      </c>
      <c r="E30" s="36" t="s">
        <v>1152</v>
      </c>
    </row>
    <row r="31" ht="30" customHeight="1" spans="1:5">
      <c r="A31" s="39" t="s">
        <v>1027</v>
      </c>
      <c r="B31" s="34" t="s">
        <v>1028</v>
      </c>
      <c r="C31" s="35">
        <v>138.644</v>
      </c>
      <c r="D31" s="35" t="s">
        <v>1018</v>
      </c>
      <c r="E31" s="36" t="s">
        <v>1153</v>
      </c>
    </row>
    <row r="32" ht="30" customHeight="1" spans="1:5">
      <c r="A32" s="39" t="s">
        <v>1030</v>
      </c>
      <c r="B32" s="34" t="s">
        <v>1002</v>
      </c>
      <c r="C32" s="35">
        <v>138.644</v>
      </c>
      <c r="D32" s="35" t="s">
        <v>1018</v>
      </c>
      <c r="E32" s="36" t="s">
        <v>1154</v>
      </c>
    </row>
    <row r="33" ht="30" customHeight="1" spans="1:5">
      <c r="A33" s="39" t="s">
        <v>1032</v>
      </c>
      <c r="B33" s="34" t="s">
        <v>1021</v>
      </c>
      <c r="C33" s="35">
        <v>225.9199</v>
      </c>
      <c r="D33" s="35" t="s">
        <v>1018</v>
      </c>
      <c r="E33" s="36" t="s">
        <v>1155</v>
      </c>
    </row>
    <row r="34" ht="30" customHeight="1" spans="1:5">
      <c r="A34" s="39" t="s">
        <v>1034</v>
      </c>
      <c r="B34" s="34" t="s">
        <v>1035</v>
      </c>
      <c r="C34" s="35">
        <v>138.644</v>
      </c>
      <c r="D34" s="35" t="s">
        <v>1018</v>
      </c>
      <c r="E34" s="36" t="s">
        <v>1156</v>
      </c>
    </row>
    <row r="35" ht="30" customHeight="1" spans="1:5">
      <c r="A35" s="40" t="s">
        <v>1037</v>
      </c>
      <c r="B35" s="49" t="s">
        <v>1157</v>
      </c>
      <c r="C35" s="50">
        <v>90</v>
      </c>
      <c r="D35" s="50" t="s">
        <v>1003</v>
      </c>
      <c r="E35" s="51" t="s">
        <v>1158</v>
      </c>
    </row>
    <row r="36" ht="30" customHeight="1" spans="1:5">
      <c r="A36" s="44" t="s">
        <v>1040</v>
      </c>
      <c r="B36" s="52"/>
      <c r="C36" s="53"/>
      <c r="D36" s="53"/>
      <c r="E36" s="54"/>
    </row>
    <row r="37" ht="30" customHeight="1" spans="1:5">
      <c r="A37" s="39" t="s">
        <v>1041</v>
      </c>
      <c r="B37" s="34" t="s">
        <v>1002</v>
      </c>
      <c r="C37" s="35">
        <v>914</v>
      </c>
      <c r="D37" s="35" t="s">
        <v>1018</v>
      </c>
      <c r="E37" s="36" t="s">
        <v>1159</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1160</v>
      </c>
      <c r="C40" s="50">
        <v>90</v>
      </c>
      <c r="D40" s="50" t="s">
        <v>1003</v>
      </c>
      <c r="E40" s="51" t="s">
        <v>1159</v>
      </c>
    </row>
    <row r="41" ht="30" customHeight="1" spans="1:5">
      <c r="A41" s="44" t="s">
        <v>1048</v>
      </c>
      <c r="B41" s="34"/>
      <c r="C41" s="35"/>
      <c r="D41" s="35"/>
      <c r="E41" s="47"/>
    </row>
    <row r="42" ht="30" customHeight="1" spans="1:5">
      <c r="A42" s="55" t="s">
        <v>1049</v>
      </c>
      <c r="B42" s="34" t="s">
        <v>1021</v>
      </c>
      <c r="C42" s="35">
        <v>574.0097</v>
      </c>
      <c r="D42" s="35" t="s">
        <v>1018</v>
      </c>
      <c r="E42" s="36" t="s">
        <v>1161</v>
      </c>
    </row>
    <row r="43" ht="30" customHeight="1" spans="1:5">
      <c r="A43" s="33" t="s">
        <v>1051</v>
      </c>
      <c r="B43" s="34" t="s">
        <v>1052</v>
      </c>
      <c r="C43" s="35">
        <v>0.2743</v>
      </c>
      <c r="D43" s="35" t="s">
        <v>1018</v>
      </c>
      <c r="E43" s="36" t="s">
        <v>1162</v>
      </c>
    </row>
    <row r="44" ht="30" customHeight="1" spans="1:5">
      <c r="A44" s="33" t="s">
        <v>1054</v>
      </c>
      <c r="B44" s="34" t="s">
        <v>1055</v>
      </c>
      <c r="C44" s="35">
        <v>2980.661</v>
      </c>
      <c r="D44" s="35" t="s">
        <v>1018</v>
      </c>
      <c r="E44" s="36" t="s">
        <v>1163</v>
      </c>
    </row>
    <row r="45" ht="34.05" customHeight="1" spans="1:5">
      <c r="A45" s="40" t="s">
        <v>1057</v>
      </c>
      <c r="B45" s="34" t="s">
        <v>1164</v>
      </c>
      <c r="C45" s="50">
        <v>90</v>
      </c>
      <c r="D45" s="50" t="s">
        <v>1003</v>
      </c>
      <c r="E45" s="51" t="s">
        <v>1165</v>
      </c>
    </row>
    <row r="46" ht="30" customHeight="1" spans="1:5">
      <c r="A46" s="56" t="s">
        <v>1060</v>
      </c>
      <c r="B46" s="57" t="s">
        <v>1166</v>
      </c>
      <c r="C46" s="58">
        <v>90</v>
      </c>
      <c r="D46" s="58" t="s">
        <v>1003</v>
      </c>
      <c r="E46" s="59" t="s">
        <v>1167</v>
      </c>
    </row>
    <row r="47" s="1" customFormat="1" ht="31.95" customHeight="1" spans="1:5">
      <c r="A47" s="60" t="s">
        <v>1063</v>
      </c>
      <c r="B47" s="61"/>
      <c r="C47" s="62"/>
      <c r="D47" s="62"/>
      <c r="E47" s="63"/>
    </row>
    <row r="48" spans="1:5">
      <c r="A48" s="64" t="s">
        <v>1064</v>
      </c>
      <c r="B48" s="65" t="s">
        <v>1065</v>
      </c>
      <c r="C48" s="66"/>
      <c r="D48" s="66"/>
      <c r="E48" s="67" t="s">
        <v>1167</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1168</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1169</v>
      </c>
    </row>
    <row r="7" ht="18" customHeight="1" spans="1:5">
      <c r="A7" t="s">
        <v>974</v>
      </c>
      <c r="B7" s="8" t="s">
        <v>975</v>
      </c>
      <c r="C7" s="3"/>
      <c r="D7" s="3"/>
      <c r="E7" s="12" t="s">
        <v>52</v>
      </c>
    </row>
    <row r="8" ht="18" customHeight="1" spans="1:5">
      <c r="A8" s="13" t="s">
        <v>976</v>
      </c>
      <c r="B8" s="8" t="s">
        <v>977</v>
      </c>
      <c r="C8" s="3"/>
      <c r="D8" s="3"/>
      <c r="E8">
        <v>6</v>
      </c>
    </row>
    <row r="9" ht="18" customHeight="1" spans="1:5">
      <c r="A9" s="14"/>
      <c r="B9" s="8" t="s">
        <v>978</v>
      </c>
      <c r="C9" s="15"/>
      <c r="D9" s="15"/>
      <c r="E9" s="16">
        <v>50003421</v>
      </c>
    </row>
    <row r="10" spans="1:5">
      <c r="A10" s="17" t="s">
        <v>979</v>
      </c>
      <c r="B10" s="8" t="s">
        <v>980</v>
      </c>
      <c r="C10" s="15"/>
      <c r="D10" s="15"/>
      <c r="E10" s="18">
        <v>66</v>
      </c>
    </row>
    <row r="11" ht="15" customHeight="1" spans="1:5">
      <c r="A11" s="19" t="s">
        <v>399</v>
      </c>
      <c r="B11" s="20" t="s">
        <v>981</v>
      </c>
      <c r="C11" s="3"/>
      <c r="D11" s="3"/>
      <c r="E11" s="21">
        <v>0.066</v>
      </c>
    </row>
    <row r="12" ht="15" customHeight="1" spans="1:5">
      <c r="A12" t="s">
        <v>400</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1170</v>
      </c>
      <c r="C23" s="35">
        <v>90</v>
      </c>
      <c r="D23" s="35" t="s">
        <v>1003</v>
      </c>
      <c r="E23" s="36" t="s">
        <v>1171</v>
      </c>
    </row>
    <row r="24" ht="30" customHeight="1" spans="1:5">
      <c r="A24" s="39" t="s">
        <v>1010</v>
      </c>
      <c r="B24" s="34" t="s">
        <v>1011</v>
      </c>
      <c r="C24" s="35">
        <v>90</v>
      </c>
      <c r="D24" s="35" t="s">
        <v>1003</v>
      </c>
      <c r="E24" s="36" t="s">
        <v>1012</v>
      </c>
    </row>
    <row r="25" ht="30" customHeight="1" spans="1:5">
      <c r="A25" s="40" t="s">
        <v>1013</v>
      </c>
      <c r="B25" s="41" t="s">
        <v>1172</v>
      </c>
      <c r="C25" s="42">
        <v>90</v>
      </c>
      <c r="D25" s="42" t="s">
        <v>1003</v>
      </c>
      <c r="E25" s="43" t="s">
        <v>1173</v>
      </c>
    </row>
    <row r="26" ht="30" customHeight="1" spans="1:5">
      <c r="A26" s="44" t="s">
        <v>1016</v>
      </c>
      <c r="B26" s="45"/>
      <c r="C26" s="46"/>
      <c r="D26" s="46"/>
      <c r="E26" s="47"/>
    </row>
    <row r="27" ht="30" customHeight="1" spans="1:5">
      <c r="A27" s="39" t="s">
        <v>1017</v>
      </c>
      <c r="B27" s="34" t="s">
        <v>1002</v>
      </c>
      <c r="C27" s="35">
        <v>46.002</v>
      </c>
      <c r="D27" s="35" t="s">
        <v>1018</v>
      </c>
      <c r="E27" s="36" t="s">
        <v>1174</v>
      </c>
    </row>
    <row r="28" ht="30" customHeight="1" spans="1:7">
      <c r="A28" s="39" t="s">
        <v>1020</v>
      </c>
      <c r="B28" s="34" t="s">
        <v>1021</v>
      </c>
      <c r="C28" s="35">
        <v>64.9546</v>
      </c>
      <c r="D28" s="35" t="s">
        <v>1018</v>
      </c>
      <c r="E28" s="36" t="s">
        <v>1175</v>
      </c>
      <c r="G28" s="48"/>
    </row>
    <row r="29" ht="30" customHeight="1" spans="1:7">
      <c r="A29" s="39" t="s">
        <v>1023</v>
      </c>
      <c r="B29" s="34" t="s">
        <v>1002</v>
      </c>
      <c r="C29" s="35">
        <v>76.9483</v>
      </c>
      <c r="D29" s="35" t="s">
        <v>1018</v>
      </c>
      <c r="E29" s="36" t="s">
        <v>1176</v>
      </c>
      <c r="G29" s="48"/>
    </row>
    <row r="30" ht="30" customHeight="1" spans="1:5">
      <c r="A30" s="39" t="s">
        <v>1025</v>
      </c>
      <c r="B30" s="34" t="s">
        <v>1021</v>
      </c>
      <c r="C30" s="35">
        <v>130.7479</v>
      </c>
      <c r="D30" s="35" t="s">
        <v>1018</v>
      </c>
      <c r="E30" s="36" t="s">
        <v>1177</v>
      </c>
    </row>
    <row r="31" ht="30" customHeight="1" spans="1:5">
      <c r="A31" s="39" t="s">
        <v>1027</v>
      </c>
      <c r="B31" s="34" t="s">
        <v>1028</v>
      </c>
      <c r="C31" s="35">
        <v>198.924</v>
      </c>
      <c r="D31" s="35" t="s">
        <v>1018</v>
      </c>
      <c r="E31" s="36" t="s">
        <v>1178</v>
      </c>
    </row>
    <row r="32" ht="30" customHeight="1" spans="1:5">
      <c r="A32" s="39" t="s">
        <v>1030</v>
      </c>
      <c r="B32" s="34" t="s">
        <v>1002</v>
      </c>
      <c r="C32" s="35">
        <v>198.924</v>
      </c>
      <c r="D32" s="35" t="s">
        <v>1018</v>
      </c>
      <c r="E32" s="36" t="s">
        <v>1179</v>
      </c>
    </row>
    <row r="33" ht="30" customHeight="1" spans="1:5">
      <c r="A33" s="39" t="s">
        <v>1032</v>
      </c>
      <c r="B33" s="34" t="s">
        <v>1021</v>
      </c>
      <c r="C33" s="35">
        <v>280.8796</v>
      </c>
      <c r="D33" s="35" t="s">
        <v>1018</v>
      </c>
      <c r="E33" s="36" t="s">
        <v>1180</v>
      </c>
    </row>
    <row r="34" ht="30" customHeight="1" spans="1:5">
      <c r="A34" s="39" t="s">
        <v>1034</v>
      </c>
      <c r="B34" s="34" t="s">
        <v>1035</v>
      </c>
      <c r="C34" s="35">
        <v>198.924</v>
      </c>
      <c r="D34" s="35" t="s">
        <v>1018</v>
      </c>
      <c r="E34" s="36" t="s">
        <v>1181</v>
      </c>
    </row>
    <row r="35" ht="30" customHeight="1" spans="1:5">
      <c r="A35" s="40" t="s">
        <v>1037</v>
      </c>
      <c r="B35" s="49" t="s">
        <v>1182</v>
      </c>
      <c r="C35" s="50">
        <v>90</v>
      </c>
      <c r="D35" s="50" t="s">
        <v>1003</v>
      </c>
      <c r="E35" s="51" t="s">
        <v>1183</v>
      </c>
    </row>
    <row r="36" ht="30" customHeight="1" spans="1:5">
      <c r="A36" s="44" t="s">
        <v>1040</v>
      </c>
      <c r="B36" s="52"/>
      <c r="C36" s="53"/>
      <c r="D36" s="53"/>
      <c r="E36" s="54"/>
    </row>
    <row r="37" ht="30" customHeight="1" spans="1:5">
      <c r="A37" s="39" t="s">
        <v>1041</v>
      </c>
      <c r="B37" s="34" t="s">
        <v>1002</v>
      </c>
      <c r="C37" s="35">
        <v>420</v>
      </c>
      <c r="D37" s="35" t="s">
        <v>1018</v>
      </c>
      <c r="E37" s="36" t="s">
        <v>1184</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1185</v>
      </c>
      <c r="C40" s="50">
        <v>90</v>
      </c>
      <c r="D40" s="50" t="s">
        <v>1003</v>
      </c>
      <c r="E40" s="51" t="s">
        <v>1184</v>
      </c>
    </row>
    <row r="41" ht="30" customHeight="1" spans="1:5">
      <c r="A41" s="44" t="s">
        <v>1048</v>
      </c>
      <c r="B41" s="34"/>
      <c r="C41" s="35"/>
      <c r="D41" s="35"/>
      <c r="E41" s="47"/>
    </row>
    <row r="42" ht="30" customHeight="1" spans="1:5">
      <c r="A42" s="55" t="s">
        <v>1049</v>
      </c>
      <c r="B42" s="34" t="s">
        <v>1021</v>
      </c>
      <c r="C42" s="35">
        <v>713.6495</v>
      </c>
      <c r="D42" s="35" t="s">
        <v>1018</v>
      </c>
      <c r="E42" s="36" t="s">
        <v>1186</v>
      </c>
    </row>
    <row r="43" ht="30" customHeight="1" spans="1:5">
      <c r="A43" s="33" t="s">
        <v>1051</v>
      </c>
      <c r="B43" s="34" t="s">
        <v>1052</v>
      </c>
      <c r="C43" s="35">
        <v>5.2246</v>
      </c>
      <c r="D43" s="35" t="s">
        <v>1018</v>
      </c>
      <c r="E43" s="36" t="s">
        <v>1187</v>
      </c>
    </row>
    <row r="44" ht="30" customHeight="1" spans="1:5">
      <c r="A44" s="33" t="s">
        <v>1054</v>
      </c>
      <c r="B44" s="34" t="s">
        <v>1055</v>
      </c>
      <c r="C44" s="35">
        <v>3705.7685</v>
      </c>
      <c r="D44" s="35" t="s">
        <v>1018</v>
      </c>
      <c r="E44" s="36" t="s">
        <v>1188</v>
      </c>
    </row>
    <row r="45" ht="34.05" customHeight="1" spans="1:5">
      <c r="A45" s="40" t="s">
        <v>1057</v>
      </c>
      <c r="B45" s="34" t="s">
        <v>1189</v>
      </c>
      <c r="C45" s="50">
        <v>90</v>
      </c>
      <c r="D45" s="50" t="s">
        <v>1003</v>
      </c>
      <c r="E45" s="51" t="s">
        <v>1190</v>
      </c>
    </row>
    <row r="46" ht="30" customHeight="1" spans="1:5">
      <c r="A46" s="56" t="s">
        <v>1060</v>
      </c>
      <c r="B46" s="57" t="s">
        <v>1191</v>
      </c>
      <c r="C46" s="58">
        <v>90</v>
      </c>
      <c r="D46" s="58" t="s">
        <v>1003</v>
      </c>
      <c r="E46" s="59" t="s">
        <v>1192</v>
      </c>
    </row>
    <row r="47" s="1" customFormat="1" ht="31.95" customHeight="1" spans="1:5">
      <c r="A47" s="60" t="s">
        <v>1063</v>
      </c>
      <c r="B47" s="61"/>
      <c r="C47" s="62"/>
      <c r="D47" s="62"/>
      <c r="E47" s="63"/>
    </row>
    <row r="48" spans="1:5">
      <c r="A48" s="64" t="s">
        <v>1064</v>
      </c>
      <c r="B48" s="65" t="s">
        <v>1065</v>
      </c>
      <c r="C48" s="66"/>
      <c r="D48" s="66"/>
      <c r="E48" s="67" t="s">
        <v>1192</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1193</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1194</v>
      </c>
    </row>
    <row r="7" ht="18" customHeight="1" spans="1:5">
      <c r="A7" t="s">
        <v>974</v>
      </c>
      <c r="B7" s="8" t="s">
        <v>975</v>
      </c>
      <c r="C7" s="3"/>
      <c r="D7" s="3"/>
      <c r="E7" s="12" t="s">
        <v>52</v>
      </c>
    </row>
    <row r="8" ht="18" customHeight="1" spans="1:5">
      <c r="A8" s="13" t="s">
        <v>976</v>
      </c>
      <c r="B8" s="8" t="s">
        <v>977</v>
      </c>
      <c r="C8" s="3"/>
      <c r="D8" s="3"/>
      <c r="E8">
        <v>7</v>
      </c>
    </row>
    <row r="9" ht="18" customHeight="1" spans="1:5">
      <c r="A9" s="14"/>
      <c r="B9" s="8" t="s">
        <v>978</v>
      </c>
      <c r="C9" s="15"/>
      <c r="D9" s="15"/>
      <c r="E9" s="16">
        <v>50002953</v>
      </c>
    </row>
    <row r="10" spans="1:5">
      <c r="A10" s="17" t="s">
        <v>979</v>
      </c>
      <c r="B10" s="8" t="s">
        <v>980</v>
      </c>
      <c r="C10" s="15"/>
      <c r="D10" s="15"/>
      <c r="E10" s="18">
        <v>66</v>
      </c>
    </row>
    <row r="11" ht="15" customHeight="1" spans="1:5">
      <c r="A11" s="19" t="s">
        <v>401</v>
      </c>
      <c r="B11" s="20" t="s">
        <v>981</v>
      </c>
      <c r="C11" s="3"/>
      <c r="D11" s="3"/>
      <c r="E11" s="21">
        <v>0.066</v>
      </c>
    </row>
    <row r="12" ht="15" customHeight="1" spans="1:5">
      <c r="A12" t="s">
        <v>402</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1170</v>
      </c>
      <c r="C23" s="35">
        <v>90</v>
      </c>
      <c r="D23" s="35" t="s">
        <v>1003</v>
      </c>
      <c r="E23" s="36" t="s">
        <v>1171</v>
      </c>
    </row>
    <row r="24" ht="30" customHeight="1" spans="1:5">
      <c r="A24" s="39" t="s">
        <v>1010</v>
      </c>
      <c r="B24" s="34" t="s">
        <v>1011</v>
      </c>
      <c r="C24" s="35">
        <v>90</v>
      </c>
      <c r="D24" s="35" t="s">
        <v>1003</v>
      </c>
      <c r="E24" s="36" t="s">
        <v>1012</v>
      </c>
    </row>
    <row r="25" ht="30" customHeight="1" spans="1:5">
      <c r="A25" s="40" t="s">
        <v>1013</v>
      </c>
      <c r="B25" s="41" t="s">
        <v>1172</v>
      </c>
      <c r="C25" s="42">
        <v>90</v>
      </c>
      <c r="D25" s="42" t="s">
        <v>1003</v>
      </c>
      <c r="E25" s="43" t="s">
        <v>1173</v>
      </c>
    </row>
    <row r="26" ht="30" customHeight="1" spans="1:5">
      <c r="A26" s="44" t="s">
        <v>1016</v>
      </c>
      <c r="B26" s="45"/>
      <c r="C26" s="46"/>
      <c r="D26" s="46"/>
      <c r="E26" s="47"/>
    </row>
    <row r="27" ht="30" customHeight="1" spans="1:5">
      <c r="A27" s="39" t="s">
        <v>1017</v>
      </c>
      <c r="B27" s="34" t="s">
        <v>1002</v>
      </c>
      <c r="C27" s="35">
        <v>46.002</v>
      </c>
      <c r="D27" s="35" t="s">
        <v>1018</v>
      </c>
      <c r="E27" s="36" t="s">
        <v>1174</v>
      </c>
    </row>
    <row r="28" ht="30" customHeight="1" spans="1:7">
      <c r="A28" s="39" t="s">
        <v>1020</v>
      </c>
      <c r="B28" s="34" t="s">
        <v>1044</v>
      </c>
      <c r="C28" s="35">
        <v>0</v>
      </c>
      <c r="D28" s="35" t="s">
        <v>1018</v>
      </c>
      <c r="E28" s="36" t="s">
        <v>1044</v>
      </c>
      <c r="G28" s="48"/>
    </row>
    <row r="29" ht="30" customHeight="1" spans="1:7">
      <c r="A29" s="39" t="s">
        <v>1023</v>
      </c>
      <c r="B29" s="34" t="s">
        <v>1002</v>
      </c>
      <c r="C29" s="35">
        <v>0.3664</v>
      </c>
      <c r="D29" s="35" t="s">
        <v>1018</v>
      </c>
      <c r="E29" s="36" t="s">
        <v>1195</v>
      </c>
      <c r="G29" s="48"/>
    </row>
    <row r="30" ht="30" customHeight="1" spans="1:5">
      <c r="A30" s="39" t="s">
        <v>1025</v>
      </c>
      <c r="B30" s="34" t="s">
        <v>1044</v>
      </c>
      <c r="C30" s="35">
        <v>0</v>
      </c>
      <c r="D30" s="35" t="s">
        <v>1018</v>
      </c>
      <c r="E30" s="36" t="s">
        <v>1044</v>
      </c>
    </row>
    <row r="31" ht="30" customHeight="1" spans="1:5">
      <c r="A31" s="39" t="s">
        <v>1027</v>
      </c>
      <c r="B31" s="34" t="s">
        <v>1028</v>
      </c>
      <c r="C31" s="35">
        <v>198.924</v>
      </c>
      <c r="D31" s="35" t="s">
        <v>1018</v>
      </c>
      <c r="E31" s="36" t="s">
        <v>1178</v>
      </c>
    </row>
    <row r="32" ht="30" customHeight="1" spans="1:5">
      <c r="A32" s="39" t="s">
        <v>1030</v>
      </c>
      <c r="B32" s="34" t="s">
        <v>1002</v>
      </c>
      <c r="C32" s="35">
        <v>198.924</v>
      </c>
      <c r="D32" s="35" t="s">
        <v>1018</v>
      </c>
      <c r="E32" s="36" t="s">
        <v>1179</v>
      </c>
    </row>
    <row r="33" ht="30" customHeight="1" spans="1:5">
      <c r="A33" s="39" t="s">
        <v>1032</v>
      </c>
      <c r="B33" s="34" t="s">
        <v>1044</v>
      </c>
      <c r="C33" s="35">
        <v>0</v>
      </c>
      <c r="D33" s="35" t="s">
        <v>1018</v>
      </c>
      <c r="E33" s="36" t="s">
        <v>1044</v>
      </c>
    </row>
    <row r="34" ht="30" customHeight="1" spans="1:5">
      <c r="A34" s="39" t="s">
        <v>1034</v>
      </c>
      <c r="B34" s="34" t="s">
        <v>1035</v>
      </c>
      <c r="C34" s="35">
        <v>198.924</v>
      </c>
      <c r="D34" s="35" t="s">
        <v>1018</v>
      </c>
      <c r="E34" s="36" t="s">
        <v>1181</v>
      </c>
    </row>
    <row r="35" ht="30" customHeight="1" spans="1:5">
      <c r="A35" s="40" t="s">
        <v>1037</v>
      </c>
      <c r="B35" s="49" t="s">
        <v>1196</v>
      </c>
      <c r="C35" s="50">
        <v>90</v>
      </c>
      <c r="D35" s="50" t="s">
        <v>1003</v>
      </c>
      <c r="E35" s="51" t="s">
        <v>1197</v>
      </c>
    </row>
    <row r="36" ht="30" customHeight="1" spans="1:5">
      <c r="A36" s="44" t="s">
        <v>1040</v>
      </c>
      <c r="B36" s="52"/>
      <c r="C36" s="53"/>
      <c r="D36" s="53"/>
      <c r="E36" s="54"/>
    </row>
    <row r="37" ht="30" customHeight="1" spans="1:5">
      <c r="A37" s="39" t="s">
        <v>1041</v>
      </c>
      <c r="B37" s="34" t="s">
        <v>1198</v>
      </c>
      <c r="C37" s="35">
        <v>2</v>
      </c>
      <c r="D37" s="35" t="s">
        <v>1018</v>
      </c>
      <c r="E37" s="36" t="s">
        <v>1199</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1200</v>
      </c>
      <c r="C40" s="50">
        <v>90</v>
      </c>
      <c r="D40" s="50" t="s">
        <v>1003</v>
      </c>
      <c r="E40" s="51" t="s">
        <v>1199</v>
      </c>
    </row>
    <row r="41" ht="30" customHeight="1" spans="1:5">
      <c r="A41" s="44" t="s">
        <v>1048</v>
      </c>
      <c r="B41" s="34"/>
      <c r="C41" s="35"/>
      <c r="D41" s="35"/>
      <c r="E41" s="47"/>
    </row>
    <row r="42" ht="30" customHeight="1" spans="1:5">
      <c r="A42" s="55" t="s">
        <v>1049</v>
      </c>
      <c r="B42" s="34" t="s">
        <v>1044</v>
      </c>
      <c r="C42" s="35">
        <v>0</v>
      </c>
      <c r="D42" s="35" t="s">
        <v>1018</v>
      </c>
      <c r="E42" s="36" t="s">
        <v>1044</v>
      </c>
    </row>
    <row r="43" ht="30" customHeight="1" spans="1:5">
      <c r="A43" s="33" t="s">
        <v>1051</v>
      </c>
      <c r="B43" s="34" t="s">
        <v>1052</v>
      </c>
      <c r="C43" s="35">
        <v>7.49</v>
      </c>
      <c r="D43" s="35" t="s">
        <v>1018</v>
      </c>
      <c r="E43" s="36" t="s">
        <v>1201</v>
      </c>
    </row>
    <row r="44" ht="30" customHeight="1" spans="1:5">
      <c r="A44" s="33" t="s">
        <v>1054</v>
      </c>
      <c r="B44" s="34" t="s">
        <v>1044</v>
      </c>
      <c r="C44" s="35">
        <v>0</v>
      </c>
      <c r="D44" s="35" t="s">
        <v>1018</v>
      </c>
      <c r="E44" s="36" t="s">
        <v>1044</v>
      </c>
    </row>
    <row r="45" ht="34.05" customHeight="1" spans="1:5">
      <c r="A45" s="40" t="s">
        <v>1057</v>
      </c>
      <c r="B45" s="34" t="s">
        <v>1202</v>
      </c>
      <c r="C45" s="50">
        <v>90</v>
      </c>
      <c r="D45" s="50" t="s">
        <v>1003</v>
      </c>
      <c r="E45" s="51" t="s">
        <v>1201</v>
      </c>
    </row>
    <row r="46" ht="30" customHeight="1" spans="1:5">
      <c r="A46" s="56" t="s">
        <v>1060</v>
      </c>
      <c r="B46" s="57" t="s">
        <v>1203</v>
      </c>
      <c r="C46" s="58">
        <v>90</v>
      </c>
      <c r="D46" s="58" t="s">
        <v>1003</v>
      </c>
      <c r="E46" s="59" t="s">
        <v>1204</v>
      </c>
    </row>
    <row r="47" s="1" customFormat="1" ht="31.95" customHeight="1" spans="1:5">
      <c r="A47" s="60" t="s">
        <v>1063</v>
      </c>
      <c r="B47" s="61"/>
      <c r="C47" s="62"/>
      <c r="D47" s="62"/>
      <c r="E47" s="63"/>
    </row>
    <row r="48" spans="1:5">
      <c r="A48" s="64" t="s">
        <v>1205</v>
      </c>
      <c r="B48" s="65" t="s">
        <v>1065</v>
      </c>
      <c r="C48" s="66"/>
      <c r="D48" s="66"/>
      <c r="E48" s="67" t="s">
        <v>1204</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1206</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1207</v>
      </c>
    </row>
    <row r="7" ht="18" customHeight="1" spans="1:5">
      <c r="A7" t="s">
        <v>974</v>
      </c>
      <c r="B7" s="8" t="s">
        <v>975</v>
      </c>
      <c r="C7" s="3"/>
      <c r="D7" s="3"/>
      <c r="E7" s="12" t="s">
        <v>52</v>
      </c>
    </row>
    <row r="8" ht="18" customHeight="1" spans="1:5">
      <c r="A8" s="13" t="s">
        <v>976</v>
      </c>
      <c r="B8" s="8" t="s">
        <v>977</v>
      </c>
      <c r="C8" s="3"/>
      <c r="D8" s="3"/>
      <c r="E8">
        <v>8</v>
      </c>
    </row>
    <row r="9" ht="18" customHeight="1" spans="1:5">
      <c r="A9" s="14"/>
      <c r="B9" s="8" t="s">
        <v>978</v>
      </c>
      <c r="C9" s="15"/>
      <c r="D9" s="15"/>
      <c r="E9" s="16">
        <v>50003395</v>
      </c>
    </row>
    <row r="10" spans="1:5">
      <c r="A10" s="17" t="s">
        <v>979</v>
      </c>
      <c r="B10" s="8" t="s">
        <v>980</v>
      </c>
      <c r="C10" s="15"/>
      <c r="D10" s="15"/>
      <c r="E10" s="18">
        <v>66</v>
      </c>
    </row>
    <row r="11" ht="15" customHeight="1" spans="1:5">
      <c r="A11" s="19" t="s">
        <v>404</v>
      </c>
      <c r="B11" s="20" t="s">
        <v>981</v>
      </c>
      <c r="C11" s="3"/>
      <c r="D11" s="3"/>
      <c r="E11" s="21">
        <v>0.066</v>
      </c>
    </row>
    <row r="12" ht="15" customHeight="1" spans="1:5">
      <c r="A12" t="s">
        <v>405</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1170</v>
      </c>
      <c r="C23" s="35">
        <v>90</v>
      </c>
      <c r="D23" s="35" t="s">
        <v>1003</v>
      </c>
      <c r="E23" s="36" t="s">
        <v>1171</v>
      </c>
    </row>
    <row r="24" ht="30" customHeight="1" spans="1:5">
      <c r="A24" s="39" t="s">
        <v>1010</v>
      </c>
      <c r="B24" s="34" t="s">
        <v>1011</v>
      </c>
      <c r="C24" s="35">
        <v>90</v>
      </c>
      <c r="D24" s="35" t="s">
        <v>1003</v>
      </c>
      <c r="E24" s="36" t="s">
        <v>1012</v>
      </c>
    </row>
    <row r="25" ht="30" customHeight="1" spans="1:5">
      <c r="A25" s="40" t="s">
        <v>1013</v>
      </c>
      <c r="B25" s="41" t="s">
        <v>1172</v>
      </c>
      <c r="C25" s="42">
        <v>90</v>
      </c>
      <c r="D25" s="42" t="s">
        <v>1003</v>
      </c>
      <c r="E25" s="43" t="s">
        <v>1173</v>
      </c>
    </row>
    <row r="26" ht="30" customHeight="1" spans="1:5">
      <c r="A26" s="44" t="s">
        <v>1016</v>
      </c>
      <c r="B26" s="45"/>
      <c r="C26" s="46"/>
      <c r="D26" s="46"/>
      <c r="E26" s="47"/>
    </row>
    <row r="27" ht="30" customHeight="1" spans="1:5">
      <c r="A27" s="39" t="s">
        <v>1017</v>
      </c>
      <c r="B27" s="34" t="s">
        <v>1002</v>
      </c>
      <c r="C27" s="35">
        <v>46.002</v>
      </c>
      <c r="D27" s="35" t="s">
        <v>1018</v>
      </c>
      <c r="E27" s="36" t="s">
        <v>1174</v>
      </c>
    </row>
    <row r="28" ht="30" customHeight="1" spans="1:7">
      <c r="A28" s="39" t="s">
        <v>1020</v>
      </c>
      <c r="B28" s="34" t="s">
        <v>1021</v>
      </c>
      <c r="C28" s="35">
        <v>56.026</v>
      </c>
      <c r="D28" s="35" t="s">
        <v>1018</v>
      </c>
      <c r="E28" s="36" t="s">
        <v>1208</v>
      </c>
      <c r="G28" s="48"/>
    </row>
    <row r="29" ht="30" customHeight="1" spans="1:7">
      <c r="A29" s="39" t="s">
        <v>1023</v>
      </c>
      <c r="B29" s="34" t="s">
        <v>1002</v>
      </c>
      <c r="C29" s="35">
        <v>101.3152</v>
      </c>
      <c r="D29" s="35" t="s">
        <v>1018</v>
      </c>
      <c r="E29" s="36" t="s">
        <v>1209</v>
      </c>
      <c r="G29" s="48"/>
    </row>
    <row r="30" ht="30" customHeight="1" spans="1:5">
      <c r="A30" s="39" t="s">
        <v>1025</v>
      </c>
      <c r="B30" s="34" t="s">
        <v>1021</v>
      </c>
      <c r="C30" s="35">
        <v>112.7754</v>
      </c>
      <c r="D30" s="35" t="s">
        <v>1018</v>
      </c>
      <c r="E30" s="36" t="s">
        <v>1210</v>
      </c>
    </row>
    <row r="31" ht="30" customHeight="1" spans="1:5">
      <c r="A31" s="39" t="s">
        <v>1027</v>
      </c>
      <c r="B31" s="34" t="s">
        <v>1028</v>
      </c>
      <c r="C31" s="35">
        <v>198.924</v>
      </c>
      <c r="D31" s="35" t="s">
        <v>1018</v>
      </c>
      <c r="E31" s="36" t="s">
        <v>1178</v>
      </c>
    </row>
    <row r="32" ht="30" customHeight="1" spans="1:5">
      <c r="A32" s="39" t="s">
        <v>1030</v>
      </c>
      <c r="B32" s="34" t="s">
        <v>1002</v>
      </c>
      <c r="C32" s="35">
        <v>198.924</v>
      </c>
      <c r="D32" s="35" t="s">
        <v>1018</v>
      </c>
      <c r="E32" s="36" t="s">
        <v>1179</v>
      </c>
    </row>
    <row r="33" ht="30" customHeight="1" spans="1:5">
      <c r="A33" s="39" t="s">
        <v>1032</v>
      </c>
      <c r="B33" s="34" t="s">
        <v>1021</v>
      </c>
      <c r="C33" s="35">
        <v>242.2701</v>
      </c>
      <c r="D33" s="35" t="s">
        <v>1018</v>
      </c>
      <c r="E33" s="36" t="s">
        <v>1211</v>
      </c>
    </row>
    <row r="34" ht="30" customHeight="1" spans="1:5">
      <c r="A34" s="39" t="s">
        <v>1034</v>
      </c>
      <c r="B34" s="34" t="s">
        <v>1035</v>
      </c>
      <c r="C34" s="35">
        <v>198.924</v>
      </c>
      <c r="D34" s="35" t="s">
        <v>1018</v>
      </c>
      <c r="E34" s="36" t="s">
        <v>1181</v>
      </c>
    </row>
    <row r="35" ht="30" customHeight="1" spans="1:5">
      <c r="A35" s="40" t="s">
        <v>1037</v>
      </c>
      <c r="B35" s="49" t="s">
        <v>1212</v>
      </c>
      <c r="C35" s="50">
        <v>90</v>
      </c>
      <c r="D35" s="50" t="s">
        <v>1003</v>
      </c>
      <c r="E35" s="51" t="s">
        <v>1213</v>
      </c>
    </row>
    <row r="36" ht="30" customHeight="1" spans="1:5">
      <c r="A36" s="44" t="s">
        <v>1040</v>
      </c>
      <c r="B36" s="52"/>
      <c r="C36" s="53"/>
      <c r="D36" s="53"/>
      <c r="E36" s="54"/>
    </row>
    <row r="37" ht="30" customHeight="1" spans="1:5">
      <c r="A37" s="39" t="s">
        <v>1041</v>
      </c>
      <c r="B37" s="34" t="s">
        <v>1002</v>
      </c>
      <c r="C37" s="35">
        <v>553</v>
      </c>
      <c r="D37" s="35" t="s">
        <v>1018</v>
      </c>
      <c r="E37" s="36" t="s">
        <v>1214</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1215</v>
      </c>
      <c r="C40" s="50">
        <v>90</v>
      </c>
      <c r="D40" s="50" t="s">
        <v>1003</v>
      </c>
      <c r="E40" s="51" t="s">
        <v>1214</v>
      </c>
    </row>
    <row r="41" ht="30" customHeight="1" spans="1:5">
      <c r="A41" s="44" t="s">
        <v>1048</v>
      </c>
      <c r="B41" s="34"/>
      <c r="C41" s="35"/>
      <c r="D41" s="35"/>
      <c r="E41" s="47"/>
    </row>
    <row r="42" ht="30" customHeight="1" spans="1:5">
      <c r="A42" s="55" t="s">
        <v>1049</v>
      </c>
      <c r="B42" s="34" t="s">
        <v>1021</v>
      </c>
      <c r="C42" s="35">
        <v>615.5518</v>
      </c>
      <c r="D42" s="35" t="s">
        <v>1018</v>
      </c>
      <c r="E42" s="36" t="s">
        <v>1216</v>
      </c>
    </row>
    <row r="43" ht="30" customHeight="1" spans="1:5">
      <c r="A43" s="33" t="s">
        <v>1051</v>
      </c>
      <c r="B43" s="34" t="s">
        <v>1052</v>
      </c>
      <c r="C43" s="35">
        <v>4.5038</v>
      </c>
      <c r="D43" s="35" t="s">
        <v>1018</v>
      </c>
      <c r="E43" s="36" t="s">
        <v>1217</v>
      </c>
    </row>
    <row r="44" ht="30" customHeight="1" spans="1:5">
      <c r="A44" s="33" t="s">
        <v>1054</v>
      </c>
      <c r="B44" s="34" t="s">
        <v>1055</v>
      </c>
      <c r="C44" s="35">
        <v>3196.3767</v>
      </c>
      <c r="D44" s="35" t="s">
        <v>1018</v>
      </c>
      <c r="E44" s="36" t="s">
        <v>1218</v>
      </c>
    </row>
    <row r="45" ht="34.05" customHeight="1" spans="1:5">
      <c r="A45" s="40" t="s">
        <v>1057</v>
      </c>
      <c r="B45" s="34" t="s">
        <v>1219</v>
      </c>
      <c r="C45" s="50">
        <v>90</v>
      </c>
      <c r="D45" s="50" t="s">
        <v>1003</v>
      </c>
      <c r="E45" s="51" t="s">
        <v>1220</v>
      </c>
    </row>
    <row r="46" ht="30" customHeight="1" spans="1:5">
      <c r="A46" s="56" t="s">
        <v>1060</v>
      </c>
      <c r="B46" s="57" t="s">
        <v>1221</v>
      </c>
      <c r="C46" s="58">
        <v>90</v>
      </c>
      <c r="D46" s="58" t="s">
        <v>1003</v>
      </c>
      <c r="E46" s="59" t="s">
        <v>1222</v>
      </c>
    </row>
    <row r="47" s="1" customFormat="1" ht="31.95" customHeight="1" spans="1:5">
      <c r="A47" s="60" t="s">
        <v>1063</v>
      </c>
      <c r="B47" s="61"/>
      <c r="C47" s="62"/>
      <c r="D47" s="62"/>
      <c r="E47" s="63"/>
    </row>
    <row r="48" spans="1:5">
      <c r="A48" s="64" t="s">
        <v>1064</v>
      </c>
      <c r="B48" s="65" t="s">
        <v>1065</v>
      </c>
      <c r="C48" s="66"/>
      <c r="D48" s="66"/>
      <c r="E48" s="67" t="s">
        <v>1222</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1223</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1224</v>
      </c>
    </row>
    <row r="7" ht="18" customHeight="1" spans="1:5">
      <c r="A7" t="s">
        <v>974</v>
      </c>
      <c r="B7" s="8" t="s">
        <v>975</v>
      </c>
      <c r="C7" s="3"/>
      <c r="D7" s="3"/>
      <c r="E7" s="12" t="s">
        <v>52</v>
      </c>
    </row>
    <row r="8" ht="18" customHeight="1" spans="1:5">
      <c r="A8" s="13" t="s">
        <v>976</v>
      </c>
      <c r="B8" s="8" t="s">
        <v>977</v>
      </c>
      <c r="C8" s="3"/>
      <c r="D8" s="3"/>
      <c r="E8">
        <v>9</v>
      </c>
    </row>
    <row r="9" ht="18" customHeight="1" spans="1:5">
      <c r="A9" s="14"/>
      <c r="B9" s="8" t="s">
        <v>978</v>
      </c>
      <c r="C9" s="15"/>
      <c r="D9" s="15"/>
      <c r="E9" s="16">
        <v>50003435</v>
      </c>
    </row>
    <row r="10" spans="1:5">
      <c r="A10" s="17" t="s">
        <v>979</v>
      </c>
      <c r="B10" s="8" t="s">
        <v>980</v>
      </c>
      <c r="C10" s="15"/>
      <c r="D10" s="15"/>
      <c r="E10" s="18">
        <v>66</v>
      </c>
    </row>
    <row r="11" ht="15" customHeight="1" spans="1:5">
      <c r="A11" s="19" t="s">
        <v>406</v>
      </c>
      <c r="B11" s="20" t="s">
        <v>981</v>
      </c>
      <c r="C11" s="3"/>
      <c r="D11" s="3"/>
      <c r="E11" s="21">
        <v>0.066</v>
      </c>
    </row>
    <row r="12" ht="15" customHeight="1" spans="1:5">
      <c r="A12" t="s">
        <v>407</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1170</v>
      </c>
      <c r="C23" s="35">
        <v>90</v>
      </c>
      <c r="D23" s="35" t="s">
        <v>1003</v>
      </c>
      <c r="E23" s="36" t="s">
        <v>1171</v>
      </c>
    </row>
    <row r="24" ht="30" customHeight="1" spans="1:5">
      <c r="A24" s="39" t="s">
        <v>1010</v>
      </c>
      <c r="B24" s="34" t="s">
        <v>1011</v>
      </c>
      <c r="C24" s="35">
        <v>90</v>
      </c>
      <c r="D24" s="35" t="s">
        <v>1003</v>
      </c>
      <c r="E24" s="36" t="s">
        <v>1012</v>
      </c>
    </row>
    <row r="25" ht="30" customHeight="1" spans="1:5">
      <c r="A25" s="40" t="s">
        <v>1013</v>
      </c>
      <c r="B25" s="41" t="s">
        <v>1172</v>
      </c>
      <c r="C25" s="42">
        <v>90</v>
      </c>
      <c r="D25" s="42" t="s">
        <v>1003</v>
      </c>
      <c r="E25" s="43" t="s">
        <v>1173</v>
      </c>
    </row>
    <row r="26" ht="30" customHeight="1" spans="1:5">
      <c r="A26" s="44" t="s">
        <v>1016</v>
      </c>
      <c r="B26" s="45"/>
      <c r="C26" s="46"/>
      <c r="D26" s="46"/>
      <c r="E26" s="47"/>
    </row>
    <row r="27" ht="30" customHeight="1" spans="1:5">
      <c r="A27" s="39" t="s">
        <v>1017</v>
      </c>
      <c r="B27" s="34" t="s">
        <v>1002</v>
      </c>
      <c r="C27" s="35">
        <v>46.002</v>
      </c>
      <c r="D27" s="35" t="s">
        <v>1018</v>
      </c>
      <c r="E27" s="36" t="s">
        <v>1174</v>
      </c>
    </row>
    <row r="28" ht="30" customHeight="1" spans="1:7">
      <c r="A28" s="39" t="s">
        <v>1020</v>
      </c>
      <c r="B28" s="34" t="s">
        <v>1044</v>
      </c>
      <c r="C28" s="35">
        <v>0</v>
      </c>
      <c r="D28" s="35" t="s">
        <v>1018</v>
      </c>
      <c r="E28" s="36" t="s">
        <v>1044</v>
      </c>
      <c r="G28" s="48"/>
    </row>
    <row r="29" ht="30" customHeight="1" spans="1:7">
      <c r="A29" s="39" t="s">
        <v>1023</v>
      </c>
      <c r="B29" s="34" t="s">
        <v>1002</v>
      </c>
      <c r="C29" s="35">
        <v>15.0232</v>
      </c>
      <c r="D29" s="35" t="s">
        <v>1018</v>
      </c>
      <c r="E29" s="36" t="s">
        <v>1225</v>
      </c>
      <c r="G29" s="48"/>
    </row>
    <row r="30" ht="30" customHeight="1" spans="1:5">
      <c r="A30" s="39" t="s">
        <v>1025</v>
      </c>
      <c r="B30" s="34" t="s">
        <v>1044</v>
      </c>
      <c r="C30" s="35">
        <v>0</v>
      </c>
      <c r="D30" s="35" t="s">
        <v>1018</v>
      </c>
      <c r="E30" s="36" t="s">
        <v>1044</v>
      </c>
    </row>
    <row r="31" ht="30" customHeight="1" spans="1:5">
      <c r="A31" s="39" t="s">
        <v>1027</v>
      </c>
      <c r="B31" s="34" t="s">
        <v>1028</v>
      </c>
      <c r="C31" s="35">
        <v>198.924</v>
      </c>
      <c r="D31" s="35" t="s">
        <v>1018</v>
      </c>
      <c r="E31" s="36" t="s">
        <v>1178</v>
      </c>
    </row>
    <row r="32" ht="30" customHeight="1" spans="1:5">
      <c r="A32" s="39" t="s">
        <v>1030</v>
      </c>
      <c r="B32" s="34" t="s">
        <v>1002</v>
      </c>
      <c r="C32" s="35">
        <v>198.924</v>
      </c>
      <c r="D32" s="35" t="s">
        <v>1018</v>
      </c>
      <c r="E32" s="36" t="s">
        <v>1179</v>
      </c>
    </row>
    <row r="33" ht="30" customHeight="1" spans="1:5">
      <c r="A33" s="39" t="s">
        <v>1032</v>
      </c>
      <c r="B33" s="34" t="s">
        <v>1044</v>
      </c>
      <c r="C33" s="35">
        <v>0</v>
      </c>
      <c r="D33" s="35" t="s">
        <v>1018</v>
      </c>
      <c r="E33" s="36" t="s">
        <v>1044</v>
      </c>
    </row>
    <row r="34" ht="30" customHeight="1" spans="1:5">
      <c r="A34" s="39" t="s">
        <v>1034</v>
      </c>
      <c r="B34" s="34" t="s">
        <v>1035</v>
      </c>
      <c r="C34" s="35">
        <v>198.924</v>
      </c>
      <c r="D34" s="35" t="s">
        <v>1018</v>
      </c>
      <c r="E34" s="36" t="s">
        <v>1181</v>
      </c>
    </row>
    <row r="35" ht="30" customHeight="1" spans="1:5">
      <c r="A35" s="40" t="s">
        <v>1037</v>
      </c>
      <c r="B35" s="49" t="s">
        <v>1226</v>
      </c>
      <c r="C35" s="50">
        <v>90</v>
      </c>
      <c r="D35" s="50" t="s">
        <v>1003</v>
      </c>
      <c r="E35" s="51" t="s">
        <v>1227</v>
      </c>
    </row>
    <row r="36" ht="30" customHeight="1" spans="1:5">
      <c r="A36" s="44" t="s">
        <v>1040</v>
      </c>
      <c r="B36" s="52"/>
      <c r="C36" s="53"/>
      <c r="D36" s="53"/>
      <c r="E36" s="54"/>
    </row>
    <row r="37" ht="30" customHeight="1" spans="1:5">
      <c r="A37" s="39" t="s">
        <v>1041</v>
      </c>
      <c r="B37" s="34" t="s">
        <v>1198</v>
      </c>
      <c r="C37" s="35">
        <v>82</v>
      </c>
      <c r="D37" s="35" t="s">
        <v>1018</v>
      </c>
      <c r="E37" s="36" t="s">
        <v>1228</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1229</v>
      </c>
      <c r="C40" s="50">
        <v>90</v>
      </c>
      <c r="D40" s="50" t="s">
        <v>1003</v>
      </c>
      <c r="E40" s="51" t="s">
        <v>1228</v>
      </c>
    </row>
    <row r="41" ht="30" customHeight="1" spans="1:5">
      <c r="A41" s="44" t="s">
        <v>1048</v>
      </c>
      <c r="B41" s="34"/>
      <c r="C41" s="35"/>
      <c r="D41" s="35"/>
      <c r="E41" s="47"/>
    </row>
    <row r="42" ht="30" customHeight="1" spans="1:5">
      <c r="A42" s="55" t="s">
        <v>1049</v>
      </c>
      <c r="B42" s="34" t="s">
        <v>1044</v>
      </c>
      <c r="C42" s="35">
        <v>0</v>
      </c>
      <c r="D42" s="35" t="s">
        <v>1018</v>
      </c>
      <c r="E42" s="36" t="s">
        <v>1044</v>
      </c>
    </row>
    <row r="43" ht="30" customHeight="1" spans="1:5">
      <c r="A43" s="33" t="s">
        <v>1051</v>
      </c>
      <c r="B43" s="34" t="s">
        <v>1052</v>
      </c>
      <c r="C43" s="35">
        <v>7.0565</v>
      </c>
      <c r="D43" s="35" t="s">
        <v>1018</v>
      </c>
      <c r="E43" s="36" t="s">
        <v>1230</v>
      </c>
    </row>
    <row r="44" ht="30" customHeight="1" spans="1:5">
      <c r="A44" s="33" t="s">
        <v>1054</v>
      </c>
      <c r="B44" s="34" t="s">
        <v>1044</v>
      </c>
      <c r="C44" s="35">
        <v>0</v>
      </c>
      <c r="D44" s="35" t="s">
        <v>1018</v>
      </c>
      <c r="E44" s="36" t="s">
        <v>1044</v>
      </c>
    </row>
    <row r="45" ht="34.05" customHeight="1" spans="1:5">
      <c r="A45" s="40" t="s">
        <v>1057</v>
      </c>
      <c r="B45" s="34" t="s">
        <v>1231</v>
      </c>
      <c r="C45" s="50">
        <v>90</v>
      </c>
      <c r="D45" s="50" t="s">
        <v>1003</v>
      </c>
      <c r="E45" s="51" t="s">
        <v>1230</v>
      </c>
    </row>
    <row r="46" ht="30" customHeight="1" spans="1:5">
      <c r="A46" s="56" t="s">
        <v>1060</v>
      </c>
      <c r="B46" s="57" t="s">
        <v>1232</v>
      </c>
      <c r="C46" s="58">
        <v>90</v>
      </c>
      <c r="D46" s="58" t="s">
        <v>1003</v>
      </c>
      <c r="E46" s="59" t="s">
        <v>1233</v>
      </c>
    </row>
    <row r="47" s="1" customFormat="1" ht="31.95" customHeight="1" spans="1:5">
      <c r="A47" s="60" t="s">
        <v>1063</v>
      </c>
      <c r="B47" s="61"/>
      <c r="C47" s="62"/>
      <c r="D47" s="62"/>
      <c r="E47" s="63"/>
    </row>
    <row r="48" spans="1:5">
      <c r="A48" s="64" t="s">
        <v>1205</v>
      </c>
      <c r="B48" s="65" t="s">
        <v>1065</v>
      </c>
      <c r="C48" s="66"/>
      <c r="D48" s="66"/>
      <c r="E48" s="67" t="s">
        <v>1233</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1234</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1235</v>
      </c>
    </row>
    <row r="7" ht="18" customHeight="1" spans="1:5">
      <c r="A7" t="s">
        <v>974</v>
      </c>
      <c r="B7" s="8" t="s">
        <v>975</v>
      </c>
      <c r="C7" s="3"/>
      <c r="D7" s="3"/>
      <c r="E7" s="12" t="s">
        <v>52</v>
      </c>
    </row>
    <row r="8" ht="18" customHeight="1" spans="1:5">
      <c r="A8" s="13" t="s">
        <v>976</v>
      </c>
      <c r="B8" s="8" t="s">
        <v>977</v>
      </c>
      <c r="C8" s="3"/>
      <c r="D8" s="3"/>
      <c r="E8">
        <v>10</v>
      </c>
    </row>
    <row r="9" ht="18" customHeight="1" spans="1:5">
      <c r="A9" s="14"/>
      <c r="B9" s="8" t="s">
        <v>978</v>
      </c>
      <c r="C9" s="15"/>
      <c r="D9" s="15"/>
      <c r="E9" s="16">
        <v>50002952</v>
      </c>
    </row>
    <row r="10" spans="1:5">
      <c r="A10" s="17" t="s">
        <v>979</v>
      </c>
      <c r="B10" s="8" t="s">
        <v>980</v>
      </c>
      <c r="C10" s="15"/>
      <c r="D10" s="15"/>
      <c r="E10" s="18">
        <v>31</v>
      </c>
    </row>
    <row r="11" ht="15" customHeight="1" spans="1:5">
      <c r="A11" t="s">
        <v>408</v>
      </c>
      <c r="B11" s="20" t="s">
        <v>981</v>
      </c>
      <c r="C11" s="3"/>
      <c r="D11" s="3"/>
      <c r="E11" s="21">
        <v>0.031</v>
      </c>
    </row>
    <row r="12" ht="15" customHeight="1" spans="1:5">
      <c r="A12" t="s">
        <v>409</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1236</v>
      </c>
      <c r="C23" s="35">
        <v>90</v>
      </c>
      <c r="D23" s="35" t="s">
        <v>1003</v>
      </c>
      <c r="E23" s="36" t="s">
        <v>1237</v>
      </c>
    </row>
    <row r="24" ht="30" customHeight="1" spans="1:5">
      <c r="A24" s="39" t="s">
        <v>1010</v>
      </c>
      <c r="B24" s="34" t="s">
        <v>1011</v>
      </c>
      <c r="C24" s="35">
        <v>90</v>
      </c>
      <c r="D24" s="35" t="s">
        <v>1003</v>
      </c>
      <c r="E24" s="36" t="s">
        <v>1012</v>
      </c>
    </row>
    <row r="25" ht="30" customHeight="1" spans="1:5">
      <c r="A25" s="40" t="s">
        <v>1013</v>
      </c>
      <c r="B25" s="41" t="s">
        <v>1238</v>
      </c>
      <c r="C25" s="42">
        <v>90</v>
      </c>
      <c r="D25" s="42" t="s">
        <v>1003</v>
      </c>
      <c r="E25" s="43" t="s">
        <v>1239</v>
      </c>
    </row>
    <row r="26" ht="30" customHeight="1" spans="1:5">
      <c r="A26" s="44" t="s">
        <v>1016</v>
      </c>
      <c r="B26" s="45"/>
      <c r="C26" s="46"/>
      <c r="D26" s="46"/>
      <c r="E26" s="47"/>
    </row>
    <row r="27" ht="30" customHeight="1" spans="1:5">
      <c r="A27" s="39" t="s">
        <v>1017</v>
      </c>
      <c r="B27" s="34" t="s">
        <v>1002</v>
      </c>
      <c r="C27" s="35">
        <v>21.607</v>
      </c>
      <c r="D27" s="35" t="s">
        <v>1018</v>
      </c>
      <c r="E27" s="36" t="s">
        <v>1240</v>
      </c>
    </row>
    <row r="28" ht="30" customHeight="1" spans="1:7">
      <c r="A28" s="39" t="s">
        <v>1020</v>
      </c>
      <c r="B28" s="34" t="s">
        <v>1021</v>
      </c>
      <c r="C28" s="35">
        <v>30.6995</v>
      </c>
      <c r="D28" s="35" t="s">
        <v>1018</v>
      </c>
      <c r="E28" s="36" t="s">
        <v>1241</v>
      </c>
      <c r="G28" s="48"/>
    </row>
    <row r="29" ht="30" customHeight="1" spans="1:7">
      <c r="A29" s="39" t="s">
        <v>1023</v>
      </c>
      <c r="B29" s="34" t="s">
        <v>1002</v>
      </c>
      <c r="C29" s="35">
        <v>46.5354</v>
      </c>
      <c r="D29" s="35" t="s">
        <v>1018</v>
      </c>
      <c r="E29" s="36" t="s">
        <v>1242</v>
      </c>
      <c r="G29" s="48"/>
    </row>
    <row r="30" ht="30" customHeight="1" spans="1:5">
      <c r="A30" s="39" t="s">
        <v>1025</v>
      </c>
      <c r="B30" s="34" t="s">
        <v>1021</v>
      </c>
      <c r="C30" s="35">
        <v>61.7955</v>
      </c>
      <c r="D30" s="35" t="s">
        <v>1018</v>
      </c>
      <c r="E30" s="36" t="s">
        <v>1243</v>
      </c>
    </row>
    <row r="31" ht="30" customHeight="1" spans="1:5">
      <c r="A31" s="39" t="s">
        <v>1027</v>
      </c>
      <c r="B31" s="34" t="s">
        <v>1028</v>
      </c>
      <c r="C31" s="35">
        <v>93.434</v>
      </c>
      <c r="D31" s="35" t="s">
        <v>1018</v>
      </c>
      <c r="E31" s="36" t="s">
        <v>1244</v>
      </c>
    </row>
    <row r="32" ht="30" customHeight="1" spans="1:5">
      <c r="A32" s="39" t="s">
        <v>1030</v>
      </c>
      <c r="B32" s="34" t="s">
        <v>1002</v>
      </c>
      <c r="C32" s="35">
        <v>93.434</v>
      </c>
      <c r="D32" s="35" t="s">
        <v>1018</v>
      </c>
      <c r="E32" s="36" t="s">
        <v>1245</v>
      </c>
    </row>
    <row r="33" ht="30" customHeight="1" spans="1:5">
      <c r="A33" s="39" t="s">
        <v>1032</v>
      </c>
      <c r="B33" s="34" t="s">
        <v>1021</v>
      </c>
      <c r="C33" s="35">
        <v>132.7523</v>
      </c>
      <c r="D33" s="35" t="s">
        <v>1018</v>
      </c>
      <c r="E33" s="36" t="s">
        <v>1246</v>
      </c>
    </row>
    <row r="34" ht="30" customHeight="1" spans="1:5">
      <c r="A34" s="39" t="s">
        <v>1034</v>
      </c>
      <c r="B34" s="34" t="s">
        <v>1035</v>
      </c>
      <c r="C34" s="35">
        <v>93.434</v>
      </c>
      <c r="D34" s="35" t="s">
        <v>1018</v>
      </c>
      <c r="E34" s="36" t="s">
        <v>1247</v>
      </c>
    </row>
    <row r="35" ht="30" customHeight="1" spans="1:5">
      <c r="A35" s="40" t="s">
        <v>1037</v>
      </c>
      <c r="B35" s="49" t="s">
        <v>1248</v>
      </c>
      <c r="C35" s="50">
        <v>90</v>
      </c>
      <c r="D35" s="50" t="s">
        <v>1003</v>
      </c>
      <c r="E35" s="51" t="s">
        <v>1249</v>
      </c>
    </row>
    <row r="36" ht="30" customHeight="1" spans="1:5">
      <c r="A36" s="44" t="s">
        <v>1040</v>
      </c>
      <c r="B36" s="52"/>
      <c r="C36" s="53"/>
      <c r="D36" s="53"/>
      <c r="E36" s="54"/>
    </row>
    <row r="37" ht="30" customHeight="1" spans="1:5">
      <c r="A37" s="39" t="s">
        <v>1041</v>
      </c>
      <c r="B37" s="34" t="s">
        <v>1002</v>
      </c>
      <c r="C37" s="35">
        <v>254</v>
      </c>
      <c r="D37" s="35" t="s">
        <v>1018</v>
      </c>
      <c r="E37" s="36" t="s">
        <v>1250</v>
      </c>
    </row>
    <row r="38" ht="30" customHeight="1" spans="1:5">
      <c r="A38" s="39" t="s">
        <v>1043</v>
      </c>
      <c r="B38" s="34" t="s">
        <v>1251</v>
      </c>
      <c r="C38" s="35">
        <v>0</v>
      </c>
      <c r="D38" s="35" t="s">
        <v>1018</v>
      </c>
      <c r="E38" s="36" t="s">
        <v>1252</v>
      </c>
    </row>
    <row r="39" ht="30" customHeight="1" spans="1:5">
      <c r="A39" s="39" t="s">
        <v>1045</v>
      </c>
      <c r="B39" s="34" t="s">
        <v>1044</v>
      </c>
      <c r="C39" s="35">
        <v>0</v>
      </c>
      <c r="D39" s="35" t="s">
        <v>1018</v>
      </c>
      <c r="E39" s="36" t="s">
        <v>1044</v>
      </c>
    </row>
    <row r="40" ht="30" customHeight="1" spans="1:5">
      <c r="A40" s="40" t="s">
        <v>1046</v>
      </c>
      <c r="B40" s="49" t="s">
        <v>1253</v>
      </c>
      <c r="C40" s="50">
        <v>90</v>
      </c>
      <c r="D40" s="50" t="s">
        <v>1003</v>
      </c>
      <c r="E40" s="51" t="s">
        <v>1250</v>
      </c>
    </row>
    <row r="41" ht="30" customHeight="1" spans="1:5">
      <c r="A41" s="44" t="s">
        <v>1048</v>
      </c>
      <c r="B41" s="34"/>
      <c r="C41" s="35"/>
      <c r="D41" s="35"/>
      <c r="E41" s="47"/>
    </row>
    <row r="42" ht="30" customHeight="1" spans="1:5">
      <c r="A42" s="55" t="s">
        <v>1049</v>
      </c>
      <c r="B42" s="34" t="s">
        <v>1021</v>
      </c>
      <c r="C42" s="35">
        <v>337.2927</v>
      </c>
      <c r="D42" s="35" t="s">
        <v>1018</v>
      </c>
      <c r="E42" s="36" t="s">
        <v>1254</v>
      </c>
    </row>
    <row r="43" ht="30" customHeight="1" spans="1:5">
      <c r="A43" s="33" t="s">
        <v>1051</v>
      </c>
      <c r="B43" s="34" t="s">
        <v>1052</v>
      </c>
      <c r="C43" s="35">
        <v>2.1466</v>
      </c>
      <c r="D43" s="35" t="s">
        <v>1018</v>
      </c>
      <c r="E43" s="36" t="s">
        <v>1053</v>
      </c>
    </row>
    <row r="44" ht="30" customHeight="1" spans="1:5">
      <c r="A44" s="33" t="s">
        <v>1054</v>
      </c>
      <c r="B44" s="34" t="s">
        <v>1055</v>
      </c>
      <c r="C44" s="35">
        <v>1751.46</v>
      </c>
      <c r="D44" s="35" t="s">
        <v>1018</v>
      </c>
      <c r="E44" s="36" t="s">
        <v>1255</v>
      </c>
    </row>
    <row r="45" ht="34.05" customHeight="1" spans="1:5">
      <c r="A45" s="40" t="s">
        <v>1057</v>
      </c>
      <c r="B45" s="34" t="s">
        <v>1256</v>
      </c>
      <c r="C45" s="50">
        <v>90</v>
      </c>
      <c r="D45" s="50" t="s">
        <v>1003</v>
      </c>
      <c r="E45" s="51" t="s">
        <v>1257</v>
      </c>
    </row>
    <row r="46" ht="30" customHeight="1" spans="1:5">
      <c r="A46" s="56" t="s">
        <v>1060</v>
      </c>
      <c r="B46" s="57" t="s">
        <v>1258</v>
      </c>
      <c r="C46" s="58">
        <v>90</v>
      </c>
      <c r="D46" s="58" t="s">
        <v>1003</v>
      </c>
      <c r="E46" s="59" t="s">
        <v>1259</v>
      </c>
    </row>
    <row r="47" s="1" customFormat="1" ht="31.95" customHeight="1" spans="1:5">
      <c r="A47" s="60" t="s">
        <v>1063</v>
      </c>
      <c r="B47" s="61"/>
      <c r="C47" s="62"/>
      <c r="D47" s="62"/>
      <c r="E47" s="63"/>
    </row>
    <row r="48" spans="1:5">
      <c r="A48" s="64" t="s">
        <v>1064</v>
      </c>
      <c r="B48" s="65" t="s">
        <v>1065</v>
      </c>
      <c r="C48" s="66"/>
      <c r="D48" s="66"/>
      <c r="E48" s="67" t="s">
        <v>1259</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1260</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1261</v>
      </c>
    </row>
    <row r="7" ht="18" customHeight="1" spans="1:5">
      <c r="A7" t="s">
        <v>974</v>
      </c>
      <c r="B7" s="8" t="s">
        <v>975</v>
      </c>
      <c r="C7" s="3"/>
      <c r="D7" s="3"/>
      <c r="E7" s="12" t="s">
        <v>52</v>
      </c>
    </row>
    <row r="8" ht="18" customHeight="1" spans="1:5">
      <c r="A8" s="13" t="s">
        <v>976</v>
      </c>
      <c r="B8" s="8" t="s">
        <v>977</v>
      </c>
      <c r="C8" s="3"/>
      <c r="D8" s="3"/>
      <c r="E8">
        <v>11</v>
      </c>
    </row>
    <row r="9" ht="18" customHeight="1" spans="1:5">
      <c r="A9" s="14"/>
      <c r="B9" s="8" t="s">
        <v>978</v>
      </c>
      <c r="C9" s="15"/>
      <c r="D9" s="15"/>
      <c r="E9" s="16">
        <v>50002944</v>
      </c>
    </row>
    <row r="10" spans="1:5">
      <c r="A10" s="17" t="s">
        <v>979</v>
      </c>
      <c r="B10" s="8" t="s">
        <v>980</v>
      </c>
      <c r="C10" s="15"/>
      <c r="D10" s="15"/>
      <c r="E10" s="18">
        <v>31</v>
      </c>
    </row>
    <row r="11" ht="15" customHeight="1" spans="1:5">
      <c r="A11" t="s">
        <v>410</v>
      </c>
      <c r="B11" s="20" t="s">
        <v>981</v>
      </c>
      <c r="C11" s="3"/>
      <c r="D11" s="3"/>
      <c r="E11" s="21">
        <v>0.031</v>
      </c>
    </row>
    <row r="12" ht="15" customHeight="1" spans="1:5">
      <c r="A12" t="s">
        <v>411</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1236</v>
      </c>
      <c r="C23" s="35">
        <v>90</v>
      </c>
      <c r="D23" s="35" t="s">
        <v>1003</v>
      </c>
      <c r="E23" s="36" t="s">
        <v>1237</v>
      </c>
    </row>
    <row r="24" ht="30" customHeight="1" spans="1:5">
      <c r="A24" s="39" t="s">
        <v>1010</v>
      </c>
      <c r="B24" s="34" t="s">
        <v>1011</v>
      </c>
      <c r="C24" s="35">
        <v>90</v>
      </c>
      <c r="D24" s="35" t="s">
        <v>1003</v>
      </c>
      <c r="E24" s="36" t="s">
        <v>1012</v>
      </c>
    </row>
    <row r="25" ht="30" customHeight="1" spans="1:5">
      <c r="A25" s="40" t="s">
        <v>1013</v>
      </c>
      <c r="B25" s="41" t="s">
        <v>1238</v>
      </c>
      <c r="C25" s="42">
        <v>90</v>
      </c>
      <c r="D25" s="42" t="s">
        <v>1003</v>
      </c>
      <c r="E25" s="43" t="s">
        <v>1239</v>
      </c>
    </row>
    <row r="26" ht="30" customHeight="1" spans="1:5">
      <c r="A26" s="44" t="s">
        <v>1016</v>
      </c>
      <c r="B26" s="45"/>
      <c r="C26" s="46"/>
      <c r="D26" s="46"/>
      <c r="E26" s="47"/>
    </row>
    <row r="27" ht="30" customHeight="1" spans="1:5">
      <c r="A27" s="39" t="s">
        <v>1017</v>
      </c>
      <c r="B27" s="34" t="s">
        <v>1002</v>
      </c>
      <c r="C27" s="35">
        <v>21.607</v>
      </c>
      <c r="D27" s="35" t="s">
        <v>1018</v>
      </c>
      <c r="E27" s="36" t="s">
        <v>1240</v>
      </c>
    </row>
    <row r="28" ht="30" customHeight="1" spans="1:7">
      <c r="A28" s="39" t="s">
        <v>1020</v>
      </c>
      <c r="B28" s="34" t="s">
        <v>1044</v>
      </c>
      <c r="C28" s="35">
        <v>0</v>
      </c>
      <c r="D28" s="35" t="s">
        <v>1018</v>
      </c>
      <c r="E28" s="36" t="s">
        <v>1044</v>
      </c>
      <c r="G28" s="48"/>
    </row>
    <row r="29" ht="30" customHeight="1" spans="1:7">
      <c r="A29" s="39" t="s">
        <v>1023</v>
      </c>
      <c r="B29" s="34" t="s">
        <v>1002</v>
      </c>
      <c r="C29" s="35">
        <v>20.7028</v>
      </c>
      <c r="D29" s="35" t="s">
        <v>1018</v>
      </c>
      <c r="E29" s="36" t="s">
        <v>1262</v>
      </c>
      <c r="G29" s="48"/>
    </row>
    <row r="30" ht="30" customHeight="1" spans="1:5">
      <c r="A30" s="39" t="s">
        <v>1025</v>
      </c>
      <c r="B30" s="34" t="s">
        <v>1044</v>
      </c>
      <c r="C30" s="35">
        <v>0</v>
      </c>
      <c r="D30" s="35" t="s">
        <v>1018</v>
      </c>
      <c r="E30" s="36" t="s">
        <v>1044</v>
      </c>
    </row>
    <row r="31" ht="30" customHeight="1" spans="1:5">
      <c r="A31" s="39" t="s">
        <v>1027</v>
      </c>
      <c r="B31" s="34" t="s">
        <v>1028</v>
      </c>
      <c r="C31" s="35">
        <v>93.434</v>
      </c>
      <c r="D31" s="35" t="s">
        <v>1018</v>
      </c>
      <c r="E31" s="36" t="s">
        <v>1244</v>
      </c>
    </row>
    <row r="32" ht="30" customHeight="1" spans="1:5">
      <c r="A32" s="39" t="s">
        <v>1030</v>
      </c>
      <c r="B32" s="34" t="s">
        <v>1002</v>
      </c>
      <c r="C32" s="35">
        <v>93.434</v>
      </c>
      <c r="D32" s="35" t="s">
        <v>1018</v>
      </c>
      <c r="E32" s="36" t="s">
        <v>1245</v>
      </c>
    </row>
    <row r="33" ht="30" customHeight="1" spans="1:5">
      <c r="A33" s="39" t="s">
        <v>1032</v>
      </c>
      <c r="B33" s="34" t="s">
        <v>1044</v>
      </c>
      <c r="C33" s="35">
        <v>0</v>
      </c>
      <c r="D33" s="35" t="s">
        <v>1018</v>
      </c>
      <c r="E33" s="36" t="s">
        <v>1044</v>
      </c>
    </row>
    <row r="34" ht="30" customHeight="1" spans="1:5">
      <c r="A34" s="39" t="s">
        <v>1034</v>
      </c>
      <c r="B34" s="34" t="s">
        <v>1035</v>
      </c>
      <c r="C34" s="35">
        <v>93.434</v>
      </c>
      <c r="D34" s="35" t="s">
        <v>1018</v>
      </c>
      <c r="E34" s="36" t="s">
        <v>1247</v>
      </c>
    </row>
    <row r="35" ht="30" customHeight="1" spans="1:5">
      <c r="A35" s="40" t="s">
        <v>1037</v>
      </c>
      <c r="B35" s="49" t="s">
        <v>1263</v>
      </c>
      <c r="C35" s="50">
        <v>90</v>
      </c>
      <c r="D35" s="50" t="s">
        <v>1003</v>
      </c>
      <c r="E35" s="51" t="s">
        <v>1264</v>
      </c>
    </row>
    <row r="36" ht="30" customHeight="1" spans="1:5">
      <c r="A36" s="44" t="s">
        <v>1040</v>
      </c>
      <c r="B36" s="52"/>
      <c r="C36" s="53"/>
      <c r="D36" s="53"/>
      <c r="E36" s="54"/>
    </row>
    <row r="37" ht="30" customHeight="1" spans="1:5">
      <c r="A37" s="39" t="s">
        <v>1041</v>
      </c>
      <c r="B37" s="34" t="s">
        <v>1198</v>
      </c>
      <c r="C37" s="35">
        <v>113</v>
      </c>
      <c r="D37" s="35" t="s">
        <v>1018</v>
      </c>
      <c r="E37" s="36" t="s">
        <v>1265</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1266</v>
      </c>
      <c r="C40" s="50">
        <v>90</v>
      </c>
      <c r="D40" s="50" t="s">
        <v>1003</v>
      </c>
      <c r="E40" s="51" t="s">
        <v>1265</v>
      </c>
    </row>
    <row r="41" ht="30" customHeight="1" spans="1:5">
      <c r="A41" s="44" t="s">
        <v>1048</v>
      </c>
      <c r="B41" s="34"/>
      <c r="C41" s="35"/>
      <c r="D41" s="35"/>
      <c r="E41" s="47"/>
    </row>
    <row r="42" ht="30" customHeight="1" spans="1:5">
      <c r="A42" s="55" t="s">
        <v>1049</v>
      </c>
      <c r="B42" s="34" t="s">
        <v>1044</v>
      </c>
      <c r="C42" s="35">
        <v>0</v>
      </c>
      <c r="D42" s="35" t="s">
        <v>1018</v>
      </c>
      <c r="E42" s="36" t="s">
        <v>1044</v>
      </c>
    </row>
    <row r="43" ht="30" customHeight="1" spans="1:5">
      <c r="A43" s="33" t="s">
        <v>1051</v>
      </c>
      <c r="B43" s="34" t="s">
        <v>1052</v>
      </c>
      <c r="C43" s="35">
        <v>2.9107</v>
      </c>
      <c r="D43" s="35" t="s">
        <v>1018</v>
      </c>
      <c r="E43" s="36" t="s">
        <v>1267</v>
      </c>
    </row>
    <row r="44" ht="30" customHeight="1" spans="1:5">
      <c r="A44" s="33" t="s">
        <v>1054</v>
      </c>
      <c r="B44" s="34" t="s">
        <v>1044</v>
      </c>
      <c r="C44" s="35">
        <v>0</v>
      </c>
      <c r="D44" s="35" t="s">
        <v>1018</v>
      </c>
      <c r="E44" s="36" t="s">
        <v>1044</v>
      </c>
    </row>
    <row r="45" ht="34.05" customHeight="1" spans="1:5">
      <c r="A45" s="40" t="s">
        <v>1057</v>
      </c>
      <c r="B45" s="34" t="s">
        <v>1268</v>
      </c>
      <c r="C45" s="50">
        <v>90</v>
      </c>
      <c r="D45" s="50" t="s">
        <v>1003</v>
      </c>
      <c r="E45" s="51" t="s">
        <v>1267</v>
      </c>
    </row>
    <row r="46" ht="30" customHeight="1" spans="1:5">
      <c r="A46" s="56" t="s">
        <v>1060</v>
      </c>
      <c r="B46" s="57" t="s">
        <v>1269</v>
      </c>
      <c r="C46" s="58">
        <v>90</v>
      </c>
      <c r="D46" s="58" t="s">
        <v>1003</v>
      </c>
      <c r="E46" s="59" t="s">
        <v>1270</v>
      </c>
    </row>
    <row r="47" s="1" customFormat="1" ht="31.95" customHeight="1" spans="1:5">
      <c r="A47" s="60" t="s">
        <v>1063</v>
      </c>
      <c r="B47" s="61"/>
      <c r="C47" s="62"/>
      <c r="D47" s="62"/>
      <c r="E47" s="63"/>
    </row>
    <row r="48" spans="1:5">
      <c r="A48" s="64" t="s">
        <v>1205</v>
      </c>
      <c r="B48" s="65" t="s">
        <v>1065</v>
      </c>
      <c r="C48" s="66"/>
      <c r="D48" s="66"/>
      <c r="E48" s="67" t="s">
        <v>1270</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1271</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1272</v>
      </c>
    </row>
    <row r="7" ht="18" customHeight="1" spans="1:5">
      <c r="A7" t="s">
        <v>974</v>
      </c>
      <c r="B7" s="8" t="s">
        <v>975</v>
      </c>
      <c r="C7" s="3"/>
      <c r="D7" s="3"/>
      <c r="E7" s="12" t="s">
        <v>52</v>
      </c>
    </row>
    <row r="8" ht="18" customHeight="1" spans="1:5">
      <c r="A8" s="13" t="s">
        <v>976</v>
      </c>
      <c r="B8" s="8" t="s">
        <v>977</v>
      </c>
      <c r="C8" s="3"/>
      <c r="D8" s="3"/>
      <c r="E8">
        <v>12</v>
      </c>
    </row>
    <row r="9" ht="18" customHeight="1" spans="1:5">
      <c r="A9" s="14"/>
      <c r="B9" s="8" t="s">
        <v>978</v>
      </c>
      <c r="C9" s="15"/>
      <c r="D9" s="15"/>
      <c r="E9" s="16">
        <v>3308026898</v>
      </c>
    </row>
    <row r="10" spans="1:5">
      <c r="A10" s="17" t="s">
        <v>979</v>
      </c>
      <c r="B10" s="8" t="s">
        <v>980</v>
      </c>
      <c r="C10" s="15"/>
      <c r="D10" s="15"/>
      <c r="E10" s="18">
        <v>31</v>
      </c>
    </row>
    <row r="11" ht="15" customHeight="1" spans="1:5">
      <c r="A11" t="s">
        <v>412</v>
      </c>
      <c r="B11" s="20" t="s">
        <v>981</v>
      </c>
      <c r="C11" s="3"/>
      <c r="D11" s="3"/>
      <c r="E11" s="21">
        <v>0.031</v>
      </c>
    </row>
    <row r="12" ht="15" customHeight="1" spans="1:5">
      <c r="A12" t="s">
        <v>413</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1236</v>
      </c>
      <c r="C23" s="35">
        <v>90</v>
      </c>
      <c r="D23" s="35" t="s">
        <v>1003</v>
      </c>
      <c r="E23" s="36" t="s">
        <v>1237</v>
      </c>
    </row>
    <row r="24" ht="30" customHeight="1" spans="1:5">
      <c r="A24" s="39" t="s">
        <v>1010</v>
      </c>
      <c r="B24" s="34" t="s">
        <v>1011</v>
      </c>
      <c r="C24" s="35">
        <v>90</v>
      </c>
      <c r="D24" s="35" t="s">
        <v>1003</v>
      </c>
      <c r="E24" s="36" t="s">
        <v>1012</v>
      </c>
    </row>
    <row r="25" ht="30" customHeight="1" spans="1:5">
      <c r="A25" s="40" t="s">
        <v>1013</v>
      </c>
      <c r="B25" s="41" t="s">
        <v>1238</v>
      </c>
      <c r="C25" s="42">
        <v>90</v>
      </c>
      <c r="D25" s="42" t="s">
        <v>1003</v>
      </c>
      <c r="E25" s="43" t="s">
        <v>1239</v>
      </c>
    </row>
    <row r="26" ht="30" customHeight="1" spans="1:5">
      <c r="A26" s="44" t="s">
        <v>1016</v>
      </c>
      <c r="B26" s="45"/>
      <c r="C26" s="46"/>
      <c r="D26" s="46"/>
      <c r="E26" s="47"/>
    </row>
    <row r="27" ht="30" customHeight="1" spans="1:5">
      <c r="A27" s="39" t="s">
        <v>1017</v>
      </c>
      <c r="B27" s="34" t="s">
        <v>1002</v>
      </c>
      <c r="C27" s="35">
        <v>21.607</v>
      </c>
      <c r="D27" s="35" t="s">
        <v>1018</v>
      </c>
      <c r="E27" s="36" t="s">
        <v>1240</v>
      </c>
    </row>
    <row r="28" ht="30" customHeight="1" spans="1:7">
      <c r="A28" s="39" t="s">
        <v>1020</v>
      </c>
      <c r="B28" s="34" t="s">
        <v>1021</v>
      </c>
      <c r="C28" s="35">
        <v>31.8922</v>
      </c>
      <c r="D28" s="35" t="s">
        <v>1018</v>
      </c>
      <c r="E28" s="36" t="s">
        <v>1273</v>
      </c>
      <c r="G28" s="48"/>
    </row>
    <row r="29" ht="30" customHeight="1" spans="1:7">
      <c r="A29" s="39" t="s">
        <v>1023</v>
      </c>
      <c r="B29" s="34" t="s">
        <v>1002</v>
      </c>
      <c r="C29" s="35">
        <v>35.7993</v>
      </c>
      <c r="D29" s="35" t="s">
        <v>1018</v>
      </c>
      <c r="E29" s="36" t="s">
        <v>1274</v>
      </c>
      <c r="G29" s="48"/>
    </row>
    <row r="30" ht="30" customHeight="1" spans="1:5">
      <c r="A30" s="39" t="s">
        <v>1025</v>
      </c>
      <c r="B30" s="34" t="s">
        <v>1021</v>
      </c>
      <c r="C30" s="35">
        <v>64.1962</v>
      </c>
      <c r="D30" s="35" t="s">
        <v>1018</v>
      </c>
      <c r="E30" s="36" t="s">
        <v>1275</v>
      </c>
    </row>
    <row r="31" ht="30" customHeight="1" spans="1:5">
      <c r="A31" s="39" t="s">
        <v>1027</v>
      </c>
      <c r="B31" s="34" t="s">
        <v>1028</v>
      </c>
      <c r="C31" s="35">
        <v>93.434</v>
      </c>
      <c r="D31" s="35" t="s">
        <v>1018</v>
      </c>
      <c r="E31" s="36" t="s">
        <v>1244</v>
      </c>
    </row>
    <row r="32" ht="30" customHeight="1" spans="1:5">
      <c r="A32" s="39" t="s">
        <v>1030</v>
      </c>
      <c r="B32" s="34" t="s">
        <v>1002</v>
      </c>
      <c r="C32" s="35">
        <v>93.434</v>
      </c>
      <c r="D32" s="35" t="s">
        <v>1018</v>
      </c>
      <c r="E32" s="36" t="s">
        <v>1245</v>
      </c>
    </row>
    <row r="33" ht="30" customHeight="1" spans="1:5">
      <c r="A33" s="39" t="s">
        <v>1032</v>
      </c>
      <c r="B33" s="34" t="s">
        <v>1021</v>
      </c>
      <c r="C33" s="35">
        <v>137.9098</v>
      </c>
      <c r="D33" s="35" t="s">
        <v>1018</v>
      </c>
      <c r="E33" s="36" t="s">
        <v>1276</v>
      </c>
    </row>
    <row r="34" ht="30" customHeight="1" spans="1:5">
      <c r="A34" s="39" t="s">
        <v>1034</v>
      </c>
      <c r="B34" s="34" t="s">
        <v>1035</v>
      </c>
      <c r="C34" s="35">
        <v>93.434</v>
      </c>
      <c r="D34" s="35" t="s">
        <v>1018</v>
      </c>
      <c r="E34" s="36" t="s">
        <v>1247</v>
      </c>
    </row>
    <row r="35" ht="30" customHeight="1" spans="1:5">
      <c r="A35" s="40" t="s">
        <v>1037</v>
      </c>
      <c r="B35" s="49" t="s">
        <v>1277</v>
      </c>
      <c r="C35" s="50">
        <v>90</v>
      </c>
      <c r="D35" s="50" t="s">
        <v>1003</v>
      </c>
      <c r="E35" s="51" t="s">
        <v>1278</v>
      </c>
    </row>
    <row r="36" ht="30" customHeight="1" spans="1:5">
      <c r="A36" s="44" t="s">
        <v>1040</v>
      </c>
      <c r="B36" s="52"/>
      <c r="C36" s="53"/>
      <c r="D36" s="53"/>
      <c r="E36" s="54"/>
    </row>
    <row r="37" ht="30" customHeight="1" spans="1:5">
      <c r="A37" s="39" t="s">
        <v>1041</v>
      </c>
      <c r="B37" s="34" t="s">
        <v>1002</v>
      </c>
      <c r="C37" s="35">
        <v>195.4</v>
      </c>
      <c r="D37" s="35" t="s">
        <v>1018</v>
      </c>
      <c r="E37" s="36" t="s">
        <v>1279</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1280</v>
      </c>
      <c r="C40" s="50">
        <v>90</v>
      </c>
      <c r="D40" s="50" t="s">
        <v>1003</v>
      </c>
      <c r="E40" s="51" t="s">
        <v>1279</v>
      </c>
    </row>
    <row r="41" ht="30" customHeight="1" spans="1:5">
      <c r="A41" s="44" t="s">
        <v>1048</v>
      </c>
      <c r="B41" s="34"/>
      <c r="C41" s="35"/>
      <c r="D41" s="35"/>
      <c r="E41" s="47"/>
    </row>
    <row r="42" ht="30" customHeight="1" spans="1:5">
      <c r="A42" s="55" t="s">
        <v>1049</v>
      </c>
      <c r="B42" s="34" t="s">
        <v>1021</v>
      </c>
      <c r="C42" s="35">
        <v>350.3966</v>
      </c>
      <c r="D42" s="35" t="s">
        <v>1018</v>
      </c>
      <c r="E42" s="36" t="s">
        <v>1281</v>
      </c>
    </row>
    <row r="43" ht="30" customHeight="1" spans="1:5">
      <c r="A43" s="33" t="s">
        <v>1051</v>
      </c>
      <c r="B43" s="34" t="s">
        <v>1052</v>
      </c>
      <c r="C43" s="35">
        <v>2.4641</v>
      </c>
      <c r="D43" s="35" t="s">
        <v>1018</v>
      </c>
      <c r="E43" s="36" t="s">
        <v>1282</v>
      </c>
    </row>
    <row r="44" ht="30" customHeight="1" spans="1:5">
      <c r="A44" s="33" t="s">
        <v>1054</v>
      </c>
      <c r="B44" s="34" t="s">
        <v>1055</v>
      </c>
      <c r="C44" s="35">
        <v>1819.5051</v>
      </c>
      <c r="D44" s="35" t="s">
        <v>1018</v>
      </c>
      <c r="E44" s="36" t="s">
        <v>1283</v>
      </c>
    </row>
    <row r="45" ht="34.05" customHeight="1" spans="1:5">
      <c r="A45" s="40" t="s">
        <v>1057</v>
      </c>
      <c r="B45" s="34" t="s">
        <v>1284</v>
      </c>
      <c r="C45" s="50">
        <v>90</v>
      </c>
      <c r="D45" s="50" t="s">
        <v>1003</v>
      </c>
      <c r="E45" s="51" t="s">
        <v>1285</v>
      </c>
    </row>
    <row r="46" ht="30" customHeight="1" spans="1:5">
      <c r="A46" s="56" t="s">
        <v>1060</v>
      </c>
      <c r="B46" s="57" t="s">
        <v>1286</v>
      </c>
      <c r="C46" s="58">
        <v>90</v>
      </c>
      <c r="D46" s="58" t="s">
        <v>1003</v>
      </c>
      <c r="E46" s="59" t="s">
        <v>1287</v>
      </c>
    </row>
    <row r="47" s="1" customFormat="1" ht="31.95" customHeight="1" spans="1:5">
      <c r="A47" s="60" t="s">
        <v>1063</v>
      </c>
      <c r="B47" s="61"/>
      <c r="C47" s="62"/>
      <c r="D47" s="62"/>
      <c r="E47" s="63"/>
    </row>
    <row r="48" spans="1:5">
      <c r="A48" s="64" t="s">
        <v>1064</v>
      </c>
      <c r="B48" s="65" t="s">
        <v>1065</v>
      </c>
      <c r="C48" s="66"/>
      <c r="D48" s="66"/>
      <c r="E48" s="67" t="s">
        <v>1287</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1288</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1289</v>
      </c>
    </row>
    <row r="7" ht="18" customHeight="1" spans="1:5">
      <c r="A7" t="s">
        <v>974</v>
      </c>
      <c r="B7" s="8" t="s">
        <v>975</v>
      </c>
      <c r="C7" s="3"/>
      <c r="D7" s="3"/>
      <c r="E7" s="12" t="s">
        <v>52</v>
      </c>
    </row>
    <row r="8" ht="18" customHeight="1" spans="1:5">
      <c r="A8" s="13" t="s">
        <v>976</v>
      </c>
      <c r="B8" s="8" t="s">
        <v>977</v>
      </c>
      <c r="C8" s="3"/>
      <c r="D8" s="3"/>
      <c r="E8">
        <v>13</v>
      </c>
    </row>
    <row r="9" ht="18" customHeight="1" spans="1:5">
      <c r="A9" s="14"/>
      <c r="B9" s="8" t="s">
        <v>978</v>
      </c>
      <c r="C9" s="15"/>
      <c r="D9" s="15"/>
      <c r="E9" s="16">
        <v>50003424</v>
      </c>
    </row>
    <row r="10" spans="1:5">
      <c r="A10" s="17" t="s">
        <v>979</v>
      </c>
      <c r="B10" s="8" t="s">
        <v>980</v>
      </c>
      <c r="C10" s="15"/>
      <c r="D10" s="15"/>
      <c r="E10" s="18">
        <v>31</v>
      </c>
    </row>
    <row r="11" ht="15" customHeight="1" spans="1:5">
      <c r="A11" t="s">
        <v>414</v>
      </c>
      <c r="B11" s="20" t="s">
        <v>981</v>
      </c>
      <c r="C11" s="3"/>
      <c r="D11" s="3"/>
      <c r="E11" s="21">
        <v>0.031</v>
      </c>
    </row>
    <row r="12" ht="15" customHeight="1" spans="1:5">
      <c r="A12" t="s">
        <v>415</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1236</v>
      </c>
      <c r="C23" s="35">
        <v>90</v>
      </c>
      <c r="D23" s="35" t="s">
        <v>1003</v>
      </c>
      <c r="E23" s="36" t="s">
        <v>1237</v>
      </c>
    </row>
    <row r="24" ht="30" customHeight="1" spans="1:5">
      <c r="A24" s="39" t="s">
        <v>1010</v>
      </c>
      <c r="B24" s="34" t="s">
        <v>1011</v>
      </c>
      <c r="C24" s="35">
        <v>90</v>
      </c>
      <c r="D24" s="35" t="s">
        <v>1003</v>
      </c>
      <c r="E24" s="36" t="s">
        <v>1012</v>
      </c>
    </row>
    <row r="25" ht="30" customHeight="1" spans="1:5">
      <c r="A25" s="40" t="s">
        <v>1013</v>
      </c>
      <c r="B25" s="41" t="s">
        <v>1238</v>
      </c>
      <c r="C25" s="42">
        <v>90</v>
      </c>
      <c r="D25" s="42" t="s">
        <v>1003</v>
      </c>
      <c r="E25" s="43" t="s">
        <v>1239</v>
      </c>
    </row>
    <row r="26" ht="30" customHeight="1" spans="1:5">
      <c r="A26" s="44" t="s">
        <v>1016</v>
      </c>
      <c r="B26" s="45"/>
      <c r="C26" s="46"/>
      <c r="D26" s="46"/>
      <c r="E26" s="47"/>
    </row>
    <row r="27" ht="30" customHeight="1" spans="1:5">
      <c r="A27" s="39" t="s">
        <v>1017</v>
      </c>
      <c r="B27" s="34" t="s">
        <v>1002</v>
      </c>
      <c r="C27" s="35">
        <v>21.607</v>
      </c>
      <c r="D27" s="35" t="s">
        <v>1018</v>
      </c>
      <c r="E27" s="36" t="s">
        <v>1240</v>
      </c>
    </row>
    <row r="28" ht="30" customHeight="1" spans="1:7">
      <c r="A28" s="39" t="s">
        <v>1020</v>
      </c>
      <c r="B28" s="34" t="s">
        <v>1021</v>
      </c>
      <c r="C28" s="35">
        <v>29.1473</v>
      </c>
      <c r="D28" s="35" t="s">
        <v>1018</v>
      </c>
      <c r="E28" s="36" t="s">
        <v>1290</v>
      </c>
      <c r="G28" s="48"/>
    </row>
    <row r="29" ht="30" customHeight="1" spans="1:7">
      <c r="A29" s="39" t="s">
        <v>1023</v>
      </c>
      <c r="B29" s="34" t="s">
        <v>1002</v>
      </c>
      <c r="C29" s="35">
        <v>34.9932</v>
      </c>
      <c r="D29" s="35" t="s">
        <v>1018</v>
      </c>
      <c r="E29" s="36" t="s">
        <v>1291</v>
      </c>
      <c r="G29" s="48"/>
    </row>
    <row r="30" ht="30" customHeight="1" spans="1:5">
      <c r="A30" s="39" t="s">
        <v>1025</v>
      </c>
      <c r="B30" s="34" t="s">
        <v>1021</v>
      </c>
      <c r="C30" s="35">
        <v>58.671</v>
      </c>
      <c r="D30" s="35" t="s">
        <v>1018</v>
      </c>
      <c r="E30" s="36" t="s">
        <v>1292</v>
      </c>
    </row>
    <row r="31" ht="30" customHeight="1" spans="1:5">
      <c r="A31" s="39" t="s">
        <v>1027</v>
      </c>
      <c r="B31" s="34" t="s">
        <v>1028</v>
      </c>
      <c r="C31" s="35">
        <v>93.434</v>
      </c>
      <c r="D31" s="35" t="s">
        <v>1018</v>
      </c>
      <c r="E31" s="36" t="s">
        <v>1244</v>
      </c>
    </row>
    <row r="32" ht="30" customHeight="1" spans="1:5">
      <c r="A32" s="39" t="s">
        <v>1030</v>
      </c>
      <c r="B32" s="34" t="s">
        <v>1002</v>
      </c>
      <c r="C32" s="35">
        <v>93.434</v>
      </c>
      <c r="D32" s="35" t="s">
        <v>1018</v>
      </c>
      <c r="E32" s="36" t="s">
        <v>1245</v>
      </c>
    </row>
    <row r="33" ht="30" customHeight="1" spans="1:5">
      <c r="A33" s="39" t="s">
        <v>1032</v>
      </c>
      <c r="B33" s="34" t="s">
        <v>1021</v>
      </c>
      <c r="C33" s="35">
        <v>126.0401</v>
      </c>
      <c r="D33" s="35" t="s">
        <v>1018</v>
      </c>
      <c r="E33" s="36" t="s">
        <v>1293</v>
      </c>
    </row>
    <row r="34" ht="30" customHeight="1" spans="1:5">
      <c r="A34" s="39" t="s">
        <v>1034</v>
      </c>
      <c r="B34" s="34" t="s">
        <v>1035</v>
      </c>
      <c r="C34" s="35">
        <v>93.434</v>
      </c>
      <c r="D34" s="35" t="s">
        <v>1018</v>
      </c>
      <c r="E34" s="36" t="s">
        <v>1247</v>
      </c>
    </row>
    <row r="35" ht="30" customHeight="1" spans="1:5">
      <c r="A35" s="40" t="s">
        <v>1037</v>
      </c>
      <c r="B35" s="49" t="s">
        <v>1294</v>
      </c>
      <c r="C35" s="50">
        <v>90</v>
      </c>
      <c r="D35" s="50" t="s">
        <v>1003</v>
      </c>
      <c r="E35" s="51" t="s">
        <v>1295</v>
      </c>
    </row>
    <row r="36" ht="30" customHeight="1" spans="1:5">
      <c r="A36" s="44" t="s">
        <v>1040</v>
      </c>
      <c r="B36" s="52"/>
      <c r="C36" s="53"/>
      <c r="D36" s="53"/>
      <c r="E36" s="54"/>
    </row>
    <row r="37" ht="30" customHeight="1" spans="1:5">
      <c r="A37" s="39" t="s">
        <v>1041</v>
      </c>
      <c r="B37" s="34" t="s">
        <v>1002</v>
      </c>
      <c r="C37" s="35">
        <v>191</v>
      </c>
      <c r="D37" s="35" t="s">
        <v>1018</v>
      </c>
      <c r="E37" s="36" t="s">
        <v>1296</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1297</v>
      </c>
      <c r="C40" s="50">
        <v>90</v>
      </c>
      <c r="D40" s="50" t="s">
        <v>1003</v>
      </c>
      <c r="E40" s="51" t="s">
        <v>1296</v>
      </c>
    </row>
    <row r="41" ht="30" customHeight="1" spans="1:5">
      <c r="A41" s="44" t="s">
        <v>1048</v>
      </c>
      <c r="B41" s="34"/>
      <c r="C41" s="35"/>
      <c r="D41" s="35"/>
      <c r="E41" s="47"/>
    </row>
    <row r="42" ht="30" customHeight="1" spans="1:5">
      <c r="A42" s="55" t="s">
        <v>1049</v>
      </c>
      <c r="B42" s="34" t="s">
        <v>1021</v>
      </c>
      <c r="C42" s="35">
        <v>320.2385</v>
      </c>
      <c r="D42" s="35" t="s">
        <v>1018</v>
      </c>
      <c r="E42" s="36" t="s">
        <v>1298</v>
      </c>
    </row>
    <row r="43" ht="30" customHeight="1" spans="1:5">
      <c r="A43" s="33" t="s">
        <v>1051</v>
      </c>
      <c r="B43" s="34" t="s">
        <v>1052</v>
      </c>
      <c r="C43" s="35">
        <v>2.488</v>
      </c>
      <c r="D43" s="35" t="s">
        <v>1018</v>
      </c>
      <c r="E43" s="36" t="s">
        <v>1282</v>
      </c>
    </row>
    <row r="44" ht="30" customHeight="1" spans="1:5">
      <c r="A44" s="33" t="s">
        <v>1054</v>
      </c>
      <c r="B44" s="34" t="s">
        <v>1055</v>
      </c>
      <c r="C44" s="35">
        <v>1662.903</v>
      </c>
      <c r="D44" s="35" t="s">
        <v>1018</v>
      </c>
      <c r="E44" s="36" t="s">
        <v>1299</v>
      </c>
    </row>
    <row r="45" ht="34.05" customHeight="1" spans="1:5">
      <c r="A45" s="40" t="s">
        <v>1057</v>
      </c>
      <c r="B45" s="34" t="s">
        <v>1300</v>
      </c>
      <c r="C45" s="50">
        <v>90</v>
      </c>
      <c r="D45" s="50" t="s">
        <v>1003</v>
      </c>
      <c r="E45" s="51" t="s">
        <v>1301</v>
      </c>
    </row>
    <row r="46" ht="30" customHeight="1" spans="1:5">
      <c r="A46" s="56" t="s">
        <v>1060</v>
      </c>
      <c r="B46" s="57" t="s">
        <v>1302</v>
      </c>
      <c r="C46" s="58">
        <v>90</v>
      </c>
      <c r="D46" s="58" t="s">
        <v>1003</v>
      </c>
      <c r="E46" s="59" t="s">
        <v>1303</v>
      </c>
    </row>
    <row r="47" s="1" customFormat="1" ht="31.95" customHeight="1" spans="1:5">
      <c r="A47" s="60" t="s">
        <v>1063</v>
      </c>
      <c r="B47" s="61"/>
      <c r="C47" s="62"/>
      <c r="D47" s="62"/>
      <c r="E47" s="63"/>
    </row>
    <row r="48" spans="1:5">
      <c r="A48" s="64" t="s">
        <v>1064</v>
      </c>
      <c r="B48" s="65" t="s">
        <v>1065</v>
      </c>
      <c r="C48" s="66"/>
      <c r="D48" s="66"/>
      <c r="E48" s="67" t="s">
        <v>1303</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1304</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1305</v>
      </c>
    </row>
    <row r="7" ht="18" customHeight="1" spans="1:5">
      <c r="A7" t="s">
        <v>974</v>
      </c>
      <c r="B7" s="8" t="s">
        <v>975</v>
      </c>
      <c r="C7" s="3"/>
      <c r="D7" s="3"/>
      <c r="E7" s="12" t="s">
        <v>52</v>
      </c>
    </row>
    <row r="8" ht="18" customHeight="1" spans="1:5">
      <c r="A8" s="13" t="s">
        <v>976</v>
      </c>
      <c r="B8" s="8" t="s">
        <v>977</v>
      </c>
      <c r="C8" s="3"/>
      <c r="D8" s="3"/>
      <c r="E8">
        <v>14</v>
      </c>
    </row>
    <row r="9" ht="18" customHeight="1" spans="1:5">
      <c r="A9" s="14"/>
      <c r="B9" s="8" t="s">
        <v>978</v>
      </c>
      <c r="C9" s="15"/>
      <c r="D9" s="15"/>
      <c r="E9" s="16">
        <v>50003438</v>
      </c>
    </row>
    <row r="10" spans="1:5">
      <c r="A10" s="17" t="s">
        <v>979</v>
      </c>
      <c r="B10" s="8" t="s">
        <v>980</v>
      </c>
      <c r="C10" s="15"/>
      <c r="D10" s="15"/>
      <c r="E10" s="18">
        <v>37</v>
      </c>
    </row>
    <row r="11" ht="15" customHeight="1" spans="1:5">
      <c r="A11" s="19" t="s">
        <v>416</v>
      </c>
      <c r="B11" s="20" t="s">
        <v>981</v>
      </c>
      <c r="C11" s="3"/>
      <c r="D11" s="3"/>
      <c r="E11" s="21">
        <v>0.037</v>
      </c>
    </row>
    <row r="12" ht="15" customHeight="1" spans="1:5">
      <c r="A12" t="s">
        <v>417</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1306</v>
      </c>
      <c r="C23" s="35">
        <v>90</v>
      </c>
      <c r="D23" s="35" t="s">
        <v>1003</v>
      </c>
      <c r="E23" s="36" t="s">
        <v>1307</v>
      </c>
    </row>
    <row r="24" ht="30" customHeight="1" spans="1:5">
      <c r="A24" s="39" t="s">
        <v>1010</v>
      </c>
      <c r="B24" s="34" t="s">
        <v>1011</v>
      </c>
      <c r="C24" s="35">
        <v>90</v>
      </c>
      <c r="D24" s="35" t="s">
        <v>1003</v>
      </c>
      <c r="E24" s="36" t="s">
        <v>1012</v>
      </c>
    </row>
    <row r="25" ht="30" customHeight="1" spans="1:5">
      <c r="A25" s="40" t="s">
        <v>1013</v>
      </c>
      <c r="B25" s="41" t="s">
        <v>1308</v>
      </c>
      <c r="C25" s="42">
        <v>90</v>
      </c>
      <c r="D25" s="42" t="s">
        <v>1003</v>
      </c>
      <c r="E25" s="43" t="s">
        <v>1309</v>
      </c>
    </row>
    <row r="26" ht="30" customHeight="1" spans="1:5">
      <c r="A26" s="44" t="s">
        <v>1016</v>
      </c>
      <c r="B26" s="45"/>
      <c r="C26" s="46"/>
      <c r="D26" s="46"/>
      <c r="E26" s="47"/>
    </row>
    <row r="27" ht="30" customHeight="1" spans="1:5">
      <c r="A27" s="39" t="s">
        <v>1017</v>
      </c>
      <c r="B27" s="34" t="s">
        <v>1002</v>
      </c>
      <c r="C27" s="35">
        <v>25.789</v>
      </c>
      <c r="D27" s="35" t="s">
        <v>1018</v>
      </c>
      <c r="E27" s="36" t="s">
        <v>1310</v>
      </c>
    </row>
    <row r="28" ht="30" customHeight="1" spans="1:7">
      <c r="A28" s="39" t="s">
        <v>1020</v>
      </c>
      <c r="B28" s="34" t="s">
        <v>1021</v>
      </c>
      <c r="C28" s="35">
        <v>30.3281</v>
      </c>
      <c r="D28" s="35" t="s">
        <v>1018</v>
      </c>
      <c r="E28" s="36" t="s">
        <v>1311</v>
      </c>
      <c r="G28" s="48"/>
    </row>
    <row r="29" ht="30" customHeight="1" spans="1:7">
      <c r="A29" s="39" t="s">
        <v>1023</v>
      </c>
      <c r="B29" s="34" t="s">
        <v>1002</v>
      </c>
      <c r="C29" s="35">
        <v>78.414</v>
      </c>
      <c r="D29" s="35" t="s">
        <v>1018</v>
      </c>
      <c r="E29" s="36" t="s">
        <v>1312</v>
      </c>
      <c r="G29" s="48"/>
    </row>
    <row r="30" ht="30" customHeight="1" spans="1:5">
      <c r="A30" s="39" t="s">
        <v>1025</v>
      </c>
      <c r="B30" s="34" t="s">
        <v>1021</v>
      </c>
      <c r="C30" s="35">
        <v>61.0477</v>
      </c>
      <c r="D30" s="35" t="s">
        <v>1018</v>
      </c>
      <c r="E30" s="36" t="s">
        <v>1313</v>
      </c>
    </row>
    <row r="31" ht="30" customHeight="1" spans="1:5">
      <c r="A31" s="39" t="s">
        <v>1027</v>
      </c>
      <c r="B31" s="34" t="s">
        <v>1028</v>
      </c>
      <c r="C31" s="35">
        <v>111.518</v>
      </c>
      <c r="D31" s="35" t="s">
        <v>1018</v>
      </c>
      <c r="E31" s="36" t="s">
        <v>1314</v>
      </c>
    </row>
    <row r="32" ht="30" customHeight="1" spans="1:5">
      <c r="A32" s="39" t="s">
        <v>1030</v>
      </c>
      <c r="B32" s="34" t="s">
        <v>1002</v>
      </c>
      <c r="C32" s="35">
        <v>111.518</v>
      </c>
      <c r="D32" s="35" t="s">
        <v>1018</v>
      </c>
      <c r="E32" s="36" t="s">
        <v>1315</v>
      </c>
    </row>
    <row r="33" ht="30" customHeight="1" spans="1:5">
      <c r="A33" s="39" t="s">
        <v>1032</v>
      </c>
      <c r="B33" s="34" t="s">
        <v>1021</v>
      </c>
      <c r="C33" s="35">
        <v>131.146</v>
      </c>
      <c r="D33" s="35" t="s">
        <v>1018</v>
      </c>
      <c r="E33" s="36" t="s">
        <v>1316</v>
      </c>
    </row>
    <row r="34" ht="30" customHeight="1" spans="1:5">
      <c r="A34" s="39" t="s">
        <v>1034</v>
      </c>
      <c r="B34" s="34" t="s">
        <v>1035</v>
      </c>
      <c r="C34" s="35">
        <v>111.518</v>
      </c>
      <c r="D34" s="35" t="s">
        <v>1018</v>
      </c>
      <c r="E34" s="36" t="s">
        <v>1317</v>
      </c>
    </row>
    <row r="35" ht="30" customHeight="1" spans="1:5">
      <c r="A35" s="40" t="s">
        <v>1037</v>
      </c>
      <c r="B35" s="49" t="s">
        <v>1318</v>
      </c>
      <c r="C35" s="50">
        <v>90</v>
      </c>
      <c r="D35" s="50" t="s">
        <v>1003</v>
      </c>
      <c r="E35" s="51" t="s">
        <v>1319</v>
      </c>
    </row>
    <row r="36" ht="30" customHeight="1" spans="1:5">
      <c r="A36" s="44" t="s">
        <v>1040</v>
      </c>
      <c r="B36" s="52"/>
      <c r="C36" s="53"/>
      <c r="D36" s="53"/>
      <c r="E36" s="54"/>
    </row>
    <row r="37" ht="30" customHeight="1" spans="1:5">
      <c r="A37" s="39" t="s">
        <v>1041</v>
      </c>
      <c r="B37" s="34" t="s">
        <v>1002</v>
      </c>
      <c r="C37" s="35">
        <v>428</v>
      </c>
      <c r="D37" s="35" t="s">
        <v>1018</v>
      </c>
      <c r="E37" s="36" t="s">
        <v>1320</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1321</v>
      </c>
      <c r="C40" s="50">
        <v>90</v>
      </c>
      <c r="D40" s="50" t="s">
        <v>1003</v>
      </c>
      <c r="E40" s="51" t="s">
        <v>1320</v>
      </c>
    </row>
    <row r="41" ht="30" customHeight="1" spans="1:5">
      <c r="A41" s="44" t="s">
        <v>1048</v>
      </c>
      <c r="B41" s="34"/>
      <c r="C41" s="35"/>
      <c r="D41" s="35"/>
      <c r="E41" s="47"/>
    </row>
    <row r="42" ht="30" customHeight="1" spans="1:5">
      <c r="A42" s="55" t="s">
        <v>1049</v>
      </c>
      <c r="B42" s="34" t="s">
        <v>1021</v>
      </c>
      <c r="C42" s="35">
        <v>333.2113</v>
      </c>
      <c r="D42" s="35" t="s">
        <v>1018</v>
      </c>
      <c r="E42" s="36" t="s">
        <v>1322</v>
      </c>
    </row>
    <row r="43" ht="30" customHeight="1" spans="1:5">
      <c r="A43" s="33" t="s">
        <v>1051</v>
      </c>
      <c r="B43" s="34" t="s">
        <v>1052</v>
      </c>
      <c r="C43" s="35">
        <v>1.8854</v>
      </c>
      <c r="D43" s="35" t="s">
        <v>1018</v>
      </c>
      <c r="E43" s="36" t="s">
        <v>1053</v>
      </c>
    </row>
    <row r="44" ht="30" customHeight="1" spans="1:5">
      <c r="A44" s="33" t="s">
        <v>1054</v>
      </c>
      <c r="B44" s="34" t="s">
        <v>1055</v>
      </c>
      <c r="C44" s="35">
        <v>1730.2669</v>
      </c>
      <c r="D44" s="35" t="s">
        <v>1018</v>
      </c>
      <c r="E44" s="36" t="s">
        <v>1323</v>
      </c>
    </row>
    <row r="45" ht="34.05" customHeight="1" spans="1:5">
      <c r="A45" s="40" t="s">
        <v>1057</v>
      </c>
      <c r="B45" s="34" t="s">
        <v>1324</v>
      </c>
      <c r="C45" s="50">
        <v>90</v>
      </c>
      <c r="D45" s="50" t="s">
        <v>1003</v>
      </c>
      <c r="E45" s="51" t="s">
        <v>1325</v>
      </c>
    </row>
    <row r="46" ht="30" customHeight="1" spans="1:5">
      <c r="A46" s="56" t="s">
        <v>1060</v>
      </c>
      <c r="B46" s="57" t="s">
        <v>1326</v>
      </c>
      <c r="C46" s="58">
        <v>90</v>
      </c>
      <c r="D46" s="58" t="s">
        <v>1003</v>
      </c>
      <c r="E46" s="59" t="s">
        <v>1327</v>
      </c>
    </row>
    <row r="47" s="1" customFormat="1" ht="31.95" customHeight="1" spans="1:5">
      <c r="A47" s="60" t="s">
        <v>1063</v>
      </c>
      <c r="B47" s="61"/>
      <c r="C47" s="62"/>
      <c r="D47" s="62"/>
      <c r="E47" s="63"/>
    </row>
    <row r="48" spans="1:5">
      <c r="A48" s="64" t="s">
        <v>1064</v>
      </c>
      <c r="B48" s="65" t="s">
        <v>1065</v>
      </c>
      <c r="C48" s="66"/>
      <c r="D48" s="66"/>
      <c r="E48" s="67" t="s">
        <v>1327</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1328</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G54"/>
  <sheetViews>
    <sheetView showGridLines="0" zoomScale="90" zoomScaleNormal="90" zoomScalePageLayoutView="75" zoomScaleSheetLayoutView="50" workbookViewId="0">
      <selection activeCell="B18" sqref="B18"/>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1329</v>
      </c>
    </row>
    <row r="7" ht="18" customHeight="1" spans="1:5">
      <c r="A7" t="s">
        <v>974</v>
      </c>
      <c r="B7" s="8" t="s">
        <v>975</v>
      </c>
      <c r="C7" s="3"/>
      <c r="D7" s="3"/>
      <c r="E7" s="12" t="s">
        <v>52</v>
      </c>
    </row>
    <row r="8" ht="18" customHeight="1" spans="1:5">
      <c r="A8" s="13" t="s">
        <v>976</v>
      </c>
      <c r="B8" s="8" t="s">
        <v>977</v>
      </c>
      <c r="C8" s="3"/>
      <c r="D8" s="3"/>
      <c r="E8">
        <v>15</v>
      </c>
    </row>
    <row r="9" ht="18" customHeight="1" spans="1:5">
      <c r="A9" s="14"/>
      <c r="B9" s="8" t="s">
        <v>978</v>
      </c>
      <c r="C9" s="15"/>
      <c r="D9" s="15"/>
      <c r="E9" s="16">
        <v>50003404</v>
      </c>
    </row>
    <row r="10" spans="1:5">
      <c r="A10" s="17" t="s">
        <v>979</v>
      </c>
      <c r="B10" s="8" t="s">
        <v>980</v>
      </c>
      <c r="C10" s="15"/>
      <c r="D10" s="15"/>
      <c r="E10" s="18">
        <v>69</v>
      </c>
    </row>
    <row r="11" ht="15" customHeight="1" spans="1:5">
      <c r="A11" t="s">
        <v>418</v>
      </c>
      <c r="B11" s="20" t="s">
        <v>981</v>
      </c>
      <c r="C11" s="3"/>
      <c r="D11" s="3"/>
      <c r="E11" s="21">
        <v>0.069</v>
      </c>
    </row>
    <row r="12" ht="15" customHeight="1" spans="1:5">
      <c r="A12" t="s">
        <v>419</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1330</v>
      </c>
      <c r="C23" s="35">
        <v>90</v>
      </c>
      <c r="D23" s="35" t="s">
        <v>1003</v>
      </c>
      <c r="E23" s="36" t="s">
        <v>1331</v>
      </c>
    </row>
    <row r="24" ht="30" customHeight="1" spans="1:5">
      <c r="A24" s="39" t="s">
        <v>1010</v>
      </c>
      <c r="B24" s="34" t="s">
        <v>1011</v>
      </c>
      <c r="C24" s="35">
        <v>90</v>
      </c>
      <c r="D24" s="35" t="s">
        <v>1003</v>
      </c>
      <c r="E24" s="36" t="s">
        <v>1012</v>
      </c>
    </row>
    <row r="25" ht="30" customHeight="1" spans="1:5">
      <c r="A25" s="40" t="s">
        <v>1013</v>
      </c>
      <c r="B25" s="41" t="s">
        <v>1332</v>
      </c>
      <c r="C25" s="42">
        <v>90</v>
      </c>
      <c r="D25" s="42" t="s">
        <v>1003</v>
      </c>
      <c r="E25" s="43" t="s">
        <v>1333</v>
      </c>
    </row>
    <row r="26" ht="30" customHeight="1" spans="1:5">
      <c r="A26" s="44" t="s">
        <v>1016</v>
      </c>
      <c r="B26" s="45"/>
      <c r="C26" s="46"/>
      <c r="D26" s="46"/>
      <c r="E26" s="47"/>
    </row>
    <row r="27" ht="30" customHeight="1" spans="1:5">
      <c r="A27" s="39" t="s">
        <v>1017</v>
      </c>
      <c r="B27" s="34" t="s">
        <v>1002</v>
      </c>
      <c r="C27" s="35">
        <v>48.093</v>
      </c>
      <c r="D27" s="35" t="s">
        <v>1018</v>
      </c>
      <c r="E27" s="36" t="s">
        <v>1334</v>
      </c>
    </row>
    <row r="28" ht="30" customHeight="1" spans="1:7">
      <c r="A28" s="39" t="s">
        <v>1020</v>
      </c>
      <c r="B28" s="34" t="s">
        <v>1021</v>
      </c>
      <c r="C28" s="35">
        <v>53.0277</v>
      </c>
      <c r="D28" s="35" t="s">
        <v>1018</v>
      </c>
      <c r="E28" s="36" t="s">
        <v>1335</v>
      </c>
      <c r="G28" s="48"/>
    </row>
    <row r="29" ht="30" customHeight="1" spans="1:7">
      <c r="A29" s="39" t="s">
        <v>1023</v>
      </c>
      <c r="B29" s="34" t="s">
        <v>1002</v>
      </c>
      <c r="C29" s="35">
        <v>82.4446</v>
      </c>
      <c r="D29" s="35" t="s">
        <v>1018</v>
      </c>
      <c r="E29" s="36" t="s">
        <v>1336</v>
      </c>
      <c r="G29" s="48"/>
    </row>
    <row r="30" ht="30" customHeight="1" spans="1:5">
      <c r="A30" s="39" t="s">
        <v>1025</v>
      </c>
      <c r="B30" s="34" t="s">
        <v>1021</v>
      </c>
      <c r="C30" s="35">
        <v>106.74</v>
      </c>
      <c r="D30" s="35" t="s">
        <v>1018</v>
      </c>
      <c r="E30" s="36" t="s">
        <v>1337</v>
      </c>
    </row>
    <row r="31" ht="30" customHeight="1" spans="1:5">
      <c r="A31" s="39" t="s">
        <v>1027</v>
      </c>
      <c r="B31" s="34" t="s">
        <v>1028</v>
      </c>
      <c r="C31" s="35">
        <v>207.966</v>
      </c>
      <c r="D31" s="35" t="s">
        <v>1018</v>
      </c>
      <c r="E31" s="36" t="s">
        <v>1338</v>
      </c>
    </row>
    <row r="32" ht="30" customHeight="1" spans="1:5">
      <c r="A32" s="39" t="s">
        <v>1030</v>
      </c>
      <c r="B32" s="34" t="s">
        <v>1002</v>
      </c>
      <c r="C32" s="35">
        <v>207.966</v>
      </c>
      <c r="D32" s="35" t="s">
        <v>1018</v>
      </c>
      <c r="E32" s="36" t="s">
        <v>1339</v>
      </c>
    </row>
    <row r="33" ht="30" customHeight="1" spans="1:5">
      <c r="A33" s="39" t="s">
        <v>1032</v>
      </c>
      <c r="B33" s="34" t="s">
        <v>1021</v>
      </c>
      <c r="C33" s="35">
        <v>229.3047</v>
      </c>
      <c r="D33" s="35" t="s">
        <v>1018</v>
      </c>
      <c r="E33" s="36" t="s">
        <v>1340</v>
      </c>
    </row>
    <row r="34" ht="30" customHeight="1" spans="1:5">
      <c r="A34" s="39" t="s">
        <v>1034</v>
      </c>
      <c r="B34" s="34" t="s">
        <v>1035</v>
      </c>
      <c r="C34" s="35">
        <v>207.966</v>
      </c>
      <c r="D34" s="35" t="s">
        <v>1018</v>
      </c>
      <c r="E34" s="36" t="s">
        <v>1341</v>
      </c>
    </row>
    <row r="35" ht="30" customHeight="1" spans="1:5">
      <c r="A35" s="40" t="s">
        <v>1037</v>
      </c>
      <c r="B35" s="49" t="s">
        <v>1342</v>
      </c>
      <c r="C35" s="50">
        <v>90</v>
      </c>
      <c r="D35" s="50" t="s">
        <v>1003</v>
      </c>
      <c r="E35" s="51" t="s">
        <v>1343</v>
      </c>
    </row>
    <row r="36" ht="30" customHeight="1" spans="1:5">
      <c r="A36" s="44" t="s">
        <v>1040</v>
      </c>
      <c r="B36" s="52"/>
      <c r="C36" s="53"/>
      <c r="D36" s="53"/>
      <c r="E36" s="54"/>
    </row>
    <row r="37" ht="30" customHeight="1" spans="1:5">
      <c r="A37" s="39" t="s">
        <v>1041</v>
      </c>
      <c r="B37" s="34" t="s">
        <v>1002</v>
      </c>
      <c r="C37" s="35">
        <v>450</v>
      </c>
      <c r="D37" s="35" t="s">
        <v>1018</v>
      </c>
      <c r="E37" s="36" t="s">
        <v>1344</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1005</v>
      </c>
      <c r="C40" s="50">
        <v>90</v>
      </c>
      <c r="D40" s="50" t="s">
        <v>1003</v>
      </c>
      <c r="E40" s="51" t="s">
        <v>1344</v>
      </c>
    </row>
    <row r="41" ht="30" customHeight="1" spans="1:5">
      <c r="A41" s="44" t="s">
        <v>1048</v>
      </c>
      <c r="B41" s="34"/>
      <c r="C41" s="35"/>
      <c r="D41" s="35"/>
      <c r="E41" s="47"/>
    </row>
    <row r="42" ht="30" customHeight="1" spans="1:5">
      <c r="A42" s="55" t="s">
        <v>1049</v>
      </c>
      <c r="B42" s="34" t="s">
        <v>1021</v>
      </c>
      <c r="C42" s="35">
        <v>582.6097</v>
      </c>
      <c r="D42" s="35" t="s">
        <v>1018</v>
      </c>
      <c r="E42" s="36" t="s">
        <v>1345</v>
      </c>
    </row>
    <row r="43" ht="30" customHeight="1" spans="1:5">
      <c r="A43" s="33" t="s">
        <v>1051</v>
      </c>
      <c r="B43" s="34" t="s">
        <v>1052</v>
      </c>
      <c r="C43" s="35">
        <v>5.403</v>
      </c>
      <c r="D43" s="35" t="s">
        <v>1018</v>
      </c>
      <c r="E43" s="36" t="s">
        <v>1346</v>
      </c>
    </row>
    <row r="44" ht="30" customHeight="1" spans="1:5">
      <c r="A44" s="33" t="s">
        <v>1054</v>
      </c>
      <c r="B44" s="34" t="s">
        <v>1055</v>
      </c>
      <c r="C44" s="35">
        <v>3025.3179</v>
      </c>
      <c r="D44" s="35" t="s">
        <v>1018</v>
      </c>
      <c r="E44" s="36" t="s">
        <v>1347</v>
      </c>
    </row>
    <row r="45" ht="34.05" customHeight="1" spans="1:5">
      <c r="A45" s="40" t="s">
        <v>1057</v>
      </c>
      <c r="B45" s="34" t="s">
        <v>1348</v>
      </c>
      <c r="C45" s="50">
        <v>90</v>
      </c>
      <c r="D45" s="50" t="s">
        <v>1003</v>
      </c>
      <c r="E45" s="51" t="s">
        <v>1349</v>
      </c>
    </row>
    <row r="46" ht="30" customHeight="1" spans="1:5">
      <c r="A46" s="56" t="s">
        <v>1060</v>
      </c>
      <c r="B46" s="57" t="s">
        <v>1350</v>
      </c>
      <c r="C46" s="58">
        <v>90</v>
      </c>
      <c r="D46" s="58" t="s">
        <v>1003</v>
      </c>
      <c r="E46" s="59" t="s">
        <v>1351</v>
      </c>
    </row>
    <row r="47" s="1" customFormat="1" ht="31.95" customHeight="1" spans="1:5">
      <c r="A47" s="60" t="s">
        <v>1063</v>
      </c>
      <c r="B47" s="61"/>
      <c r="C47" s="62"/>
      <c r="D47" s="62"/>
      <c r="E47" s="63"/>
    </row>
    <row r="48" spans="1:5">
      <c r="A48" s="64" t="s">
        <v>1064</v>
      </c>
      <c r="B48" s="65" t="s">
        <v>1065</v>
      </c>
      <c r="C48" s="66"/>
      <c r="D48" s="66"/>
      <c r="E48" s="67" t="s">
        <v>1351</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1352</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G54"/>
  <sheetViews>
    <sheetView showGridLines="0" zoomScale="90" zoomScaleNormal="90" zoomScalePageLayoutView="75" zoomScaleSheetLayoutView="50" workbookViewId="0">
      <selection activeCell="A1" sqref="A1:F54"/>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72"/>
      <c r="C1" s="3"/>
      <c r="D1" s="3"/>
    </row>
    <row r="2" ht="46.05" customHeight="1" spans="1:5">
      <c r="A2" s="73" t="s">
        <v>121</v>
      </c>
      <c r="B2" s="74" t="s">
        <v>968</v>
      </c>
      <c r="C2" s="74"/>
      <c r="D2" s="74"/>
      <c r="E2" s="74"/>
    </row>
    <row r="3" ht="20.25" customHeight="1" spans="1:4">
      <c r="A3" s="75" t="s">
        <v>122</v>
      </c>
      <c r="B3" s="72"/>
      <c r="C3" s="3"/>
      <c r="D3" s="3"/>
    </row>
    <row r="4" ht="10.05" customHeight="1" spans="1:4">
      <c r="A4" s="75"/>
      <c r="B4" s="72"/>
      <c r="C4" s="3"/>
      <c r="D4" s="3"/>
    </row>
    <row r="5" ht="24" customHeight="1" spans="1:5">
      <c r="A5" s="76" t="s">
        <v>969</v>
      </c>
      <c r="B5" s="77" t="s">
        <v>970</v>
      </c>
      <c r="C5" s="78"/>
      <c r="D5" s="78"/>
      <c r="E5" s="79">
        <v>45784</v>
      </c>
    </row>
    <row r="6" ht="18" customHeight="1" spans="1:5">
      <c r="A6" t="s">
        <v>971</v>
      </c>
      <c r="B6" s="77" t="s">
        <v>972</v>
      </c>
      <c r="C6" s="78"/>
      <c r="D6" s="78"/>
      <c r="E6" s="80" t="s">
        <v>1353</v>
      </c>
    </row>
    <row r="7" ht="18" customHeight="1" spans="1:5">
      <c r="A7" t="s">
        <v>974</v>
      </c>
      <c r="B7" s="77" t="s">
        <v>975</v>
      </c>
      <c r="C7" s="3"/>
      <c r="D7" s="3"/>
      <c r="E7" s="80" t="s">
        <v>52</v>
      </c>
    </row>
    <row r="8" ht="18" customHeight="1" spans="1:5">
      <c r="A8" s="81" t="s">
        <v>976</v>
      </c>
      <c r="B8" s="77" t="s">
        <v>977</v>
      </c>
      <c r="C8" s="3"/>
      <c r="D8" s="3"/>
      <c r="E8">
        <v>16</v>
      </c>
    </row>
    <row r="9" ht="18" customHeight="1" spans="1:5">
      <c r="A9" s="82"/>
      <c r="B9" s="77" t="s">
        <v>978</v>
      </c>
      <c r="C9" s="83"/>
      <c r="D9" s="83"/>
      <c r="E9" s="84">
        <v>50003419</v>
      </c>
    </row>
    <row r="10" spans="1:5">
      <c r="A10" s="85" t="s">
        <v>979</v>
      </c>
      <c r="B10" s="77" t="s">
        <v>980</v>
      </c>
      <c r="C10" s="83"/>
      <c r="D10" s="83"/>
      <c r="E10" s="86">
        <v>69</v>
      </c>
    </row>
    <row r="11" ht="15" customHeight="1" spans="1:5">
      <c r="A11" t="s">
        <v>420</v>
      </c>
      <c r="B11" s="87" t="s">
        <v>981</v>
      </c>
      <c r="C11" s="3"/>
      <c r="D11" s="3"/>
      <c r="E11" s="88">
        <v>0.069</v>
      </c>
    </row>
    <row r="12" ht="15" customHeight="1" spans="1:5">
      <c r="A12" t="s">
        <v>421</v>
      </c>
      <c r="B12" s="77" t="s">
        <v>982</v>
      </c>
      <c r="C12" s="22">
        <v>45658</v>
      </c>
      <c r="D12" s="22"/>
      <c r="E12" s="22">
        <v>45747</v>
      </c>
    </row>
    <row r="13" ht="15" customHeight="1" spans="1:5">
      <c r="A13" t="s">
        <v>983</v>
      </c>
      <c r="B13" s="77" t="s">
        <v>984</v>
      </c>
      <c r="C13" s="3"/>
      <c r="D13" s="3"/>
      <c r="E13" s="23">
        <v>90</v>
      </c>
    </row>
    <row r="14" ht="15" customHeight="1" spans="2:4">
      <c r="B14" s="72"/>
      <c r="C14" s="3"/>
      <c r="D14" s="3"/>
    </row>
    <row r="15" ht="51" customHeight="1" spans="1:5">
      <c r="A15" s="89" t="s">
        <v>985</v>
      </c>
      <c r="B15" s="90" t="s">
        <v>986</v>
      </c>
      <c r="C15" s="91" t="s">
        <v>987</v>
      </c>
      <c r="D15" s="92" t="s">
        <v>988</v>
      </c>
      <c r="E15" s="93" t="s">
        <v>989</v>
      </c>
    </row>
    <row r="16" ht="30" customHeight="1" spans="1:5">
      <c r="A16" s="94" t="s">
        <v>990</v>
      </c>
      <c r="B16" s="95"/>
      <c r="C16" s="96"/>
      <c r="D16" s="96"/>
      <c r="E16" s="97"/>
    </row>
    <row r="17" ht="30" customHeight="1" spans="1:5">
      <c r="A17" s="98" t="s">
        <v>991</v>
      </c>
      <c r="B17" s="99" t="s">
        <v>992</v>
      </c>
      <c r="C17" s="100">
        <v>1</v>
      </c>
      <c r="D17" s="100" t="s">
        <v>993</v>
      </c>
      <c r="E17" s="101" t="s">
        <v>994</v>
      </c>
    </row>
    <row r="18" ht="30" customHeight="1" spans="1:5">
      <c r="A18" s="98" t="s">
        <v>995</v>
      </c>
      <c r="B18" s="99" t="s">
        <v>996</v>
      </c>
      <c r="C18" s="100">
        <v>1</v>
      </c>
      <c r="D18" s="100" t="s">
        <v>993</v>
      </c>
      <c r="E18" s="101" t="s">
        <v>997</v>
      </c>
    </row>
    <row r="19" ht="30" customHeight="1" spans="1:5">
      <c r="A19" s="98" t="s">
        <v>998</v>
      </c>
      <c r="B19" s="99" t="s">
        <v>992</v>
      </c>
      <c r="C19" s="100">
        <v>1</v>
      </c>
      <c r="D19" s="100" t="s">
        <v>993</v>
      </c>
      <c r="E19" s="101" t="s">
        <v>994</v>
      </c>
    </row>
    <row r="20" ht="30" customHeight="1" spans="1:5">
      <c r="A20" s="98" t="s">
        <v>999</v>
      </c>
      <c r="B20" s="99" t="s">
        <v>1000</v>
      </c>
      <c r="C20" s="100">
        <v>1</v>
      </c>
      <c r="D20" s="100" t="s">
        <v>993</v>
      </c>
      <c r="E20" s="101" t="s">
        <v>1001</v>
      </c>
    </row>
    <row r="21" ht="30" customHeight="1" spans="1:5">
      <c r="A21" s="98" t="s">
        <v>859</v>
      </c>
      <c r="B21" s="99" t="s">
        <v>1002</v>
      </c>
      <c r="C21" s="100">
        <v>90</v>
      </c>
      <c r="D21" s="100" t="s">
        <v>1003</v>
      </c>
      <c r="E21" s="101" t="s">
        <v>1004</v>
      </c>
    </row>
    <row r="22" ht="30" customHeight="1" spans="1:7">
      <c r="A22" s="98" t="s">
        <v>881</v>
      </c>
      <c r="B22" s="99" t="s">
        <v>1005</v>
      </c>
      <c r="C22" s="100">
        <v>1</v>
      </c>
      <c r="D22" s="100" t="s">
        <v>993</v>
      </c>
      <c r="E22" s="101" t="s">
        <v>1006</v>
      </c>
      <c r="F22"/>
      <c r="G22" s="38"/>
    </row>
    <row r="23" ht="30" customHeight="1" spans="1:5">
      <c r="A23" s="98" t="s">
        <v>1007</v>
      </c>
      <c r="B23" s="99" t="s">
        <v>1330</v>
      </c>
      <c r="C23" s="100">
        <v>90</v>
      </c>
      <c r="D23" s="100" t="s">
        <v>1003</v>
      </c>
      <c r="E23" s="101" t="s">
        <v>1331</v>
      </c>
    </row>
    <row r="24" ht="30" customHeight="1" spans="1:5">
      <c r="A24" s="98" t="s">
        <v>1010</v>
      </c>
      <c r="B24" s="99" t="s">
        <v>1011</v>
      </c>
      <c r="C24" s="100">
        <v>90</v>
      </c>
      <c r="D24" s="100" t="s">
        <v>1003</v>
      </c>
      <c r="E24" s="101" t="s">
        <v>1012</v>
      </c>
    </row>
    <row r="25" ht="30" customHeight="1" spans="1:5">
      <c r="A25" s="102" t="s">
        <v>1013</v>
      </c>
      <c r="B25" s="103" t="s">
        <v>1332</v>
      </c>
      <c r="C25" s="104">
        <v>90</v>
      </c>
      <c r="D25" s="104" t="s">
        <v>1003</v>
      </c>
      <c r="E25" s="105" t="s">
        <v>1333</v>
      </c>
    </row>
    <row r="26" ht="30" customHeight="1" spans="1:5">
      <c r="A26" s="94" t="s">
        <v>1016</v>
      </c>
      <c r="B26" s="106"/>
      <c r="C26" s="107"/>
      <c r="D26" s="107"/>
      <c r="E26" s="101"/>
    </row>
    <row r="27" ht="30" customHeight="1" spans="1:5">
      <c r="A27" s="98" t="s">
        <v>1017</v>
      </c>
      <c r="B27" s="99" t="s">
        <v>1002</v>
      </c>
      <c r="C27" s="100">
        <v>48.093</v>
      </c>
      <c r="D27" s="100" t="s">
        <v>1018</v>
      </c>
      <c r="E27" s="101" t="s">
        <v>1334</v>
      </c>
    </row>
    <row r="28" ht="30" customHeight="1" spans="1:7">
      <c r="A28" s="98" t="s">
        <v>1020</v>
      </c>
      <c r="B28" s="108" t="s">
        <v>1021</v>
      </c>
      <c r="C28" s="100">
        <v>73.4586</v>
      </c>
      <c r="D28" s="100" t="s">
        <v>1018</v>
      </c>
      <c r="E28" s="109" t="s">
        <v>1354</v>
      </c>
      <c r="F28"/>
      <c r="G28" s="48"/>
    </row>
    <row r="29" ht="30" customHeight="1" spans="1:7">
      <c r="A29" s="98" t="s">
        <v>1023</v>
      </c>
      <c r="B29" s="99" t="s">
        <v>1002</v>
      </c>
      <c r="C29" s="100">
        <v>73.8337</v>
      </c>
      <c r="D29" s="100" t="s">
        <v>1018</v>
      </c>
      <c r="E29" s="101" t="s">
        <v>1355</v>
      </c>
      <c r="F29"/>
      <c r="G29" s="48"/>
    </row>
    <row r="30" ht="30" customHeight="1" spans="1:5">
      <c r="A30" s="98" t="s">
        <v>1025</v>
      </c>
      <c r="B30" s="108" t="s">
        <v>1021</v>
      </c>
      <c r="C30" s="100">
        <v>147.8658</v>
      </c>
      <c r="D30" s="100" t="s">
        <v>1018</v>
      </c>
      <c r="E30" s="109" t="s">
        <v>1356</v>
      </c>
    </row>
    <row r="31" ht="30" customHeight="1" spans="1:5">
      <c r="A31" s="98" t="s">
        <v>1027</v>
      </c>
      <c r="B31" s="108" t="s">
        <v>1028</v>
      </c>
      <c r="C31" s="100">
        <v>207.966</v>
      </c>
      <c r="D31" s="100" t="s">
        <v>1018</v>
      </c>
      <c r="E31" s="109" t="s">
        <v>1338</v>
      </c>
    </row>
    <row r="32" ht="30" customHeight="1" spans="1:5">
      <c r="A32" s="98" t="s">
        <v>1030</v>
      </c>
      <c r="B32" s="99" t="s">
        <v>1002</v>
      </c>
      <c r="C32" s="100">
        <v>207.966</v>
      </c>
      <c r="D32" s="100" t="s">
        <v>1018</v>
      </c>
      <c r="E32" s="101" t="s">
        <v>1339</v>
      </c>
    </row>
    <row r="33" ht="30" customHeight="1" spans="1:5">
      <c r="A33" s="98" t="s">
        <v>1032</v>
      </c>
      <c r="B33" s="108" t="s">
        <v>1021</v>
      </c>
      <c r="C33" s="100">
        <v>317.6533</v>
      </c>
      <c r="D33" s="100" t="s">
        <v>1018</v>
      </c>
      <c r="E33" s="109" t="s">
        <v>1357</v>
      </c>
    </row>
    <row r="34" ht="30" customHeight="1" spans="1:5">
      <c r="A34" s="98" t="s">
        <v>1034</v>
      </c>
      <c r="B34" s="99" t="s">
        <v>1035</v>
      </c>
      <c r="C34" s="100">
        <v>207.966</v>
      </c>
      <c r="D34" s="100" t="s">
        <v>1018</v>
      </c>
      <c r="E34" s="101" t="s">
        <v>1341</v>
      </c>
    </row>
    <row r="35" ht="30" customHeight="1" spans="1:5">
      <c r="A35" s="102" t="s">
        <v>1037</v>
      </c>
      <c r="B35" s="130" t="s">
        <v>1358</v>
      </c>
      <c r="C35" s="110">
        <v>90</v>
      </c>
      <c r="D35" s="110" t="s">
        <v>1003</v>
      </c>
      <c r="E35" s="112" t="s">
        <v>1359</v>
      </c>
    </row>
    <row r="36" ht="30" customHeight="1" spans="1:5">
      <c r="A36" s="94" t="s">
        <v>1040</v>
      </c>
      <c r="B36" s="99"/>
      <c r="C36" s="100"/>
      <c r="D36" s="100"/>
      <c r="E36" s="111"/>
    </row>
    <row r="37" ht="30" customHeight="1" spans="1:5">
      <c r="A37" s="98" t="s">
        <v>1041</v>
      </c>
      <c r="B37" s="99" t="s">
        <v>1002</v>
      </c>
      <c r="C37" s="100">
        <v>403</v>
      </c>
      <c r="D37" s="100" t="s">
        <v>1018</v>
      </c>
      <c r="E37" s="101" t="s">
        <v>1360</v>
      </c>
    </row>
    <row r="38" ht="30" customHeight="1" spans="1:5">
      <c r="A38" s="98" t="s">
        <v>1043</v>
      </c>
      <c r="B38" s="99" t="s">
        <v>1044</v>
      </c>
      <c r="C38" s="100">
        <v>0</v>
      </c>
      <c r="D38" s="100" t="s">
        <v>1018</v>
      </c>
      <c r="E38" s="101" t="s">
        <v>1044</v>
      </c>
    </row>
    <row r="39" ht="30" customHeight="1" spans="1:5">
      <c r="A39" s="98" t="s">
        <v>1045</v>
      </c>
      <c r="B39" s="99" t="s">
        <v>1044</v>
      </c>
      <c r="C39" s="100">
        <v>0</v>
      </c>
      <c r="D39" s="100" t="s">
        <v>1018</v>
      </c>
      <c r="E39" s="101" t="s">
        <v>1044</v>
      </c>
    </row>
    <row r="40" ht="30" customHeight="1" spans="1:5">
      <c r="A40" s="102" t="s">
        <v>1046</v>
      </c>
      <c r="B40" s="103" t="s">
        <v>1361</v>
      </c>
      <c r="C40" s="110">
        <v>90</v>
      </c>
      <c r="D40" s="110" t="s">
        <v>1003</v>
      </c>
      <c r="E40" s="111" t="s">
        <v>1360</v>
      </c>
    </row>
    <row r="41" ht="30" customHeight="1" spans="1:5">
      <c r="A41" s="94" t="s">
        <v>1048</v>
      </c>
      <c r="B41" s="99"/>
      <c r="C41" s="100"/>
      <c r="D41" s="100"/>
      <c r="E41" s="101"/>
    </row>
    <row r="42" ht="30" customHeight="1" spans="1:5">
      <c r="A42" s="98" t="s">
        <v>1049</v>
      </c>
      <c r="B42" s="108" t="s">
        <v>1021</v>
      </c>
      <c r="C42" s="100">
        <v>807.0828</v>
      </c>
      <c r="D42" s="100" t="s">
        <v>1018</v>
      </c>
      <c r="E42" s="109" t="s">
        <v>1362</v>
      </c>
    </row>
    <row r="43" ht="30" customHeight="1" spans="1:5">
      <c r="A43" s="98" t="s">
        <v>1051</v>
      </c>
      <c r="B43" s="108" t="s">
        <v>1052</v>
      </c>
      <c r="C43" s="100">
        <v>5.6577</v>
      </c>
      <c r="D43" s="100" t="s">
        <v>1018</v>
      </c>
      <c r="E43" s="109" t="s">
        <v>1346</v>
      </c>
    </row>
    <row r="44" ht="30" customHeight="1" spans="1:5">
      <c r="A44" s="98" t="s">
        <v>1054</v>
      </c>
      <c r="B44" s="108" t="s">
        <v>1055</v>
      </c>
      <c r="C44" s="100">
        <v>4190.9395</v>
      </c>
      <c r="D44" s="100" t="s">
        <v>1018</v>
      </c>
      <c r="E44" s="109" t="s">
        <v>1363</v>
      </c>
    </row>
    <row r="45" ht="34.05" customHeight="1" spans="1:5">
      <c r="A45" s="102" t="s">
        <v>1057</v>
      </c>
      <c r="B45" s="108" t="s">
        <v>1364</v>
      </c>
      <c r="C45" s="110">
        <v>90</v>
      </c>
      <c r="D45" s="110" t="s">
        <v>1003</v>
      </c>
      <c r="E45" s="112" t="s">
        <v>1365</v>
      </c>
    </row>
    <row r="46" ht="30" customHeight="1" spans="1:5">
      <c r="A46" s="113" t="s">
        <v>1060</v>
      </c>
      <c r="B46" s="131" t="s">
        <v>1366</v>
      </c>
      <c r="C46" s="115">
        <v>90</v>
      </c>
      <c r="D46" s="115" t="s">
        <v>1003</v>
      </c>
      <c r="E46" s="132" t="s">
        <v>1367</v>
      </c>
    </row>
    <row r="47" s="1" customFormat="1" ht="31.95" customHeight="1" spans="1:7">
      <c r="A47" s="117" t="s">
        <v>1063</v>
      </c>
      <c r="B47" s="118"/>
      <c r="C47" s="119"/>
      <c r="D47" s="119"/>
      <c r="E47" s="120"/>
      <c r="F47" s="121"/>
      <c r="G47" s="121"/>
    </row>
    <row r="48" spans="1:5">
      <c r="A48" s="122" t="s">
        <v>1064</v>
      </c>
      <c r="B48" s="123" t="s">
        <v>1065</v>
      </c>
      <c r="C48" s="124"/>
      <c r="D48" s="124"/>
      <c r="E48" s="132" t="s">
        <v>1367</v>
      </c>
    </row>
    <row r="49" spans="2:4">
      <c r="B49" s="72"/>
      <c r="C49" s="3"/>
      <c r="D49" s="3"/>
    </row>
    <row r="50" ht="13.95" customHeight="1" spans="1:4">
      <c r="A50" s="126" t="s">
        <v>1066</v>
      </c>
      <c r="B50" s="127"/>
      <c r="C50" s="3"/>
      <c r="D50" s="3"/>
    </row>
    <row r="51" spans="1:2">
      <c r="A51" s="126" t="s">
        <v>1067</v>
      </c>
      <c r="B51" s="127"/>
    </row>
    <row r="52" spans="1:4">
      <c r="A52" s="126" t="s">
        <v>1068</v>
      </c>
      <c r="B52" s="128"/>
      <c r="C52" s="3"/>
      <c r="D52" s="3"/>
    </row>
    <row r="53" spans="2:4">
      <c r="B53" s="72"/>
      <c r="C53" s="3"/>
      <c r="D53" s="3"/>
    </row>
    <row r="54" ht="15" customHeight="1" spans="1:5">
      <c r="A54" s="129" t="s">
        <v>1368</v>
      </c>
      <c r="B54" s="129"/>
      <c r="C54" s="129"/>
      <c r="D54" s="129"/>
      <c r="E54" s="129"/>
    </row>
  </sheetData>
  <conditionalFormatting sqref="B1:B7 E1:E7 E9:E11 B9:B50 E13:E52 B52 B54 E54">
    <cfRule type="cellIs" dxfId="129" priority="1" operator="lessThan">
      <formula>0</formula>
    </cfRule>
  </conditionalFormatting>
  <pageMargins left="0.7" right="0.7" top="0.75" bottom="0.75" header="0.3" footer="0.3"/>
  <pageSetup paperSize="9" scale="53" orientation="portrait"/>
  <headerFooter/>
  <drawing r:id="rId1"/>
  <tableParts count="1">
    <tablePart r:id="rId2"/>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G54"/>
  <sheetViews>
    <sheetView showGridLines="0" zoomScale="90" zoomScaleNormal="90" zoomScalePageLayoutView="75" zoomScaleSheetLayoutView="50" workbookViewId="0">
      <selection activeCell="A1" sqref="A1:F54"/>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72"/>
      <c r="C1" s="3"/>
      <c r="D1" s="3"/>
    </row>
    <row r="2" ht="46.05" customHeight="1" spans="1:5">
      <c r="A2" s="73" t="s">
        <v>121</v>
      </c>
      <c r="B2" s="74" t="s">
        <v>968</v>
      </c>
      <c r="C2" s="74"/>
      <c r="D2" s="74"/>
      <c r="E2" s="74"/>
    </row>
    <row r="3" ht="20.25" customHeight="1" spans="1:4">
      <c r="A3" s="75" t="s">
        <v>122</v>
      </c>
      <c r="B3" s="72"/>
      <c r="C3" s="3"/>
      <c r="D3" s="3"/>
    </row>
    <row r="4" ht="10.05" customHeight="1" spans="1:4">
      <c r="A4" s="75"/>
      <c r="B4" s="72"/>
      <c r="C4" s="3"/>
      <c r="D4" s="3"/>
    </row>
    <row r="5" ht="24" customHeight="1" spans="1:5">
      <c r="A5" s="76" t="s">
        <v>969</v>
      </c>
      <c r="B5" s="77" t="s">
        <v>970</v>
      </c>
      <c r="C5" s="78"/>
      <c r="D5" s="78"/>
      <c r="E5" s="79">
        <v>45784</v>
      </c>
    </row>
    <row r="6" ht="18" customHeight="1" spans="1:5">
      <c r="A6" t="s">
        <v>971</v>
      </c>
      <c r="B6" s="77" t="s">
        <v>972</v>
      </c>
      <c r="C6" s="78"/>
      <c r="D6" s="78"/>
      <c r="E6" s="80" t="s">
        <v>1369</v>
      </c>
    </row>
    <row r="7" ht="18" customHeight="1" spans="1:5">
      <c r="A7" t="s">
        <v>974</v>
      </c>
      <c r="B7" s="77" t="s">
        <v>975</v>
      </c>
      <c r="C7" s="3"/>
      <c r="D7" s="3"/>
      <c r="E7" s="80" t="s">
        <v>52</v>
      </c>
    </row>
    <row r="8" ht="18" customHeight="1" spans="1:5">
      <c r="A8" s="81" t="s">
        <v>976</v>
      </c>
      <c r="B8" s="77" t="s">
        <v>977</v>
      </c>
      <c r="C8" s="3"/>
      <c r="D8" s="3"/>
      <c r="E8">
        <v>17</v>
      </c>
    </row>
    <row r="9" ht="18" customHeight="1" spans="1:5">
      <c r="A9" s="82"/>
      <c r="B9" s="77" t="s">
        <v>978</v>
      </c>
      <c r="C9" s="83"/>
      <c r="D9" s="83"/>
      <c r="E9" s="84">
        <v>50003428</v>
      </c>
    </row>
    <row r="10" spans="1:5">
      <c r="A10" s="85" t="s">
        <v>979</v>
      </c>
      <c r="B10" s="77" t="s">
        <v>980</v>
      </c>
      <c r="C10" s="83"/>
      <c r="D10" s="83"/>
      <c r="E10" s="86">
        <v>69</v>
      </c>
    </row>
    <row r="11" ht="15" customHeight="1" spans="1:5">
      <c r="A11" s="19" t="s">
        <v>422</v>
      </c>
      <c r="B11" s="87" t="s">
        <v>981</v>
      </c>
      <c r="C11" s="3"/>
      <c r="D11" s="3"/>
      <c r="E11" s="88">
        <v>0.069</v>
      </c>
    </row>
    <row r="12" ht="15" customHeight="1" spans="1:5">
      <c r="A12" t="s">
        <v>423</v>
      </c>
      <c r="B12" s="77" t="s">
        <v>982</v>
      </c>
      <c r="C12" s="22">
        <v>45658</v>
      </c>
      <c r="D12" s="22"/>
      <c r="E12" s="22">
        <v>45747</v>
      </c>
    </row>
    <row r="13" ht="15" customHeight="1" spans="1:5">
      <c r="A13" t="s">
        <v>983</v>
      </c>
      <c r="B13" s="77" t="s">
        <v>984</v>
      </c>
      <c r="C13" s="3"/>
      <c r="D13" s="3"/>
      <c r="E13" s="23">
        <v>90</v>
      </c>
    </row>
    <row r="14" ht="15" customHeight="1" spans="2:4">
      <c r="B14" s="72"/>
      <c r="C14" s="3"/>
      <c r="D14" s="3"/>
    </row>
    <row r="15" ht="51" customHeight="1" spans="1:5">
      <c r="A15" s="89" t="s">
        <v>985</v>
      </c>
      <c r="B15" s="90" t="s">
        <v>986</v>
      </c>
      <c r="C15" s="91" t="s">
        <v>987</v>
      </c>
      <c r="D15" s="92" t="s">
        <v>988</v>
      </c>
      <c r="E15" s="93" t="s">
        <v>989</v>
      </c>
    </row>
    <row r="16" ht="30" customHeight="1" spans="1:5">
      <c r="A16" s="94" t="s">
        <v>990</v>
      </c>
      <c r="B16" s="95"/>
      <c r="C16" s="96"/>
      <c r="D16" s="96"/>
      <c r="E16" s="97"/>
    </row>
    <row r="17" ht="30" customHeight="1" spans="1:5">
      <c r="A17" s="98" t="s">
        <v>991</v>
      </c>
      <c r="B17" s="99" t="s">
        <v>992</v>
      </c>
      <c r="C17" s="100">
        <v>1</v>
      </c>
      <c r="D17" s="100" t="s">
        <v>993</v>
      </c>
      <c r="E17" s="101" t="s">
        <v>994</v>
      </c>
    </row>
    <row r="18" ht="30" customHeight="1" spans="1:5">
      <c r="A18" s="98" t="s">
        <v>995</v>
      </c>
      <c r="B18" s="99" t="s">
        <v>996</v>
      </c>
      <c r="C18" s="100">
        <v>1</v>
      </c>
      <c r="D18" s="100" t="s">
        <v>993</v>
      </c>
      <c r="E18" s="101" t="s">
        <v>997</v>
      </c>
    </row>
    <row r="19" ht="30" customHeight="1" spans="1:5">
      <c r="A19" s="98" t="s">
        <v>998</v>
      </c>
      <c r="B19" s="99" t="s">
        <v>992</v>
      </c>
      <c r="C19" s="100">
        <v>1</v>
      </c>
      <c r="D19" s="100" t="s">
        <v>993</v>
      </c>
      <c r="E19" s="101" t="s">
        <v>994</v>
      </c>
    </row>
    <row r="20" ht="30" customHeight="1" spans="1:5">
      <c r="A20" s="98" t="s">
        <v>999</v>
      </c>
      <c r="B20" s="99" t="s">
        <v>1000</v>
      </c>
      <c r="C20" s="100">
        <v>1</v>
      </c>
      <c r="D20" s="100" t="s">
        <v>993</v>
      </c>
      <c r="E20" s="101" t="s">
        <v>1001</v>
      </c>
    </row>
    <row r="21" ht="30" customHeight="1" spans="1:5">
      <c r="A21" s="98" t="s">
        <v>859</v>
      </c>
      <c r="B21" s="99" t="s">
        <v>1002</v>
      </c>
      <c r="C21" s="100">
        <v>90</v>
      </c>
      <c r="D21" s="100" t="s">
        <v>1003</v>
      </c>
      <c r="E21" s="101" t="s">
        <v>1004</v>
      </c>
    </row>
    <row r="22" ht="30" customHeight="1" spans="1:7">
      <c r="A22" s="98" t="s">
        <v>881</v>
      </c>
      <c r="B22" s="99" t="s">
        <v>1005</v>
      </c>
      <c r="C22" s="100">
        <v>1</v>
      </c>
      <c r="D22" s="100" t="s">
        <v>993</v>
      </c>
      <c r="E22" s="101" t="s">
        <v>1006</v>
      </c>
      <c r="F22"/>
      <c r="G22" s="38"/>
    </row>
    <row r="23" ht="30" customHeight="1" spans="1:5">
      <c r="A23" s="98" t="s">
        <v>1007</v>
      </c>
      <c r="B23" s="99" t="s">
        <v>1330</v>
      </c>
      <c r="C23" s="100">
        <v>90</v>
      </c>
      <c r="D23" s="100" t="s">
        <v>1003</v>
      </c>
      <c r="E23" s="101" t="s">
        <v>1331</v>
      </c>
    </row>
    <row r="24" ht="30" customHeight="1" spans="1:5">
      <c r="A24" s="98" t="s">
        <v>1010</v>
      </c>
      <c r="B24" s="99" t="s">
        <v>1011</v>
      </c>
      <c r="C24" s="100">
        <v>90</v>
      </c>
      <c r="D24" s="100" t="s">
        <v>1003</v>
      </c>
      <c r="E24" s="101" t="s">
        <v>1012</v>
      </c>
    </row>
    <row r="25" ht="30" customHeight="1" spans="1:5">
      <c r="A25" s="102" t="s">
        <v>1013</v>
      </c>
      <c r="B25" s="103" t="s">
        <v>1332</v>
      </c>
      <c r="C25" s="104">
        <v>90</v>
      </c>
      <c r="D25" s="104" t="s">
        <v>1003</v>
      </c>
      <c r="E25" s="105" t="s">
        <v>1333</v>
      </c>
    </row>
    <row r="26" ht="30" customHeight="1" spans="1:5">
      <c r="A26" s="94" t="s">
        <v>1016</v>
      </c>
      <c r="B26" s="106"/>
      <c r="C26" s="107"/>
      <c r="D26" s="107"/>
      <c r="E26" s="101"/>
    </row>
    <row r="27" ht="30" customHeight="1" spans="1:5">
      <c r="A27" s="98" t="s">
        <v>1017</v>
      </c>
      <c r="B27" s="99" t="s">
        <v>1002</v>
      </c>
      <c r="C27" s="100">
        <v>48.093</v>
      </c>
      <c r="D27" s="100" t="s">
        <v>1018</v>
      </c>
      <c r="E27" s="101" t="s">
        <v>1334</v>
      </c>
    </row>
    <row r="28" ht="30" customHeight="1" spans="1:7">
      <c r="A28" s="98" t="s">
        <v>1020</v>
      </c>
      <c r="B28" s="99" t="s">
        <v>1044</v>
      </c>
      <c r="C28" s="100">
        <v>0</v>
      </c>
      <c r="D28" s="100" t="s">
        <v>1018</v>
      </c>
      <c r="E28" s="101" t="s">
        <v>1044</v>
      </c>
      <c r="F28"/>
      <c r="G28" s="48"/>
    </row>
    <row r="29" ht="30" customHeight="1" spans="1:7">
      <c r="A29" s="98" t="s">
        <v>1023</v>
      </c>
      <c r="B29" s="99" t="s">
        <v>1002</v>
      </c>
      <c r="C29" s="100">
        <v>65.7725</v>
      </c>
      <c r="D29" s="100" t="s">
        <v>1018</v>
      </c>
      <c r="E29" s="101" t="s">
        <v>1370</v>
      </c>
      <c r="F29"/>
      <c r="G29" s="48"/>
    </row>
    <row r="30" ht="30" customHeight="1" spans="1:5">
      <c r="A30" s="98" t="s">
        <v>1025</v>
      </c>
      <c r="B30" s="99" t="s">
        <v>1044</v>
      </c>
      <c r="C30" s="100">
        <v>0</v>
      </c>
      <c r="D30" s="100" t="s">
        <v>1018</v>
      </c>
      <c r="E30" s="101" t="s">
        <v>1044</v>
      </c>
    </row>
    <row r="31" ht="30" customHeight="1" spans="1:5">
      <c r="A31" s="98" t="s">
        <v>1027</v>
      </c>
      <c r="B31" s="108" t="s">
        <v>1028</v>
      </c>
      <c r="C31" s="100">
        <v>207.966</v>
      </c>
      <c r="D31" s="100" t="s">
        <v>1018</v>
      </c>
      <c r="E31" s="109" t="s">
        <v>1338</v>
      </c>
    </row>
    <row r="32" ht="30" customHeight="1" spans="1:5">
      <c r="A32" s="98" t="s">
        <v>1030</v>
      </c>
      <c r="B32" s="99" t="s">
        <v>1002</v>
      </c>
      <c r="C32" s="100">
        <v>207.966</v>
      </c>
      <c r="D32" s="100" t="s">
        <v>1018</v>
      </c>
      <c r="E32" s="101" t="s">
        <v>1339</v>
      </c>
    </row>
    <row r="33" ht="30" customHeight="1" spans="1:5">
      <c r="A33" s="98" t="s">
        <v>1032</v>
      </c>
      <c r="B33" s="99" t="s">
        <v>1044</v>
      </c>
      <c r="C33" s="100">
        <v>0</v>
      </c>
      <c r="D33" s="100" t="s">
        <v>1018</v>
      </c>
      <c r="E33" s="101" t="s">
        <v>1044</v>
      </c>
    </row>
    <row r="34" ht="30" customHeight="1" spans="1:5">
      <c r="A34" s="98" t="s">
        <v>1034</v>
      </c>
      <c r="B34" s="99" t="s">
        <v>1035</v>
      </c>
      <c r="C34" s="100">
        <v>207.966</v>
      </c>
      <c r="D34" s="100" t="s">
        <v>1018</v>
      </c>
      <c r="E34" s="101" t="s">
        <v>1341</v>
      </c>
    </row>
    <row r="35" ht="30" customHeight="1" spans="1:5">
      <c r="A35" s="102" t="s">
        <v>1037</v>
      </c>
      <c r="B35" s="103" t="s">
        <v>1371</v>
      </c>
      <c r="C35" s="110">
        <v>90</v>
      </c>
      <c r="D35" s="110" t="s">
        <v>1003</v>
      </c>
      <c r="E35" s="111" t="s">
        <v>1372</v>
      </c>
    </row>
    <row r="36" ht="30" customHeight="1" spans="1:5">
      <c r="A36" s="94" t="s">
        <v>1040</v>
      </c>
      <c r="B36" s="99"/>
      <c r="C36" s="100"/>
      <c r="D36" s="100"/>
      <c r="E36" s="111"/>
    </row>
    <row r="37" ht="30" customHeight="1" spans="1:5">
      <c r="A37" s="98" t="s">
        <v>1041</v>
      </c>
      <c r="B37" s="99" t="s">
        <v>1198</v>
      </c>
      <c r="C37" s="100">
        <v>359</v>
      </c>
      <c r="D37" s="100" t="s">
        <v>1018</v>
      </c>
      <c r="E37" s="101" t="s">
        <v>1373</v>
      </c>
    </row>
    <row r="38" ht="30" customHeight="1" spans="1:5">
      <c r="A38" s="98" t="s">
        <v>1043</v>
      </c>
      <c r="B38" s="99" t="s">
        <v>1044</v>
      </c>
      <c r="C38" s="100">
        <v>0</v>
      </c>
      <c r="D38" s="100" t="s">
        <v>1018</v>
      </c>
      <c r="E38" s="101" t="s">
        <v>1044</v>
      </c>
    </row>
    <row r="39" ht="30" customHeight="1" spans="1:5">
      <c r="A39" s="98" t="s">
        <v>1045</v>
      </c>
      <c r="B39" s="99" t="s">
        <v>1044</v>
      </c>
      <c r="C39" s="100">
        <v>0</v>
      </c>
      <c r="D39" s="100" t="s">
        <v>1018</v>
      </c>
      <c r="E39" s="101" t="s">
        <v>1044</v>
      </c>
    </row>
    <row r="40" ht="30" customHeight="1" spans="1:5">
      <c r="A40" s="102" t="s">
        <v>1046</v>
      </c>
      <c r="B40" s="103" t="s">
        <v>1374</v>
      </c>
      <c r="C40" s="110">
        <v>90</v>
      </c>
      <c r="D40" s="110" t="s">
        <v>1003</v>
      </c>
      <c r="E40" s="111" t="s">
        <v>1373</v>
      </c>
    </row>
    <row r="41" ht="30" customHeight="1" spans="1:5">
      <c r="A41" s="94" t="s">
        <v>1048</v>
      </c>
      <c r="B41" s="99"/>
      <c r="C41" s="100"/>
      <c r="D41" s="100"/>
      <c r="E41" s="101"/>
    </row>
    <row r="42" ht="30" customHeight="1" spans="1:5">
      <c r="A42" s="98" t="s">
        <v>1049</v>
      </c>
      <c r="B42" s="99" t="s">
        <v>1044</v>
      </c>
      <c r="C42" s="100">
        <v>0</v>
      </c>
      <c r="D42" s="100" t="s">
        <v>1018</v>
      </c>
      <c r="E42" s="101" t="s">
        <v>1044</v>
      </c>
    </row>
    <row r="43" ht="30" customHeight="1" spans="1:5">
      <c r="A43" s="98" t="s">
        <v>1051</v>
      </c>
      <c r="B43" s="108" t="s">
        <v>1052</v>
      </c>
      <c r="C43" s="100">
        <v>5.8962</v>
      </c>
      <c r="D43" s="100" t="s">
        <v>1018</v>
      </c>
      <c r="E43" s="109" t="s">
        <v>1375</v>
      </c>
    </row>
    <row r="44" ht="30" customHeight="1" spans="1:5">
      <c r="A44" s="98" t="s">
        <v>1054</v>
      </c>
      <c r="B44" s="99" t="s">
        <v>1044</v>
      </c>
      <c r="C44" s="100">
        <v>0</v>
      </c>
      <c r="D44" s="100" t="s">
        <v>1018</v>
      </c>
      <c r="E44" s="101" t="s">
        <v>1044</v>
      </c>
    </row>
    <row r="45" ht="34.05" customHeight="1" spans="1:5">
      <c r="A45" s="102" t="s">
        <v>1057</v>
      </c>
      <c r="B45" s="108" t="s">
        <v>1376</v>
      </c>
      <c r="C45" s="110">
        <v>90</v>
      </c>
      <c r="D45" s="110" t="s">
        <v>1003</v>
      </c>
      <c r="E45" s="112" t="s">
        <v>1375</v>
      </c>
    </row>
    <row r="46" ht="30" customHeight="1" spans="1:5">
      <c r="A46" s="113" t="s">
        <v>1060</v>
      </c>
      <c r="B46" s="114" t="s">
        <v>1377</v>
      </c>
      <c r="C46" s="115">
        <v>90</v>
      </c>
      <c r="D46" s="115" t="s">
        <v>1003</v>
      </c>
      <c r="E46" s="116" t="s">
        <v>1378</v>
      </c>
    </row>
    <row r="47" s="1" customFormat="1" ht="31.95" customHeight="1" spans="1:7">
      <c r="A47" s="117" t="s">
        <v>1063</v>
      </c>
      <c r="B47" s="118"/>
      <c r="C47" s="119"/>
      <c r="D47" s="119"/>
      <c r="E47" s="120"/>
      <c r="F47" s="121"/>
      <c r="G47" s="121"/>
    </row>
    <row r="48" spans="1:5">
      <c r="A48" s="122" t="s">
        <v>1205</v>
      </c>
      <c r="B48" s="123" t="s">
        <v>1065</v>
      </c>
      <c r="C48" s="124"/>
      <c r="D48" s="124"/>
      <c r="E48" s="125" t="s">
        <v>1378</v>
      </c>
    </row>
    <row r="49" spans="2:4">
      <c r="B49" s="72"/>
      <c r="C49" s="3"/>
      <c r="D49" s="3"/>
    </row>
    <row r="50" ht="13.95" customHeight="1" spans="1:4">
      <c r="A50" s="126" t="s">
        <v>1066</v>
      </c>
      <c r="B50" s="127"/>
      <c r="C50" s="3"/>
      <c r="D50" s="3"/>
    </row>
    <row r="51" spans="1:2">
      <c r="A51" s="126" t="s">
        <v>1067</v>
      </c>
      <c r="B51" s="127"/>
    </row>
    <row r="52" spans="1:4">
      <c r="A52" s="126" t="s">
        <v>1068</v>
      </c>
      <c r="B52" s="128"/>
      <c r="C52" s="3"/>
      <c r="D52" s="3"/>
    </row>
    <row r="53" spans="2:4">
      <c r="B53" s="72"/>
      <c r="C53" s="3"/>
      <c r="D53" s="3"/>
    </row>
    <row r="54" ht="15" customHeight="1" spans="1:5">
      <c r="A54" s="129" t="s">
        <v>1379</v>
      </c>
      <c r="B54" s="129"/>
      <c r="C54" s="129"/>
      <c r="D54" s="129"/>
      <c r="E54" s="129"/>
    </row>
  </sheetData>
  <conditionalFormatting sqref="B1:B7 E1:E7 E9:E11 B9:B50 E13:E52 B52 B54 E54">
    <cfRule type="cellIs" dxfId="129" priority="1" operator="lessThan">
      <formula>0</formula>
    </cfRule>
  </conditionalFormatting>
  <pageMargins left="0.7" right="0.7" top="0.75" bottom="0.75" header="0.3" footer="0.3"/>
  <pageSetup paperSize="9" scale="53" orientation="portrait"/>
  <headerFooter/>
  <drawing r:id="rId1"/>
  <tableParts count="1">
    <tablePart r:id="rId2"/>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G54"/>
  <sheetViews>
    <sheetView showGridLines="0" zoomScale="90" zoomScaleNormal="90" zoomScalePageLayoutView="75" zoomScaleSheetLayoutView="50" workbookViewId="0">
      <selection activeCell="A1" sqref="A1:F54"/>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1380</v>
      </c>
    </row>
    <row r="7" ht="18" customHeight="1" spans="1:5">
      <c r="A7" t="s">
        <v>974</v>
      </c>
      <c r="B7" s="8" t="s">
        <v>975</v>
      </c>
      <c r="C7" s="3"/>
      <c r="D7" s="3"/>
      <c r="E7" s="12" t="s">
        <v>52</v>
      </c>
    </row>
    <row r="8" ht="18" customHeight="1" spans="1:5">
      <c r="A8" s="13" t="s">
        <v>976</v>
      </c>
      <c r="B8" s="8" t="s">
        <v>977</v>
      </c>
      <c r="C8" s="3"/>
      <c r="D8" s="3"/>
      <c r="E8">
        <v>18</v>
      </c>
    </row>
    <row r="9" ht="18" customHeight="1" spans="1:5">
      <c r="A9" s="14"/>
      <c r="B9" s="8" t="s">
        <v>978</v>
      </c>
      <c r="C9" s="15"/>
      <c r="D9" s="15"/>
      <c r="E9" s="16">
        <v>50002935</v>
      </c>
    </row>
    <row r="10" spans="1:5">
      <c r="A10" s="17" t="s">
        <v>979</v>
      </c>
      <c r="B10" s="8" t="s">
        <v>980</v>
      </c>
      <c r="C10" s="15"/>
      <c r="D10" s="15"/>
      <c r="E10" s="18">
        <v>69</v>
      </c>
    </row>
    <row r="11" ht="15" customHeight="1" spans="1:5">
      <c r="A11" t="s">
        <v>424</v>
      </c>
      <c r="B11" s="20" t="s">
        <v>981</v>
      </c>
      <c r="C11" s="3"/>
      <c r="D11" s="3"/>
      <c r="E11" s="21">
        <v>0.069</v>
      </c>
    </row>
    <row r="12" ht="15" customHeight="1" spans="1:5">
      <c r="A12" t="s">
        <v>425</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1330</v>
      </c>
      <c r="C23" s="35">
        <v>90</v>
      </c>
      <c r="D23" s="35" t="s">
        <v>1003</v>
      </c>
      <c r="E23" s="36" t="s">
        <v>1331</v>
      </c>
    </row>
    <row r="24" ht="30" customHeight="1" spans="1:5">
      <c r="A24" s="39" t="s">
        <v>1010</v>
      </c>
      <c r="B24" s="34" t="s">
        <v>1011</v>
      </c>
      <c r="C24" s="35">
        <v>90</v>
      </c>
      <c r="D24" s="35" t="s">
        <v>1003</v>
      </c>
      <c r="E24" s="36" t="s">
        <v>1012</v>
      </c>
    </row>
    <row r="25" ht="30" customHeight="1" spans="1:5">
      <c r="A25" s="40" t="s">
        <v>1013</v>
      </c>
      <c r="B25" s="41" t="s">
        <v>1332</v>
      </c>
      <c r="C25" s="42">
        <v>90</v>
      </c>
      <c r="D25" s="42" t="s">
        <v>1003</v>
      </c>
      <c r="E25" s="43" t="s">
        <v>1333</v>
      </c>
    </row>
    <row r="26" ht="30" customHeight="1" spans="1:5">
      <c r="A26" s="44" t="s">
        <v>1016</v>
      </c>
      <c r="B26" s="45"/>
      <c r="C26" s="46"/>
      <c r="D26" s="46"/>
      <c r="E26" s="47"/>
    </row>
    <row r="27" ht="30" customHeight="1" spans="1:5">
      <c r="A27" s="39" t="s">
        <v>1017</v>
      </c>
      <c r="B27" s="34" t="s">
        <v>1002</v>
      </c>
      <c r="C27" s="35">
        <v>48.093</v>
      </c>
      <c r="D27" s="35" t="s">
        <v>1018</v>
      </c>
      <c r="E27" s="36" t="s">
        <v>1334</v>
      </c>
    </row>
    <row r="28" ht="30" customHeight="1" spans="1:7">
      <c r="A28" s="39" t="s">
        <v>1020</v>
      </c>
      <c r="B28" s="34" t="s">
        <v>1021</v>
      </c>
      <c r="C28" s="35">
        <v>46.8055</v>
      </c>
      <c r="D28" s="35" t="s">
        <v>1018</v>
      </c>
      <c r="E28" s="36" t="s">
        <v>1381</v>
      </c>
      <c r="G28" s="48"/>
    </row>
    <row r="29" ht="30" customHeight="1" spans="1:7">
      <c r="A29" s="39" t="s">
        <v>1023</v>
      </c>
      <c r="B29" s="34" t="s">
        <v>1002</v>
      </c>
      <c r="C29" s="35">
        <v>278.3824</v>
      </c>
      <c r="D29" s="35" t="s">
        <v>1018</v>
      </c>
      <c r="E29" s="36" t="s">
        <v>1382</v>
      </c>
      <c r="G29" s="48"/>
    </row>
    <row r="30" ht="30" customHeight="1" spans="1:5">
      <c r="A30" s="39" t="s">
        <v>1025</v>
      </c>
      <c r="B30" s="34" t="s">
        <v>1021</v>
      </c>
      <c r="C30" s="35">
        <v>94.2154</v>
      </c>
      <c r="D30" s="35" t="s">
        <v>1018</v>
      </c>
      <c r="E30" s="36" t="s">
        <v>1383</v>
      </c>
    </row>
    <row r="31" ht="30" customHeight="1" spans="1:5">
      <c r="A31" s="39" t="s">
        <v>1027</v>
      </c>
      <c r="B31" s="34" t="s">
        <v>1028</v>
      </c>
      <c r="C31" s="35">
        <v>207.966</v>
      </c>
      <c r="D31" s="35" t="s">
        <v>1018</v>
      </c>
      <c r="E31" s="36" t="s">
        <v>1338</v>
      </c>
    </row>
    <row r="32" ht="30" customHeight="1" spans="1:5">
      <c r="A32" s="39" t="s">
        <v>1030</v>
      </c>
      <c r="B32" s="34" t="s">
        <v>1002</v>
      </c>
      <c r="C32" s="35">
        <v>207.966</v>
      </c>
      <c r="D32" s="35" t="s">
        <v>1018</v>
      </c>
      <c r="E32" s="36" t="s">
        <v>1339</v>
      </c>
    </row>
    <row r="33" ht="30" customHeight="1" spans="1:5">
      <c r="A33" s="39" t="s">
        <v>1032</v>
      </c>
      <c r="B33" s="34" t="s">
        <v>1021</v>
      </c>
      <c r="C33" s="35">
        <v>202.3985</v>
      </c>
      <c r="D33" s="35" t="s">
        <v>1018</v>
      </c>
      <c r="E33" s="36" t="s">
        <v>1384</v>
      </c>
    </row>
    <row r="34" ht="30" customHeight="1" spans="1:5">
      <c r="A34" s="39" t="s">
        <v>1034</v>
      </c>
      <c r="B34" s="34" t="s">
        <v>1035</v>
      </c>
      <c r="C34" s="35">
        <v>207.966</v>
      </c>
      <c r="D34" s="35" t="s">
        <v>1018</v>
      </c>
      <c r="E34" s="36" t="s">
        <v>1341</v>
      </c>
    </row>
    <row r="35" ht="30" customHeight="1" spans="1:5">
      <c r="A35" s="40" t="s">
        <v>1037</v>
      </c>
      <c r="B35" s="49" t="s">
        <v>1385</v>
      </c>
      <c r="C35" s="50">
        <v>90</v>
      </c>
      <c r="D35" s="50" t="s">
        <v>1003</v>
      </c>
      <c r="E35" s="51" t="s">
        <v>1386</v>
      </c>
    </row>
    <row r="36" ht="30" customHeight="1" spans="1:5">
      <c r="A36" s="44" t="s">
        <v>1040</v>
      </c>
      <c r="B36" s="52"/>
      <c r="C36" s="53"/>
      <c r="D36" s="53"/>
      <c r="E36" s="54"/>
    </row>
    <row r="37" ht="30" customHeight="1" spans="1:5">
      <c r="A37" s="39" t="s">
        <v>1041</v>
      </c>
      <c r="B37" s="34" t="s">
        <v>1002</v>
      </c>
      <c r="C37" s="35">
        <v>1519.47</v>
      </c>
      <c r="D37" s="35" t="s">
        <v>1018</v>
      </c>
      <c r="E37" s="36" t="s">
        <v>1387</v>
      </c>
    </row>
    <row r="38" ht="30" customHeight="1" spans="1:5">
      <c r="A38" s="39" t="s">
        <v>1043</v>
      </c>
      <c r="B38" s="34" t="s">
        <v>1251</v>
      </c>
      <c r="C38" s="35">
        <v>72.54</v>
      </c>
      <c r="D38" s="35" t="s">
        <v>1018</v>
      </c>
      <c r="E38" s="36" t="s">
        <v>1388</v>
      </c>
    </row>
    <row r="39" ht="30" customHeight="1" spans="1:5">
      <c r="A39" s="39" t="s">
        <v>1045</v>
      </c>
      <c r="B39" s="34" t="s">
        <v>1389</v>
      </c>
      <c r="C39" s="35">
        <v>108.53</v>
      </c>
      <c r="D39" s="35" t="s">
        <v>1018</v>
      </c>
      <c r="E39" s="36" t="s">
        <v>1390</v>
      </c>
    </row>
    <row r="40" ht="30" customHeight="1" spans="1:5">
      <c r="A40" s="40" t="s">
        <v>1046</v>
      </c>
      <c r="B40" s="49" t="s">
        <v>1391</v>
      </c>
      <c r="C40" s="50">
        <v>90</v>
      </c>
      <c r="D40" s="50" t="s">
        <v>1003</v>
      </c>
      <c r="E40" s="51" t="s">
        <v>1392</v>
      </c>
    </row>
    <row r="41" ht="30" customHeight="1" spans="1:5">
      <c r="A41" s="44" t="s">
        <v>1048</v>
      </c>
      <c r="B41" s="34"/>
      <c r="C41" s="35"/>
      <c r="D41" s="35"/>
      <c r="E41" s="47"/>
    </row>
    <row r="42" ht="30" customHeight="1" spans="1:5">
      <c r="A42" s="55" t="s">
        <v>1049</v>
      </c>
      <c r="B42" s="34" t="s">
        <v>1021</v>
      </c>
      <c r="C42" s="35">
        <v>514.2474</v>
      </c>
      <c r="D42" s="35" t="s">
        <v>1018</v>
      </c>
      <c r="E42" s="36" t="s">
        <v>1393</v>
      </c>
    </row>
    <row r="43" ht="30" customHeight="1" spans="1:5">
      <c r="A43" s="33" t="s">
        <v>1051</v>
      </c>
      <c r="B43" s="34" t="s">
        <v>1044</v>
      </c>
      <c r="C43" s="35">
        <v>0</v>
      </c>
      <c r="D43" s="35" t="s">
        <v>1018</v>
      </c>
      <c r="E43" s="36" t="s">
        <v>1044</v>
      </c>
    </row>
    <row r="44" ht="30" customHeight="1" spans="1:5">
      <c r="A44" s="33" t="s">
        <v>1054</v>
      </c>
      <c r="B44" s="34" t="s">
        <v>1055</v>
      </c>
      <c r="C44" s="35">
        <v>2670.3332</v>
      </c>
      <c r="D44" s="35" t="s">
        <v>1018</v>
      </c>
      <c r="E44" s="36" t="s">
        <v>1394</v>
      </c>
    </row>
    <row r="45" ht="34.05" customHeight="1" spans="1:5">
      <c r="A45" s="40" t="s">
        <v>1057</v>
      </c>
      <c r="B45" s="34" t="s">
        <v>1395</v>
      </c>
      <c r="C45" s="50">
        <v>90</v>
      </c>
      <c r="D45" s="50" t="s">
        <v>1003</v>
      </c>
      <c r="E45" s="51" t="s">
        <v>1396</v>
      </c>
    </row>
    <row r="46" ht="30" customHeight="1" spans="1:5">
      <c r="A46" s="56" t="s">
        <v>1060</v>
      </c>
      <c r="B46" s="57" t="s">
        <v>1397</v>
      </c>
      <c r="C46" s="58">
        <v>90</v>
      </c>
      <c r="D46" s="58" t="s">
        <v>1003</v>
      </c>
      <c r="E46" s="59" t="s">
        <v>1398</v>
      </c>
    </row>
    <row r="47" s="1" customFormat="1" ht="31.95" customHeight="1" spans="1:5">
      <c r="A47" s="60" t="s">
        <v>1063</v>
      </c>
      <c r="B47" s="61"/>
      <c r="C47" s="62"/>
      <c r="D47" s="62"/>
      <c r="E47" s="63"/>
    </row>
    <row r="48" spans="1:5">
      <c r="A48" s="64" t="s">
        <v>1205</v>
      </c>
      <c r="B48" s="65" t="s">
        <v>1065</v>
      </c>
      <c r="C48" s="66"/>
      <c r="D48" s="66"/>
      <c r="E48" s="67" t="s">
        <v>1398</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1399</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G54"/>
  <sheetViews>
    <sheetView showGridLines="0" zoomScale="90" zoomScaleNormal="90" zoomScalePageLayoutView="75" zoomScaleSheetLayoutView="50" workbookViewId="0">
      <selection activeCell="B17" sqref="B17"/>
    </sheetView>
  </sheetViews>
  <sheetFormatPr defaultColWidth="8.8" defaultRowHeight="13.8" outlineLevelCol="6"/>
  <cols>
    <col min="1" max="1" width="69.2" customWidth="1"/>
    <col min="2" max="2" width="20.8" customWidth="1"/>
    <col min="3" max="3" width="15.3" customWidth="1"/>
    <col min="4" max="4" width="10.8" customWidth="1"/>
    <col min="5" max="5" width="23.5" customWidth="1"/>
  </cols>
  <sheetData>
    <row r="1" ht="52.05" customHeight="1" spans="2:4">
      <c r="B1" s="2"/>
      <c r="C1" s="3"/>
      <c r="D1" s="3"/>
    </row>
    <row r="2" ht="46.05" customHeight="1" spans="1:5">
      <c r="A2" s="4" t="s">
        <v>121</v>
      </c>
      <c r="B2" s="5" t="s">
        <v>968</v>
      </c>
      <c r="C2" s="5"/>
      <c r="D2" s="5"/>
      <c r="E2" s="5"/>
    </row>
    <row r="3" ht="20.25" customHeight="1" spans="1:4">
      <c r="A3" s="6" t="s">
        <v>122</v>
      </c>
      <c r="B3" s="2"/>
      <c r="C3" s="3"/>
      <c r="D3" s="3"/>
    </row>
    <row r="4" ht="10.05" customHeight="1" spans="1:4">
      <c r="A4" s="6"/>
      <c r="B4" s="2"/>
      <c r="C4" s="3"/>
      <c r="D4" s="3"/>
    </row>
    <row r="5" ht="24" customHeight="1" spans="1:5">
      <c r="A5" s="7" t="s">
        <v>969</v>
      </c>
      <c r="B5" s="8" t="s">
        <v>970</v>
      </c>
      <c r="C5" s="9"/>
      <c r="D5" s="9"/>
      <c r="E5" s="10">
        <v>45784</v>
      </c>
    </row>
    <row r="6" ht="18" customHeight="1" spans="1:5">
      <c r="A6" t="s">
        <v>971</v>
      </c>
      <c r="B6" s="8" t="s">
        <v>972</v>
      </c>
      <c r="C6" s="9"/>
      <c r="D6" s="9"/>
      <c r="E6" s="11" t="s">
        <v>1400</v>
      </c>
    </row>
    <row r="7" ht="18" customHeight="1" spans="1:5">
      <c r="A7" t="s">
        <v>974</v>
      </c>
      <c r="B7" s="8" t="s">
        <v>975</v>
      </c>
      <c r="C7" s="3"/>
      <c r="D7" s="3"/>
      <c r="E7" s="12" t="s">
        <v>52</v>
      </c>
    </row>
    <row r="8" ht="18" customHeight="1" spans="1:5">
      <c r="A8" s="13" t="s">
        <v>976</v>
      </c>
      <c r="B8" s="8" t="s">
        <v>977</v>
      </c>
      <c r="C8" s="3"/>
      <c r="D8" s="3"/>
      <c r="E8">
        <v>19</v>
      </c>
    </row>
    <row r="9" ht="18" customHeight="1" spans="1:5">
      <c r="A9" s="14"/>
      <c r="B9" s="8" t="s">
        <v>978</v>
      </c>
      <c r="C9" s="15"/>
      <c r="D9" s="15"/>
      <c r="E9" s="16">
        <v>50003417</v>
      </c>
    </row>
    <row r="10" spans="1:5">
      <c r="A10" s="17" t="s">
        <v>979</v>
      </c>
      <c r="B10" s="8" t="s">
        <v>980</v>
      </c>
      <c r="C10" s="15"/>
      <c r="D10" s="15"/>
      <c r="E10" s="18">
        <v>79</v>
      </c>
    </row>
    <row r="11" ht="15" customHeight="1" spans="1:5">
      <c r="A11" s="19" t="s">
        <v>426</v>
      </c>
      <c r="B11" s="20" t="s">
        <v>981</v>
      </c>
      <c r="C11" s="3"/>
      <c r="D11" s="3"/>
      <c r="E11" s="21">
        <v>0.079</v>
      </c>
    </row>
    <row r="12" ht="15" customHeight="1" spans="1:5">
      <c r="A12" t="s">
        <v>427</v>
      </c>
      <c r="B12" s="8" t="s">
        <v>982</v>
      </c>
      <c r="C12" s="22">
        <v>45658</v>
      </c>
      <c r="D12" s="22"/>
      <c r="E12" s="22">
        <v>45747</v>
      </c>
    </row>
    <row r="13" ht="15" customHeight="1" spans="1:5">
      <c r="A13" t="s">
        <v>983</v>
      </c>
      <c r="B13" s="8" t="s">
        <v>984</v>
      </c>
      <c r="C13" s="3"/>
      <c r="D13" s="3"/>
      <c r="E13" s="23">
        <v>90</v>
      </c>
    </row>
    <row r="14" ht="15" customHeight="1" spans="2:4">
      <c r="B14" s="2"/>
      <c r="C14" s="3"/>
      <c r="D14" s="3"/>
    </row>
    <row r="15" ht="51" customHeight="1" spans="1:5">
      <c r="A15" s="24" t="s">
        <v>985</v>
      </c>
      <c r="B15" s="25" t="s">
        <v>986</v>
      </c>
      <c r="C15" s="26" t="s">
        <v>987</v>
      </c>
      <c r="D15" s="27" t="s">
        <v>988</v>
      </c>
      <c r="E15" s="28" t="s">
        <v>989</v>
      </c>
    </row>
    <row r="16" ht="30" customHeight="1" spans="1:5">
      <c r="A16" s="29" t="s">
        <v>990</v>
      </c>
      <c r="B16" s="30"/>
      <c r="C16" s="31"/>
      <c r="D16" s="31"/>
      <c r="E16" s="32"/>
    </row>
    <row r="17" ht="30" customHeight="1" spans="1:5">
      <c r="A17" s="33" t="s">
        <v>991</v>
      </c>
      <c r="B17" s="34" t="s">
        <v>992</v>
      </c>
      <c r="C17" s="35">
        <v>1</v>
      </c>
      <c r="D17" s="35" t="s">
        <v>993</v>
      </c>
      <c r="E17" s="36" t="s">
        <v>994</v>
      </c>
    </row>
    <row r="18" ht="30" customHeight="1" spans="1:5">
      <c r="A18" s="33" t="s">
        <v>995</v>
      </c>
      <c r="B18" s="34" t="s">
        <v>996</v>
      </c>
      <c r="C18" s="35">
        <v>1</v>
      </c>
      <c r="D18" s="35" t="s">
        <v>993</v>
      </c>
      <c r="E18" s="36" t="s">
        <v>997</v>
      </c>
    </row>
    <row r="19" ht="30" customHeight="1" spans="1:5">
      <c r="A19" s="33" t="s">
        <v>998</v>
      </c>
      <c r="B19" s="34" t="s">
        <v>992</v>
      </c>
      <c r="C19" s="35">
        <v>1</v>
      </c>
      <c r="D19" s="35" t="s">
        <v>993</v>
      </c>
      <c r="E19" s="36" t="s">
        <v>994</v>
      </c>
    </row>
    <row r="20" ht="30" customHeight="1" spans="1:5">
      <c r="A20" s="33" t="s">
        <v>999</v>
      </c>
      <c r="B20" s="34" t="s">
        <v>1000</v>
      </c>
      <c r="C20" s="35">
        <v>1</v>
      </c>
      <c r="D20" s="35" t="s">
        <v>993</v>
      </c>
      <c r="E20" s="36" t="s">
        <v>1001</v>
      </c>
    </row>
    <row r="21" ht="30" customHeight="1" spans="1:5">
      <c r="A21" s="37" t="s">
        <v>859</v>
      </c>
      <c r="B21" s="34" t="s">
        <v>1002</v>
      </c>
      <c r="C21" s="35">
        <v>90</v>
      </c>
      <c r="D21" s="35" t="s">
        <v>1003</v>
      </c>
      <c r="E21" s="36" t="s">
        <v>1004</v>
      </c>
    </row>
    <row r="22" ht="30" customHeight="1" spans="1:7">
      <c r="A22" s="37" t="s">
        <v>881</v>
      </c>
      <c r="B22" s="34" t="s">
        <v>1005</v>
      </c>
      <c r="C22" s="35">
        <v>1</v>
      </c>
      <c r="D22" s="35" t="s">
        <v>993</v>
      </c>
      <c r="E22" s="36" t="s">
        <v>1006</v>
      </c>
      <c r="G22" s="38"/>
    </row>
    <row r="23" ht="30" customHeight="1" spans="1:5">
      <c r="A23" s="39" t="s">
        <v>1007</v>
      </c>
      <c r="B23" s="34" t="s">
        <v>1401</v>
      </c>
      <c r="C23" s="35">
        <v>90</v>
      </c>
      <c r="D23" s="35" t="s">
        <v>1003</v>
      </c>
      <c r="E23" s="36" t="s">
        <v>1402</v>
      </c>
    </row>
    <row r="24" ht="30" customHeight="1" spans="1:5">
      <c r="A24" s="39" t="s">
        <v>1010</v>
      </c>
      <c r="B24" s="34" t="s">
        <v>1011</v>
      </c>
      <c r="C24" s="35">
        <v>90</v>
      </c>
      <c r="D24" s="35" t="s">
        <v>1003</v>
      </c>
      <c r="E24" s="36" t="s">
        <v>1012</v>
      </c>
    </row>
    <row r="25" ht="30" customHeight="1" spans="1:5">
      <c r="A25" s="40" t="s">
        <v>1013</v>
      </c>
      <c r="B25" s="41" t="s">
        <v>1403</v>
      </c>
      <c r="C25" s="42">
        <v>90</v>
      </c>
      <c r="D25" s="42" t="s">
        <v>1003</v>
      </c>
      <c r="E25" s="43" t="s">
        <v>1404</v>
      </c>
    </row>
    <row r="26" ht="30" customHeight="1" spans="1:5">
      <c r="A26" s="44" t="s">
        <v>1016</v>
      </c>
      <c r="B26" s="45"/>
      <c r="C26" s="46"/>
      <c r="D26" s="46"/>
      <c r="E26" s="47"/>
    </row>
    <row r="27" ht="30" customHeight="1" spans="1:5">
      <c r="A27" s="39" t="s">
        <v>1017</v>
      </c>
      <c r="B27" s="34" t="s">
        <v>1002</v>
      </c>
      <c r="C27" s="35">
        <v>55.063</v>
      </c>
      <c r="D27" s="35" t="s">
        <v>1018</v>
      </c>
      <c r="E27" s="36" t="s">
        <v>1405</v>
      </c>
    </row>
    <row r="28" ht="30" customHeight="1" spans="1:7">
      <c r="A28" s="39" t="s">
        <v>1020</v>
      </c>
      <c r="B28" s="34" t="s">
        <v>1021</v>
      </c>
      <c r="C28" s="35">
        <v>62.9645</v>
      </c>
      <c r="D28" s="35" t="s">
        <v>1018</v>
      </c>
      <c r="E28" s="36" t="s">
        <v>1406</v>
      </c>
      <c r="G28" s="48"/>
    </row>
    <row r="29" ht="30" customHeight="1" spans="1:7">
      <c r="A29" s="39" t="s">
        <v>1023</v>
      </c>
      <c r="B29" s="34" t="s">
        <v>1002</v>
      </c>
      <c r="C29" s="35">
        <v>98.9335</v>
      </c>
      <c r="D29" s="35" t="s">
        <v>1018</v>
      </c>
      <c r="E29" s="36" t="s">
        <v>1407</v>
      </c>
      <c r="G29" s="48"/>
    </row>
    <row r="30" ht="30" customHeight="1" spans="1:5">
      <c r="A30" s="39" t="s">
        <v>1025</v>
      </c>
      <c r="B30" s="34" t="s">
        <v>1021</v>
      </c>
      <c r="C30" s="35">
        <v>126.7421</v>
      </c>
      <c r="D30" s="35" t="s">
        <v>1018</v>
      </c>
      <c r="E30" s="36" t="s">
        <v>1408</v>
      </c>
    </row>
    <row r="31" ht="30" customHeight="1" spans="1:5">
      <c r="A31" s="39" t="s">
        <v>1027</v>
      </c>
      <c r="B31" s="34" t="s">
        <v>1028</v>
      </c>
      <c r="C31" s="35">
        <v>238.106</v>
      </c>
      <c r="D31" s="35" t="s">
        <v>1018</v>
      </c>
      <c r="E31" s="36" t="s">
        <v>1409</v>
      </c>
    </row>
    <row r="32" ht="30" customHeight="1" spans="1:5">
      <c r="A32" s="39" t="s">
        <v>1030</v>
      </c>
      <c r="B32" s="34" t="s">
        <v>1002</v>
      </c>
      <c r="C32" s="35">
        <v>238.106</v>
      </c>
      <c r="D32" s="35" t="s">
        <v>1018</v>
      </c>
      <c r="E32" s="36" t="s">
        <v>1410</v>
      </c>
    </row>
    <row r="33" ht="30" customHeight="1" spans="1:5">
      <c r="A33" s="39" t="s">
        <v>1032</v>
      </c>
      <c r="B33" s="34" t="s">
        <v>1021</v>
      </c>
      <c r="C33" s="35">
        <v>272.2742</v>
      </c>
      <c r="D33" s="35" t="s">
        <v>1018</v>
      </c>
      <c r="E33" s="36" t="s">
        <v>1411</v>
      </c>
    </row>
    <row r="34" ht="30" customHeight="1" spans="1:5">
      <c r="A34" s="39" t="s">
        <v>1034</v>
      </c>
      <c r="B34" s="34" t="s">
        <v>1035</v>
      </c>
      <c r="C34" s="35">
        <v>238.106</v>
      </c>
      <c r="D34" s="35" t="s">
        <v>1018</v>
      </c>
      <c r="E34" s="36" t="s">
        <v>1412</v>
      </c>
    </row>
    <row r="35" ht="30" customHeight="1" spans="1:5">
      <c r="A35" s="40" t="s">
        <v>1037</v>
      </c>
      <c r="B35" s="49" t="s">
        <v>1413</v>
      </c>
      <c r="C35" s="50">
        <v>90</v>
      </c>
      <c r="D35" s="50" t="s">
        <v>1003</v>
      </c>
      <c r="E35" s="51" t="s">
        <v>1414</v>
      </c>
    </row>
    <row r="36" ht="30" customHeight="1" spans="1:5">
      <c r="A36" s="44" t="s">
        <v>1040</v>
      </c>
      <c r="B36" s="52"/>
      <c r="C36" s="53"/>
      <c r="D36" s="53"/>
      <c r="E36" s="54"/>
    </row>
    <row r="37" ht="30" customHeight="1" spans="1:5">
      <c r="A37" s="39" t="s">
        <v>1041</v>
      </c>
      <c r="B37" s="34" t="s">
        <v>1002</v>
      </c>
      <c r="C37" s="35">
        <v>540</v>
      </c>
      <c r="D37" s="35" t="s">
        <v>1018</v>
      </c>
      <c r="E37" s="36" t="s">
        <v>1415</v>
      </c>
    </row>
    <row r="38" ht="30" customHeight="1" spans="1:5">
      <c r="A38" s="39" t="s">
        <v>1043</v>
      </c>
      <c r="B38" s="34" t="s">
        <v>1044</v>
      </c>
      <c r="C38" s="35">
        <v>0</v>
      </c>
      <c r="D38" s="35" t="s">
        <v>1018</v>
      </c>
      <c r="E38" s="36" t="s">
        <v>1044</v>
      </c>
    </row>
    <row r="39" ht="30" customHeight="1" spans="1:5">
      <c r="A39" s="39" t="s">
        <v>1045</v>
      </c>
      <c r="B39" s="34" t="s">
        <v>1044</v>
      </c>
      <c r="C39" s="35">
        <v>0</v>
      </c>
      <c r="D39" s="35" t="s">
        <v>1018</v>
      </c>
      <c r="E39" s="36" t="s">
        <v>1044</v>
      </c>
    </row>
    <row r="40" ht="30" customHeight="1" spans="1:5">
      <c r="A40" s="40" t="s">
        <v>1046</v>
      </c>
      <c r="B40" s="49" t="s">
        <v>1416</v>
      </c>
      <c r="C40" s="50">
        <v>90</v>
      </c>
      <c r="D40" s="50" t="s">
        <v>1003</v>
      </c>
      <c r="E40" s="51" t="s">
        <v>1415</v>
      </c>
    </row>
    <row r="41" ht="30" customHeight="1" spans="1:5">
      <c r="A41" s="44" t="s">
        <v>1048</v>
      </c>
      <c r="B41" s="34"/>
      <c r="C41" s="35"/>
      <c r="D41" s="35"/>
      <c r="E41" s="47"/>
    </row>
    <row r="42" ht="30" customHeight="1" spans="1:5">
      <c r="A42" s="55" t="s">
        <v>1049</v>
      </c>
      <c r="B42" s="34" t="s">
        <v>1021</v>
      </c>
      <c r="C42" s="35">
        <v>691.7852</v>
      </c>
      <c r="D42" s="35" t="s">
        <v>1018</v>
      </c>
      <c r="E42" s="36" t="s">
        <v>1417</v>
      </c>
    </row>
    <row r="43" ht="30" customHeight="1" spans="1:5">
      <c r="A43" s="33" t="s">
        <v>1051</v>
      </c>
      <c r="B43" s="34" t="s">
        <v>1052</v>
      </c>
      <c r="C43" s="35">
        <v>6.0517</v>
      </c>
      <c r="D43" s="35" t="s">
        <v>1018</v>
      </c>
      <c r="E43" s="36" t="s">
        <v>1375</v>
      </c>
    </row>
    <row r="44" ht="30" customHeight="1" spans="1:5">
      <c r="A44" s="33" t="s">
        <v>1054</v>
      </c>
      <c r="B44" s="34" t="s">
        <v>1055</v>
      </c>
      <c r="C44" s="35">
        <v>3592.2339</v>
      </c>
      <c r="D44" s="35" t="s">
        <v>1018</v>
      </c>
      <c r="E44" s="36" t="s">
        <v>1418</v>
      </c>
    </row>
    <row r="45" ht="34.05" customHeight="1" spans="1:5">
      <c r="A45" s="40" t="s">
        <v>1057</v>
      </c>
      <c r="B45" s="34" t="s">
        <v>1419</v>
      </c>
      <c r="C45" s="50">
        <v>90</v>
      </c>
      <c r="D45" s="50" t="s">
        <v>1003</v>
      </c>
      <c r="E45" s="51" t="s">
        <v>1420</v>
      </c>
    </row>
    <row r="46" ht="30" customHeight="1" spans="1:5">
      <c r="A46" s="56" t="s">
        <v>1060</v>
      </c>
      <c r="B46" s="57" t="s">
        <v>1421</v>
      </c>
      <c r="C46" s="58">
        <v>90</v>
      </c>
      <c r="D46" s="58" t="s">
        <v>1003</v>
      </c>
      <c r="E46" s="59" t="s">
        <v>1422</v>
      </c>
    </row>
    <row r="47" s="1" customFormat="1" ht="31.95" customHeight="1" spans="1:5">
      <c r="A47" s="60" t="s">
        <v>1063</v>
      </c>
      <c r="B47" s="61"/>
      <c r="C47" s="62"/>
      <c r="D47" s="62"/>
      <c r="E47" s="63"/>
    </row>
    <row r="48" spans="1:5">
      <c r="A48" s="64" t="s">
        <v>1064</v>
      </c>
      <c r="B48" s="65" t="s">
        <v>1065</v>
      </c>
      <c r="C48" s="66"/>
      <c r="D48" s="66"/>
      <c r="E48" s="67" t="s">
        <v>1422</v>
      </c>
    </row>
    <row r="49" spans="2:4">
      <c r="B49" s="2"/>
      <c r="C49" s="3"/>
      <c r="D49" s="3"/>
    </row>
    <row r="50" ht="13.95" customHeight="1" spans="1:4">
      <c r="A50" s="68" t="s">
        <v>1066</v>
      </c>
      <c r="B50" s="69"/>
      <c r="C50" s="3"/>
      <c r="D50" s="3"/>
    </row>
    <row r="51" spans="1:2">
      <c r="A51" s="68" t="s">
        <v>1067</v>
      </c>
      <c r="B51" s="69"/>
    </row>
    <row r="52" spans="1:4">
      <c r="A52" s="68" t="s">
        <v>1068</v>
      </c>
      <c r="B52" s="70"/>
      <c r="C52" s="3"/>
      <c r="D52" s="3"/>
    </row>
    <row r="53" spans="2:4">
      <c r="B53" s="2"/>
      <c r="C53" s="3"/>
      <c r="D53" s="3"/>
    </row>
    <row r="54" ht="15" spans="1:5">
      <c r="A54" s="71" t="s">
        <v>1423</v>
      </c>
      <c r="B54" s="71"/>
      <c r="C54" s="71"/>
      <c r="D54" s="71"/>
      <c r="E54" s="71"/>
    </row>
  </sheetData>
  <conditionalFormatting sqref="B1:B7 E1:E7 E9:E11 B9:B50 E13:E52 B52 B54 E54">
    <cfRule type="cellIs" dxfId="129" priority="1" operator="lessThan">
      <formula>0</formula>
    </cfRule>
  </conditionalFormatting>
  <dataValidations count="17">
    <dataValidation allowBlank="1" showInputMessage="1" showErrorMessage="1" prompt="Title of this worksheet is in this cell. Enter Invoice details in cells C3 to D5" sqref="B2:D2"/>
    <dataValidation allowBlank="1" showInputMessage="1" showErrorMessage="1" prompt="Enter City, State, and Zip Code in this cell" sqref="A7"/>
    <dataValidation allowBlank="1" showInputMessage="1" showErrorMessage="1" prompt="Enter customer Name, Company Name, Street Address and Phone number in cells below" sqref="A10"/>
    <dataValidation allowBlank="1" showInputMessage="1" showErrorMessage="1" prompt="Enter invoice product description in cell at right" sqref="E10 B9:D10"/>
    <dataValidation allowBlank="1" showInputMessage="1" showErrorMessage="1" prompt="Enter customer Name in this cell" sqref="A11"/>
    <dataValidation allowBlank="1" showInputMessage="1" showErrorMessage="1" prompt="Enter Company Name in this cell" sqref="A12"/>
    <dataValidation allowBlank="1" showInputMessage="1" showErrorMessage="1" prompt="Enter invoicing company Contact Name, Phone Number, and Email in this cell" sqref="A51 C51:E51 A52:E52"/>
    <dataValidation allowBlank="1" showInputMessage="1" showErrorMessage="1" prompt="Enter Company Slogan in this cell and company address in cells below" sqref="A2:A4"/>
    <dataValidation allowBlank="1" showInputMessage="1" showErrorMessage="1" prompt="Enter invoicing company Street Address in this cell" sqref="A5:A6"/>
    <dataValidation allowBlank="1" showInputMessage="1" showErrorMessage="1" prompt="Enter Phone and Fax numbers within the brackets in this cell" sqref="A8:A9"/>
    <dataValidation allowBlank="1" showInputMessage="1" showErrorMessage="1" prompt="Enter customer Street Address in this cell" sqref="A13:A14"/>
    <dataValidation allowBlank="1" showInputMessage="1" showErrorMessage="1" prompt="Enter invoice Descriptions in this column under this heading" sqref="A15:A16"/>
    <dataValidation allowBlank="1" showInputMessage="1" showErrorMessage="1" prompt="Company name is automatically appended in this cell" sqref="A49:A50"/>
    <dataValidation allowBlank="1" showInputMessage="1" showErrorMessage="1" prompt="Enter invoice Date in this cell" sqref="E5:E6"/>
    <dataValidation allowBlank="1" showInputMessage="1" showErrorMessage="1" prompt="Enter Amount in this column under this heading for each description in column B. The last cell of the table contains the Total Due amount" sqref="E15:E16"/>
    <dataValidation allowBlank="1" showInputMessage="1" showErrorMessage="1" prompt="Enter invoice Date in cell at right" sqref="B5:D6"/>
    <dataValidation allowBlank="1" showInputMessage="1" showErrorMessage="1" prompt="Enter custom field in this heading and corresponding data in this column under this heading" sqref="B15:D16"/>
  </dataValidations>
  <pageMargins left="0.7" right="0.7" top="0.75" bottom="0.75" header="0.3" footer="0.3"/>
  <pageSetup paperSize="9" scale="53" orientation="portrait"/>
  <headerFooter/>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5D1AD9-A45F-4B6A-A986-3824726EC3C3}">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28</vt:i4>
      </vt:variant>
    </vt:vector>
  </HeadingPairs>
  <TitlesOfParts>
    <vt:vector size="28" baseType="lpstr">
      <vt:lpstr>Insutrcution for whole process</vt:lpstr>
      <vt:lpstr>strata rep contacts</vt:lpstr>
      <vt:lpstr>strata roll</vt:lpstr>
      <vt:lpstr>Amanda Energy</vt:lpstr>
      <vt:lpstr>reading-import</vt:lpstr>
      <vt:lpstr>reading-export</vt:lpstr>
      <vt:lpstr>Tariff Rates</vt:lpstr>
      <vt:lpstr>Energy billing Mastersheet_fml</vt:lpstr>
      <vt:lpstr>Energy billing Mastersheet</vt:lpstr>
      <vt:lpstr>Lot 1</vt:lpstr>
      <vt:lpstr>Lot 2</vt:lpstr>
      <vt:lpstr>Lot 3</vt:lpstr>
      <vt:lpstr>Lot 4</vt:lpstr>
      <vt:lpstr>Lot 5</vt:lpstr>
      <vt:lpstr>Lot 6</vt:lpstr>
      <vt:lpstr>Lot 7</vt:lpstr>
      <vt:lpstr>Lot 8</vt:lpstr>
      <vt:lpstr>Lot 9</vt:lpstr>
      <vt:lpstr>Lot 10</vt:lpstr>
      <vt:lpstr>Lot 11</vt:lpstr>
      <vt:lpstr>Lot 12</vt:lpstr>
      <vt:lpstr>Lot 13</vt:lpstr>
      <vt:lpstr>Lot 14</vt:lpstr>
      <vt:lpstr>Lot 15</vt:lpstr>
      <vt:lpstr>Lot 16</vt:lpstr>
      <vt:lpstr>Lot 17</vt:lpstr>
      <vt:lpstr>Lot 18</vt:lpstr>
      <vt:lpstr>Lot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Jager</dc:creator>
  <cp:lastModifiedBy>Shane</cp:lastModifiedBy>
  <dcterms:created xsi:type="dcterms:W3CDTF">2017-05-01T05:13:00Z</dcterms:created>
  <cp:lastPrinted>2024-12-17T13:06:00Z</cp:lastPrinted>
  <dcterms:modified xsi:type="dcterms:W3CDTF">2025-05-07T03:27:31Z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F6404EF2CF5940639534B30DB75A75F2_13</vt:lpwstr>
  </property>
  <property fmtid="{D5CDD505-2E9C-101B-9397-08002B2CF9AE}" pid="3" name="KSOProductBuildVer">
    <vt:lpwstr>1033-12.2.0.20795</vt:lpwstr>
  </property>
</Properties>
</file>