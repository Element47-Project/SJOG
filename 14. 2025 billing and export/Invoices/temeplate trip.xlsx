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2188" windowHeight="9000" tabRatio="902"/>
  </bookViews>
  <sheets>
    <sheet name="Insutrcution for whole process" sheetId="78" r:id="rId1"/>
    <sheet name="strata rep contacts" sheetId="34" r:id="rId2"/>
    <sheet name="strata roll" sheetId="28" r:id="rId3"/>
    <sheet name="Amanda Energy" sheetId="75" r:id="rId4"/>
    <sheet name="reading-import" sheetId="76" r:id="rId5"/>
    <sheet name="reading-export" sheetId="77" r:id="rId6"/>
    <sheet name="Tariff Rates" sheetId="33" r:id="rId7"/>
    <sheet name="Energy billing Mastersheet" sheetId="32" r:id="rId8"/>
    <sheet name="Lot 1" sheetId="2" r:id="rId9"/>
  </sheets>
  <definedNames>
    <definedName name="ColumnTitle1" localSheetId="7">#REF!</definedName>
    <definedName name="ColumnTitleRegion1..B11.1" localSheetId="7">#REF!</definedName>
    <definedName name="Company_Name" localSheetId="7">#REF!</definedName>
    <definedName name="Profit_table">#REF!</definedName>
    <definedName name="RowTitleRegion1..D5">#REF!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Qi Jiang</author>
  </authors>
  <commentList>
    <comment ref="C68" authorId="0">
      <text>
        <r>
          <rPr>
            <b/>
            <sz val="10"/>
            <color rgb="FF000000"/>
            <rFont val="Tahoma"/>
            <charset val="134"/>
          </rPr>
          <t>Qi Jiang:</t>
        </r>
        <r>
          <rPr>
            <sz val="10"/>
            <color rgb="FF000000"/>
            <rFont val="Tahoma"/>
            <charset val="134"/>
          </rPr>
          <t xml:space="preserve">
50002944</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<sst xmlns="http://schemas.openxmlformats.org/spreadsheetml/2006/main" count="2826" uniqueCount="1012">
  <si>
    <t>check box</t>
  </si>
  <si>
    <t>Instruction for whole process</t>
  </si>
  <si>
    <t>0. save as a new file</t>
  </si>
  <si>
    <t>1. check detail for strata rep contacts, update if necessary</t>
  </si>
  <si>
    <t>2. check detail for strata roll contacts, update if neccssary</t>
  </si>
  <si>
    <t>3. update Amanda Energy bills using python code</t>
  </si>
  <si>
    <t>get invoice pdf from amanda energy</t>
  </si>
  <si>
    <t>get_Amanda_inovice.py</t>
  </si>
  <si>
    <t>output.csv</t>
  </si>
  <si>
    <t>4. update auto meter reading (SwitchDin)</t>
  </si>
  <si>
    <t>download data from billing dashboard</t>
  </si>
  <si>
    <t>process_meter_data.py</t>
  </si>
  <si>
    <t>formatted data</t>
  </si>
  <si>
    <t xml:space="preserve">5. update manual meter reading </t>
  </si>
  <si>
    <t xml:space="preserve">request manual meter reading ahead of time </t>
  </si>
  <si>
    <t>January 1st</t>
  </si>
  <si>
    <t>April 1st</t>
  </si>
  <si>
    <t>July 1st</t>
  </si>
  <si>
    <t>October 1st</t>
  </si>
  <si>
    <t>6. check Tariff Rates, update if necessary</t>
  </si>
  <si>
    <t xml:space="preserve">7. update master billing sheet to current billing cycle: </t>
  </si>
  <si>
    <t>cluster name and billing month</t>
  </si>
  <si>
    <t>8. check supply table as follow, remove supply charge as request. </t>
  </si>
  <si>
    <t>9. run VB code </t>
  </si>
  <si>
    <t>10. Hide sensitve info sheet</t>
  </si>
  <si>
    <t>Instruction for VB code:</t>
  </si>
  <si>
    <t>1. open tab 'Developer'</t>
  </si>
  <si>
    <t>2. choose 'Visual Basic' </t>
  </si>
  <si>
    <t>3. add module</t>
  </si>
  <si>
    <t>4. copy and paste VB code</t>
  </si>
  <si>
    <t>Sub GenerateDynamicLotSheets()
    Dim wsTemplate As Worksheet
    Dim newSheet As Worksheet
    Dim strataRoll As Worksheet
    Dim clusterValue As String
    Dim maxLotNo As Long
    Dim rng As Range
    Dim cell As Range
    Dim i As Long
    ' Define the template sheet and reference sheet
    Set wsTemplate = ThisWorkbook.Sheets("Lot 1")
    Set strataRoll = ThisWorkbook.Sheets("Strata Roll")
    ' Get the Cluster value from D7 of the template sheet
    clusterValue = wsTemplate.Range("E7").Value
    ' Initialize the maximum Lot No
    maxLotNo = 0
    ' Search "Strata Roll" for the maximum Lot No matching the Cluster value
    With strataRoll
        Set rng = .Range("A2", .Cells(.Rows.Count, "A").End(xlUp)) ' Assume data starts from A2
        For Each cell In rng
            ' Check if the corresponding row's Cluster matches the target Cluster
            If .Cells(cell.Row, "B").Value = clusterValue Then
                ' Ensure the cell value in column A is numeric before comparing
                If IsNumeric(cell.Value) Then
                    ' Compare the numeric Lot No directly
                    If CLng(cell.Value) &gt; maxLotNo Then
                        maxLotNo = CLng(cell.Value)
                    End If
                End If
            End If
        Next cell
    End With
    ' Check if any Lot No was found for the given Cluster
    If maxLotNo = 0 Then
        MsgBox "No Lot No found for Cluster value " &amp; clusterValue &amp; "!", vbExclamation
        Exit Sub
    End If
    ' Generate worksheets for Lot 2 to maxLotNo
    For i = 2 To maxLotNo
        ' Copy the template sheet
        wsTemplate.Copy After:=ThisWorkbook.Sheets(ThisWorkbook.Sheets.Count)
        Set newSheet = ThisWorkbook.Sheets(ThisWorkbook.Sheets.Count)
        ' Rename the new sheet
        newSheet.Name = "Lot " &amp; i
        ' Update the Lot No in the new sheet (e.g., D8 cell)
        newSheet.Range("E8").Value = i
    Next i
    MsgBox "Successfully created Lot 2 to Lot " &amp; maxLotNo &amp; " worksheets!", vbInformation
End Sub</t>
  </si>
  <si>
    <t>5. run </t>
  </si>
  <si>
    <t>6. remove VB code </t>
  </si>
  <si>
    <t>Invoicing table</t>
  </si>
  <si>
    <t>Cluster</t>
  </si>
  <si>
    <t>Account setup fee</t>
  </si>
  <si>
    <t>Q1</t>
  </si>
  <si>
    <t>Q2</t>
  </si>
  <si>
    <t>Q3</t>
  </si>
  <si>
    <t>Q4</t>
  </si>
  <si>
    <t>Jan-Feb</t>
  </si>
  <si>
    <t>Mar</t>
  </si>
  <si>
    <t>Redundant Invoices</t>
  </si>
  <si>
    <t>Contract Update</t>
  </si>
  <si>
    <t>1A</t>
  </si>
  <si>
    <t>self- issued</t>
  </si>
  <si>
    <t xml:space="preserve">1039 for Q1-Q3 </t>
  </si>
  <si>
    <t>Signed</t>
  </si>
  <si>
    <t>1B</t>
  </si>
  <si>
    <t>1043 for Q1-Q3</t>
  </si>
  <si>
    <t>Weekend</t>
  </si>
  <si>
    <t>paid</t>
  </si>
  <si>
    <t>1C</t>
  </si>
  <si>
    <t>not paid</t>
  </si>
  <si>
    <t>2A</t>
  </si>
  <si>
    <t>1045 for Q2-Q3</t>
  </si>
  <si>
    <t xml:space="preserve">Holiday </t>
  </si>
  <si>
    <t>Credit Note allocated</t>
  </si>
  <si>
    <t>2B</t>
  </si>
  <si>
    <t>3A</t>
  </si>
  <si>
    <t>3B</t>
  </si>
  <si>
    <t>1048 for Q2-Q3</t>
  </si>
  <si>
    <t>FIFO working</t>
  </si>
  <si>
    <t>Supply charge table</t>
  </si>
  <si>
    <t xml:space="preserve">Amanda energy supply charge </t>
  </si>
  <si>
    <t xml:space="preserve">SwitchDin </t>
  </si>
  <si>
    <t>ChargeFox</t>
  </si>
  <si>
    <t xml:space="preserve">EV charger cost of electricy @P2P rate </t>
  </si>
  <si>
    <t>P2P trade rate for lots with export</t>
  </si>
  <si>
    <t>P2P rate for lots with no export</t>
  </si>
  <si>
    <t>Agreement and action items</t>
  </si>
  <si>
    <t>BESS status</t>
  </si>
  <si>
    <t>billing cycle</t>
  </si>
  <si>
    <t>P2P borrow/lend</t>
  </si>
  <si>
    <t>Included</t>
  </si>
  <si>
    <t>Not included</t>
  </si>
  <si>
    <t xml:space="preserve">Not included </t>
  </si>
  <si>
    <t>0.22$/kwh</t>
  </si>
  <si>
    <t>0.36$/kwh</t>
  </si>
  <si>
    <t>July 1st 2025</t>
  </si>
  <si>
    <t>ON</t>
  </si>
  <si>
    <t xml:space="preserve">quarterly </t>
  </si>
  <si>
    <t>Not included Till May 2025</t>
  </si>
  <si>
    <t>Included (customer cannled on 30/04/2025)</t>
  </si>
  <si>
    <t xml:space="preserve">Cluster </t>
  </si>
  <si>
    <t>Strata company name</t>
  </si>
  <si>
    <t>ABN</t>
  </si>
  <si>
    <t>Parcel Address</t>
  </si>
  <si>
    <t>Energy Representative</t>
  </si>
  <si>
    <t>Energy Representative email</t>
  </si>
  <si>
    <t>Strata Council Chair</t>
  </si>
  <si>
    <t>Strata Council Email</t>
  </si>
  <si>
    <t>Energy supply charge incl in strata fees</t>
  </si>
  <si>
    <t>Cluster battery</t>
  </si>
  <si>
    <t>Invividual lot battery</t>
  </si>
  <si>
    <t>number of lots</t>
  </si>
  <si>
    <t>Account Name</t>
  </si>
  <si>
    <t>BSB</t>
  </si>
  <si>
    <t>Account #</t>
  </si>
  <si>
    <t>The Owners of Cluster 1A Witchcliffe Ecovillage Survey Strata 77784</t>
  </si>
  <si>
    <t>ABN: 29 857 461 927</t>
  </si>
  <si>
    <t>Lot 10, 10347 Bussell Hwy Witchcliffe WA</t>
  </si>
  <si>
    <t>Peter Froehlich (lot 13)</t>
  </si>
  <si>
    <t>froehlich.fp@gmail.com</t>
  </si>
  <si>
    <t>to be confirmed by strata</t>
  </si>
  <si>
    <t>wevcluster1a@gmail.com</t>
  </si>
  <si>
    <t>✓</t>
  </si>
  <si>
    <t>Owners Cluster 1A</t>
  </si>
  <si>
    <t>633-000</t>
  </si>
  <si>
    <t>209 071 927</t>
  </si>
  <si>
    <t>24 Lots</t>
  </si>
  <si>
    <t>Lindy Dunlop</t>
  </si>
  <si>
    <t>lindyjdunlop@hotmail.com</t>
  </si>
  <si>
    <t>The Owners of Cluster 1B Witchcliffe Ecovillage Survey Strata 77785</t>
  </si>
  <si>
    <t>ABN: 31 962 028 201</t>
  </si>
  <si>
    <t>Lot 17, 10347 Bussell Hwy Witchcliffe WA</t>
  </si>
  <si>
    <t>Paul Wilkinson (lot 12)</t>
  </si>
  <si>
    <t xml:space="preserve">mail2paul07@gmail.com </t>
  </si>
  <si>
    <t>wevcluster1b@gmail.com</t>
  </si>
  <si>
    <t>1B Admin Fund</t>
  </si>
  <si>
    <t>208 200 014</t>
  </si>
  <si>
    <t>21 Lots</t>
  </si>
  <si>
    <t>The Owners of Cluster 1C Witchcliffe Ecovillage Survey Strata 77786</t>
  </si>
  <si>
    <t>ABN: 80 608 251 481</t>
  </si>
  <si>
    <t>Lot 11, 10347 Bussell Hwy Witchcliffe WA</t>
  </si>
  <si>
    <t>Laurence Hansen (Lot 19)</t>
  </si>
  <si>
    <t>logs1@iinet.net.au</t>
  </si>
  <si>
    <t>wevcluster1c@gmail.com</t>
  </si>
  <si>
    <t>WEV Cluster 1C Strata Account</t>
  </si>
  <si>
    <t>633 000</t>
  </si>
  <si>
    <t>216 423 913</t>
  </si>
  <si>
    <t>19 Lots</t>
  </si>
  <si>
    <t>The Owners of Cluster 2A Witchcliffe Ecovillage Survey Strata 77787</t>
  </si>
  <si>
    <t>ABN: 38 248 842 277</t>
  </si>
  <si>
    <t>Lot 7 10347 Bussell Hwy Witchcliffe WA</t>
  </si>
  <si>
    <t>Bouwe Hamersma (Lot 5)</t>
  </si>
  <si>
    <t xml:space="preserve">bouwe.hamersma@gmail.com </t>
  </si>
  <si>
    <t>wevcluster2a@gmail.com</t>
  </si>
  <si>
    <t>2A ADMIN FUND</t>
  </si>
  <si>
    <t>306-188</t>
  </si>
  <si>
    <t>23 Lots</t>
  </si>
  <si>
    <t>The Owners of Cluster 2B Witchcliffe Ecovillage Survey Strata 77788</t>
  </si>
  <si>
    <t>ABN: 64 989 501 940</t>
  </si>
  <si>
    <t>Lot 8, 10347 Bussell Hwy Witchcliffe WA</t>
  </si>
  <si>
    <t>Alison Askew (Lot 10)</t>
  </si>
  <si>
    <t xml:space="preserve">alisonaskew123@gmail.com </t>
  </si>
  <si>
    <t>wevcluster2b@gmail.com</t>
  </si>
  <si>
    <t>The Owners of Cluster 2B Witchcliffe</t>
  </si>
  <si>
    <t>209 181 437</t>
  </si>
  <si>
    <t>22 Lots</t>
  </si>
  <si>
    <t xml:space="preserve">The Owners of Cluster 3A Witchcliffe Ecovillage Survey Strata 77790                                     </t>
  </si>
  <si>
    <t>ABN: 22315195710</t>
  </si>
  <si>
    <t>2 Karrack Crescent, Witchcliffe WA</t>
  </si>
  <si>
    <t>Elaine Clocherty (Lot 15)</t>
  </si>
  <si>
    <t>elaineclocherty@gmail.com</t>
  </si>
  <si>
    <t xml:space="preserve">wevcluster3a@gmail.com </t>
  </si>
  <si>
    <t>WEV Cluster 3A Strata</t>
  </si>
  <si>
    <t>223 075 870</t>
  </si>
  <si>
    <t>27 Lots</t>
  </si>
  <si>
    <t xml:space="preserve">The Owners of Cluster 3B Witchcliffe Ecovillage Survey Strata 77791                                  </t>
  </si>
  <si>
    <t>ABN: 11801467982</t>
  </si>
  <si>
    <t>3 Karrack Crescent, Witchcliffe WA</t>
  </si>
  <si>
    <t>Jason  McHattan (Lot13)</t>
  </si>
  <si>
    <t>jasonmchattan@gmail.com</t>
  </si>
  <si>
    <t xml:space="preserve">wevcluster3b@gmail.com </t>
  </si>
  <si>
    <t>3B Admin Fund</t>
  </si>
  <si>
    <t>306-412</t>
  </si>
  <si>
    <t>0020794</t>
  </si>
  <si>
    <t>Tim Thomson (Lot 8)</t>
  </si>
  <si>
    <t>timjcthomson@gmail.com</t>
  </si>
  <si>
    <t xml:space="preserve">The Owners of Cluster 3C Witchcliffe Ecovillage Survey Strata 83347                          </t>
  </si>
  <si>
    <t>ABN: 86675221914</t>
  </si>
  <si>
    <t>Lot 18 Karrack Crescent Witchcliffe WA</t>
  </si>
  <si>
    <t>??</t>
  </si>
  <si>
    <t xml:space="preserve">wevcluster3c@gmail.com </t>
  </si>
  <si>
    <t xml:space="preserve"> 15 Short Stay </t>
  </si>
  <si>
    <t xml:space="preserve">The Owners of Cluster 4A Witchcliffe Ecovillage Survey Strata 85752                                   </t>
  </si>
  <si>
    <t>ABN: 33 677 155 303</t>
  </si>
  <si>
    <t>22 Gnuraren Grove, Witchcliffe WA</t>
  </si>
  <si>
    <t>Caroline Bannister (Lot18)</t>
  </si>
  <si>
    <t>wevcluster4a@gmail.com</t>
  </si>
  <si>
    <t xml:space="preserve">  26 lots</t>
  </si>
  <si>
    <t xml:space="preserve">The Owners of Cluster 4B Witchcliffe Ecovillage Survey Strata 85753                                     </t>
  </si>
  <si>
    <t>ABN: 24 266 141 390</t>
  </si>
  <si>
    <t>23 Mulal Avenue, Witchcliffe WA</t>
  </si>
  <si>
    <t>Manuel Mall (Lot 3)</t>
  </si>
  <si>
    <t>carolinandmanuel@gmail.com</t>
  </si>
  <si>
    <t>Jenny Challen (Lot 9)</t>
  </si>
  <si>
    <t xml:space="preserve">wevcluster4b@gmail.com </t>
  </si>
  <si>
    <t>20 lots</t>
  </si>
  <si>
    <t>jenny@challen.com.au</t>
  </si>
  <si>
    <t>Lot</t>
  </si>
  <si>
    <t>cluster</t>
  </si>
  <si>
    <t>Meter#</t>
  </si>
  <si>
    <t>Block Type</t>
  </si>
  <si>
    <t>Owner</t>
  </si>
  <si>
    <t>Street Address</t>
  </si>
  <si>
    <t>Suburb</t>
  </si>
  <si>
    <t>State</t>
  </si>
  <si>
    <t>Post Code</t>
  </si>
  <si>
    <t>Unit Entitlement</t>
  </si>
  <si>
    <t>UE % over Cluster</t>
  </si>
  <si>
    <t>Calculated Battery Allocation (kWh)</t>
  </si>
  <si>
    <t>Inverter Model</t>
  </si>
  <si>
    <t>Applied Battery Allocation (kWh)</t>
  </si>
  <si>
    <t>Export Capacity (kW)</t>
  </si>
  <si>
    <t>Energy Meter Installed</t>
  </si>
  <si>
    <t>PV Installed</t>
  </si>
  <si>
    <t>Functional Droplet</t>
  </si>
  <si>
    <t>Stage of Dev.</t>
  </si>
  <si>
    <t>Phone 1</t>
  </si>
  <si>
    <t>Phone 2</t>
  </si>
  <si>
    <t>Email</t>
  </si>
  <si>
    <t xml:space="preserve">Meter Number </t>
  </si>
  <si>
    <t>Occupant 1 Start Date</t>
  </si>
  <si>
    <t>Occupant 1 End date</t>
  </si>
  <si>
    <t>Inverter start date</t>
  </si>
  <si>
    <t>Cottage</t>
  </si>
  <si>
    <t>Mead Family trust</t>
  </si>
  <si>
    <t>1 Yornitj Grove</t>
  </si>
  <si>
    <t>Witchcliffe</t>
  </si>
  <si>
    <t>WA</t>
  </si>
  <si>
    <t>Y</t>
  </si>
  <si>
    <t>N</t>
  </si>
  <si>
    <t>UC</t>
  </si>
  <si>
    <t>0457 578 078</t>
  </si>
  <si>
    <t>0476919881</t>
  </si>
  <si>
    <t>nicholasjamesmead@gmail.co</t>
  </si>
  <si>
    <t>Current</t>
  </si>
  <si>
    <t>Margareta Roeck</t>
  </si>
  <si>
    <t>3 Yornitj Grove</t>
  </si>
  <si>
    <t>0416732634</t>
  </si>
  <si>
    <t>maroeck@gmail.com</t>
  </si>
  <si>
    <t>Battigielli</t>
  </si>
  <si>
    <t>5 Yornitj Grove</t>
  </si>
  <si>
    <t>O</t>
  </si>
  <si>
    <t>0424154036</t>
  </si>
  <si>
    <t>emailalexhughes@gmail.com</t>
  </si>
  <si>
    <t>Paul Jurjevich &amp; Trish Rushton</t>
  </si>
  <si>
    <t>7 Yornitj Grove</t>
  </si>
  <si>
    <t>Symo 5.0</t>
  </si>
  <si>
    <t>0412261482</t>
  </si>
  <si>
    <t>0403732723</t>
  </si>
  <si>
    <t>mulloway9@icloud.com</t>
  </si>
  <si>
    <t>Dwyer</t>
  </si>
  <si>
    <t>9 Yornitj Grove</t>
  </si>
  <si>
    <t>0408744572</t>
  </si>
  <si>
    <t>0437286462</t>
  </si>
  <si>
    <t>mammoth@iinet.net.au</t>
  </si>
  <si>
    <t>Gillespie</t>
  </si>
  <si>
    <t>11 Yornitj Grove</t>
  </si>
  <si>
    <t>Symo 8.2</t>
  </si>
  <si>
    <t>0417950370</t>
  </si>
  <si>
    <t>0429196637</t>
  </si>
  <si>
    <t>barbaragillespie@iinet.net.au</t>
  </si>
  <si>
    <t>Rio &amp; Alix Healey-­‐Diaz</t>
  </si>
  <si>
    <t>13 Yornitj Grove</t>
  </si>
  <si>
    <t>0425890670</t>
  </si>
  <si>
    <t>alixward@gmail.com</t>
  </si>
  <si>
    <t>Marcus Browne &amp; Sook-­‐JaRebecchi</t>
  </si>
  <si>
    <t>15 Yornitj Grove</t>
  </si>
  <si>
    <t>0433290368</t>
  </si>
  <si>
    <t>0448279836</t>
  </si>
  <si>
    <t>marcus@mishack.com.au</t>
  </si>
  <si>
    <t>Jasmine Heah</t>
  </si>
  <si>
    <t>17 Yornitj Grove</t>
  </si>
  <si>
    <t>0408323274</t>
  </si>
  <si>
    <t>jasmine_heah@hotmail.com</t>
  </si>
  <si>
    <t>Family</t>
  </si>
  <si>
    <t>Pernille Stent</t>
  </si>
  <si>
    <t>51 Mardo Drive</t>
  </si>
  <si>
    <t>0410416005</t>
  </si>
  <si>
    <t>pernille@designbutton.net.au</t>
  </si>
  <si>
    <t>Levi Holden</t>
  </si>
  <si>
    <t>49 Mardo Drive</t>
  </si>
  <si>
    <t>0427444150</t>
  </si>
  <si>
    <t>levi.holden@optusnet.com.au</t>
  </si>
  <si>
    <t>Matt &amp; Kate Shaw</t>
  </si>
  <si>
    <t>47 Mardo Drive</t>
  </si>
  <si>
    <t>0428088590</t>
  </si>
  <si>
    <t>0431001084</t>
  </si>
  <si>
    <t>shaw76@hotmail.co.uk</t>
  </si>
  <si>
    <t>Peter Froehlich &amp; Lydia Walzel</t>
  </si>
  <si>
    <t>45 Mardo Drive</t>
  </si>
  <si>
    <t>Symo 10.0</t>
  </si>
  <si>
    <t>0418946078</t>
  </si>
  <si>
    <t>0419928925</t>
  </si>
  <si>
    <t>Priscila Goncalves</t>
  </si>
  <si>
    <t>43 Mardo Drive</t>
  </si>
  <si>
    <t>0475716267</t>
  </si>
  <si>
    <t>0475716400</t>
  </si>
  <si>
    <t>diego.barneche@ymail.com</t>
  </si>
  <si>
    <t>Jeﬀ &amp; Jo Thierfelder</t>
  </si>
  <si>
    <t>41 Mardo Drive</t>
  </si>
  <si>
    <t>0409770316</t>
  </si>
  <si>
    <t>0421589548</t>
  </si>
  <si>
    <t>jeﬀ.thierfelder@iinet.net.au</t>
  </si>
  <si>
    <t>Libby Davy</t>
  </si>
  <si>
    <t>3 Mannitj Place</t>
  </si>
  <si>
    <t>0413993452</t>
  </si>
  <si>
    <t>libby@humanbells.com</t>
  </si>
  <si>
    <t>Henry &amp; Jo Weldon</t>
  </si>
  <si>
    <t>5 Mannitj Place</t>
  </si>
  <si>
    <t>0407076552</t>
  </si>
  <si>
    <t>0407388196</t>
  </si>
  <si>
    <t>henryweldon90@gmail.com</t>
  </si>
  <si>
    <t>Liz Kirk</t>
  </si>
  <si>
    <t>7 Mannitj Place</t>
  </si>
  <si>
    <t>V</t>
  </si>
  <si>
    <t>0408751379</t>
  </si>
  <si>
    <t>lizk@beyondergo.com.au</t>
  </si>
  <si>
    <t>9 Mannitj Place</t>
  </si>
  <si>
    <t>0493385725</t>
  </si>
  <si>
    <t>Groupie</t>
  </si>
  <si>
    <t>Elke Light</t>
  </si>
  <si>
    <t>30 Kulbardi Way</t>
  </si>
  <si>
    <t>0439968661</t>
  </si>
  <si>
    <t>lightelke@gmail.com</t>
  </si>
  <si>
    <t>Deborah Woodman</t>
  </si>
  <si>
    <t>28 Kulbardi Way</t>
  </si>
  <si>
    <t>0456121155</t>
  </si>
  <si>
    <t>woodmandj55@gmail.com</t>
  </si>
  <si>
    <t>Carrie &amp; Warrick Goldsmith</t>
  </si>
  <si>
    <t>26 Kulbardi Way</t>
  </si>
  <si>
    <t>0499270453</t>
  </si>
  <si>
    <t>0447110831</t>
  </si>
  <si>
    <t>carrieandwarrick@gmail.com</t>
  </si>
  <si>
    <t>Clyde Huxtable</t>
  </si>
  <si>
    <t>24 Kulbardi Way</t>
  </si>
  <si>
    <t>0406351722</t>
  </si>
  <si>
    <t>hotfire1948@hotmail.com</t>
  </si>
  <si>
    <t>Helen Rose</t>
  </si>
  <si>
    <t>22 Kulbardi Way</t>
  </si>
  <si>
    <t>0437445630</t>
  </si>
  <si>
    <t>rosebunch5@gmail.com</t>
  </si>
  <si>
    <t>BESS</t>
  </si>
  <si>
    <t>BESS Powerpack 232kWh</t>
  </si>
  <si>
    <t>EV</t>
  </si>
  <si>
    <t>N/A</t>
  </si>
  <si>
    <t>EV Charger</t>
  </si>
  <si>
    <t>CS</t>
  </si>
  <si>
    <t>Common Services MSB</t>
  </si>
  <si>
    <t>DB1</t>
  </si>
  <si>
    <t>DB2</t>
  </si>
  <si>
    <t>Susan Gibson</t>
  </si>
  <si>
    <t>78 Kulbardi Way</t>
  </si>
  <si>
    <t>Karen Majer &amp; Boyd Wykes</t>
  </si>
  <si>
    <t>76 Kulbardi Way</t>
  </si>
  <si>
    <t>Susan Hardy</t>
  </si>
  <si>
    <t>74 Kulbardi Way</t>
  </si>
  <si>
    <t>Jennie McCormack</t>
  </si>
  <si>
    <t>72 Kulbardi Way</t>
  </si>
  <si>
    <t>Michael &amp; Britta Sorensen</t>
  </si>
  <si>
    <t>70 Kulbardi Way</t>
  </si>
  <si>
    <t>Toni Aslett</t>
  </si>
  <si>
    <t>68 Kulbardi Way</t>
  </si>
  <si>
    <t>Bridget Bolitho</t>
  </si>
  <si>
    <t>66 Kulbardi Way</t>
  </si>
  <si>
    <t>Shereen &amp; Hamish Jolly</t>
  </si>
  <si>
    <t>64 Kulbardi Way</t>
  </si>
  <si>
    <t>Symo 6.0</t>
  </si>
  <si>
    <t>Phillip Crockford &amp; Wendy Davis</t>
  </si>
  <si>
    <t>62 Kulbardi Way</t>
  </si>
  <si>
    <t>Stefan &amp; Jennifer Widmer</t>
  </si>
  <si>
    <t>60 Kulbardi Way</t>
  </si>
  <si>
    <t>Hannah &amp; Peter Flack</t>
  </si>
  <si>
    <t>58 Kulbardi Way</t>
  </si>
  <si>
    <t>Paul &amp; Nicole Wilkinson</t>
  </si>
  <si>
    <t>56 Kulbardi Way</t>
  </si>
  <si>
    <t>Stephen &amp; Dicy Hall</t>
  </si>
  <si>
    <t>54 Kulbardi Way</t>
  </si>
  <si>
    <t>Craig &amp; Julie Headford</t>
  </si>
  <si>
    <t>52 Kulbardi Way</t>
  </si>
  <si>
    <t>Jema McCabe</t>
  </si>
  <si>
    <t>18 Yornitj Grove</t>
  </si>
  <si>
    <t>Colin &amp; Filomena Dear</t>
  </si>
  <si>
    <t>20 Yornitj Grove</t>
  </si>
  <si>
    <t>Candice &amp; Bryn Papalia</t>
  </si>
  <si>
    <t>22 Yornitj Grove</t>
  </si>
  <si>
    <t>Chloe Dignam</t>
  </si>
  <si>
    <t>24 Yornitj Grove</t>
  </si>
  <si>
    <t>Alex Jolly</t>
  </si>
  <si>
    <t>26 Yornitj Grove</t>
  </si>
  <si>
    <t>Nathan Stone</t>
  </si>
  <si>
    <t>3 Kyloring Drive</t>
  </si>
  <si>
    <t>Fam ily</t>
  </si>
  <si>
    <t>Nicholas Mead &amp; Theresa Brandl</t>
  </si>
  <si>
    <t>5 Kyloring Drive</t>
  </si>
  <si>
    <t>Aron Dyer
Jodie Passmore</t>
  </si>
  <si>
    <t>19 Yornitj Grove</t>
  </si>
  <si>
    <t xml:space="preserve"> Witchcliffe</t>
  </si>
  <si>
    <t xml:space="preserve"> WA</t>
  </si>
  <si>
    <t>Eli Sutton</t>
  </si>
  <si>
    <t>21 Yornitj Grove</t>
  </si>
  <si>
    <t>Shelley Chapman
Cherry Chapman</t>
  </si>
  <si>
    <t>23 Yornitj Grove</t>
  </si>
  <si>
    <t>Jillian Ann Luckhurst</t>
  </si>
  <si>
    <t>25 Yornitj Grove</t>
  </si>
  <si>
    <t>Samuel Vinciullo</t>
  </si>
  <si>
    <t>27 Yornitj Grove</t>
  </si>
  <si>
    <t xml:space="preserve">Christopher Paul Martin
Vicki Ann Martin </t>
  </si>
  <si>
    <t>4 Mannitj Place</t>
  </si>
  <si>
    <t>Dex Ezekiel,
Jeannine Penniment</t>
  </si>
  <si>
    <t>6 Mannitj Place</t>
  </si>
  <si>
    <t>UC/M/ND</t>
  </si>
  <si>
    <t>Eric Martini 
Karina Jean Martini</t>
  </si>
  <si>
    <t>8 Mannitj Place</t>
  </si>
  <si>
    <t>Christopher van Etten
Emmanuelle van Etten</t>
  </si>
  <si>
    <t>10 Mannitj Place</t>
  </si>
  <si>
    <t>Peter Smith</t>
  </si>
  <si>
    <t>32 Kulbardi Way</t>
  </si>
  <si>
    <t>Peter Andre Grant</t>
  </si>
  <si>
    <t>34 Kulbardi Way</t>
  </si>
  <si>
    <t>Sandra Handy</t>
  </si>
  <si>
    <t>36 Kulbardi Way</t>
  </si>
  <si>
    <t>Miles Durand</t>
  </si>
  <si>
    <t>38 Kulbardi Way</t>
  </si>
  <si>
    <t>Lawrence Bycroft
Anu Grace</t>
  </si>
  <si>
    <t>40 Kulbardi Way</t>
  </si>
  <si>
    <t>Kaine Grigg (Hudson)</t>
  </si>
  <si>
    <t>50 Kulbardi Way</t>
  </si>
  <si>
    <t>Veronique Florec</t>
  </si>
  <si>
    <t>48 Kulbardi Way</t>
  </si>
  <si>
    <t>Lars Rueter
Katja Blankenheim</t>
  </si>
  <si>
    <t>46 Kulbardi Way</t>
  </si>
  <si>
    <t>Amy Steel</t>
  </si>
  <si>
    <t>44 Kulbardi Way</t>
  </si>
  <si>
    <t>Laurence Hansen
Janet Anne Hansen</t>
  </si>
  <si>
    <t>42 Kulbardi Way</t>
  </si>
  <si>
    <t>10437 Bussell Hwy</t>
  </si>
  <si>
    <t>Megan Donald &amp; Yehuda Harmor</t>
  </si>
  <si>
    <t xml:space="preserve"> 15 Kulbardi Way </t>
  </si>
  <si>
    <t xml:space="preserve">0499 838 958 </t>
  </si>
  <si>
    <t xml:space="preserve"> 0499 838 830</t>
  </si>
  <si>
    <t>tinymegan68@gmail.com</t>
  </si>
  <si>
    <t>LK &amp; MD Hynes</t>
  </si>
  <si>
    <t xml:space="preserve"> 13 Kulbardi Way </t>
  </si>
  <si>
    <t xml:space="preserve">0411 725 581 </t>
  </si>
  <si>
    <t xml:space="preserve"> 0478 577 554</t>
  </si>
  <si>
    <t>lyndalhynes@hotmail.com</t>
  </si>
  <si>
    <t>Paul John Baker</t>
  </si>
  <si>
    <t xml:space="preserve"> 11 Kulbardi Way </t>
  </si>
  <si>
    <t>0402 135 100</t>
  </si>
  <si>
    <t>theminiguyagain@gmail.com</t>
  </si>
  <si>
    <t>K L Geels</t>
  </si>
  <si>
    <t xml:space="preserve"> 9 Kulbardi Way </t>
  </si>
  <si>
    <t>44(0)7734364646</t>
  </si>
  <si>
    <t>kgeels@gmail.com</t>
  </si>
  <si>
    <t>B &amp; G Hamersma</t>
  </si>
  <si>
    <t xml:space="preserve"> 7 Kulbardi Way </t>
  </si>
  <si>
    <t xml:space="preserve">0416 499 424 </t>
  </si>
  <si>
    <t xml:space="preserve"> 0424 482 470</t>
  </si>
  <si>
    <t>bouwe.hamersma@gmail.com</t>
  </si>
  <si>
    <t>B &amp; G Garnett</t>
  </si>
  <si>
    <t xml:space="preserve"> 5 Kulbardi Way </t>
  </si>
  <si>
    <t>0413 209 277</t>
  </si>
  <si>
    <t>garnett635@hotmail.com</t>
  </si>
  <si>
    <t>C E Andrews &amp; Y J Marinivich</t>
  </si>
  <si>
    <t xml:space="preserve"> 3 Kulbardi Way </t>
  </si>
  <si>
    <t xml:space="preserve">0448 023 265 </t>
  </si>
  <si>
    <t xml:space="preserve"> 0488 937 149</t>
  </si>
  <si>
    <t>yurimarinovich@gmail.com</t>
  </si>
  <si>
    <t>Colin Reburn</t>
  </si>
  <si>
    <t xml:space="preserve"> 1 Kulbardi Way </t>
  </si>
  <si>
    <t>0435 204 625</t>
  </si>
  <si>
    <t>colin@kilmontinplumbing.com</t>
  </si>
  <si>
    <t>N &amp; C Haskell</t>
  </si>
  <si>
    <t xml:space="preserve"> 23 Wolghine Ave </t>
  </si>
  <si>
    <t xml:space="preserve">0478 630 993 </t>
  </si>
  <si>
    <t xml:space="preserve"> 0478 220 964</t>
  </si>
  <si>
    <t>nadia.anne@gmail.com</t>
  </si>
  <si>
    <t>Charlotte &amp; Darryl Diaz</t>
  </si>
  <si>
    <t xml:space="preserve"> 21 Wolghine Ave </t>
  </si>
  <si>
    <t xml:space="preserve">0415 506 827 </t>
  </si>
  <si>
    <t>0449 646 303</t>
  </si>
  <si>
    <t>darrylnaidu@gmail.com</t>
  </si>
  <si>
    <t>Simon Alan Naber</t>
  </si>
  <si>
    <t xml:space="preserve"> 19 Wolghine Ave </t>
  </si>
  <si>
    <t>0449 253 680</t>
  </si>
  <si>
    <t>simon@mooreandmoorecafe.com</t>
  </si>
  <si>
    <t>J S C &amp; EP Ford</t>
  </si>
  <si>
    <t xml:space="preserve"> 17 Wolghine Ave </t>
  </si>
  <si>
    <t xml:space="preserve">0414 401 059 </t>
  </si>
  <si>
    <t xml:space="preserve"> 0432 519 448</t>
  </si>
  <si>
    <t>setford.18@gmail.com</t>
  </si>
  <si>
    <t>K V Jarvis &amp; P S Davis</t>
  </si>
  <si>
    <t xml:space="preserve"> 15 Wolghine Ave </t>
  </si>
  <si>
    <t xml:space="preserve">0435 280 200 </t>
  </si>
  <si>
    <t xml:space="preserve"> 0435 280 202</t>
  </si>
  <si>
    <t>katevjarvis@hotmail.com</t>
  </si>
  <si>
    <t>A Lillend</t>
  </si>
  <si>
    <t xml:space="preserve"> 20 Mardo Drive </t>
  </si>
  <si>
    <t xml:space="preserve">0466 498 000 </t>
  </si>
  <si>
    <t xml:space="preserve"> 0449 594 479</t>
  </si>
  <si>
    <t>astisup@gmail.com</t>
  </si>
  <si>
    <t>Liz Thomas</t>
  </si>
  <si>
    <t xml:space="preserve"> 22 Mardo Drive </t>
  </si>
  <si>
    <t>0421 607 702</t>
  </si>
  <si>
    <t>ehmthomas@hotmail.com</t>
  </si>
  <si>
    <t>Helen Downsborough</t>
  </si>
  <si>
    <t xml:space="preserve"> 24 Mardo Drive </t>
  </si>
  <si>
    <t>042 883 6629</t>
  </si>
  <si>
    <t>helendownsborough@bigpond.com</t>
  </si>
  <si>
    <t>Carol Luca</t>
  </si>
  <si>
    <t xml:space="preserve"> 26 Mardo Drive </t>
  </si>
  <si>
    <t>0425 823 928</t>
  </si>
  <si>
    <t>carolluca8@icloud.com</t>
  </si>
  <si>
    <t>N Rebasti</t>
  </si>
  <si>
    <t xml:space="preserve"> 28 Mardo Drive </t>
  </si>
  <si>
    <t xml:space="preserve">0410 216 361 </t>
  </si>
  <si>
    <t xml:space="preserve"> 08 9192 7127</t>
  </si>
  <si>
    <t>nadreb@hotmail.com</t>
  </si>
  <si>
    <t>T W Oliver</t>
  </si>
  <si>
    <t xml:space="preserve"> 30 Mardo Drive </t>
  </si>
  <si>
    <t>0424 205 755</t>
  </si>
  <si>
    <t>timoliver33@gmail.com</t>
  </si>
  <si>
    <t>Zac Webb</t>
  </si>
  <si>
    <t xml:space="preserve"> 32 Mardo Drive </t>
  </si>
  <si>
    <t>0497 685 142</t>
  </si>
  <si>
    <t>waalitj_wongi@outlook.com</t>
  </si>
  <si>
    <t>Richard Parsons and Rashmi Patel</t>
  </si>
  <si>
    <t xml:space="preserve"> 34 Mardo Drive </t>
  </si>
  <si>
    <t xml:space="preserve">0411 224 572 </t>
  </si>
  <si>
    <t xml:space="preserve"> 0431 771 211</t>
  </si>
  <si>
    <t>Richard_Parsons@bigpond.com</t>
  </si>
  <si>
    <t>Katie Hemsworth &amp; Jason Godinet</t>
  </si>
  <si>
    <t xml:space="preserve"> 36 Mardo Drive </t>
  </si>
  <si>
    <t>0416 431 899</t>
  </si>
  <si>
    <t>katie.hemsworth@gmail.com</t>
  </si>
  <si>
    <t>GC &amp; SJ Ramage</t>
  </si>
  <si>
    <t xml:space="preserve"> 38 Mardo Drive </t>
  </si>
  <si>
    <t>ND</t>
  </si>
  <si>
    <t xml:space="preserve">0488 332 155 </t>
  </si>
  <si>
    <t xml:space="preserve"> 0417 495 145</t>
  </si>
  <si>
    <t>gsramage@outlook.com</t>
  </si>
  <si>
    <t>Timothy  &amp; Sandra  Sanders</t>
  </si>
  <si>
    <t>33 KULBARDI WAY</t>
  </si>
  <si>
    <t xml:space="preserve">0429 988 055 </t>
  </si>
  <si>
    <t xml:space="preserve"> 0400 917 914</t>
  </si>
  <si>
    <t>timsanns@westnet.com.au</t>
  </si>
  <si>
    <t>Rochelle &amp; Buki Cohen</t>
  </si>
  <si>
    <t>31 KULBARDI WAY</t>
  </si>
  <si>
    <t xml:space="preserve">0407 772 452 </t>
  </si>
  <si>
    <t>0484 296 701</t>
  </si>
  <si>
    <t>roebuki@gmail.com</t>
  </si>
  <si>
    <t>Catherine Keet</t>
  </si>
  <si>
    <t>29 KULBARDI WAY</t>
  </si>
  <si>
    <t>0404 833 665</t>
  </si>
  <si>
    <t>cathkeet@gmail.com</t>
  </si>
  <si>
    <t>Karen Ann Van Rompaey</t>
  </si>
  <si>
    <t>27 KULBARDI WAY</t>
  </si>
  <si>
    <t>0422 463 670</t>
  </si>
  <si>
    <t>karenvr20@gmail.com</t>
  </si>
  <si>
    <t>James Bell</t>
  </si>
  <si>
    <t>25 KULBARDI WAY</t>
  </si>
  <si>
    <t>0438 365 442</t>
  </si>
  <si>
    <t>bell.freo@icloud.com</t>
  </si>
  <si>
    <t>Nola Gaebler</t>
  </si>
  <si>
    <t>23 KULBARDI WAY</t>
  </si>
  <si>
    <t>0419 925 234</t>
  </si>
  <si>
    <t>nolagaebler@gmail.com</t>
  </si>
  <si>
    <t>Nicholas Macpherson</t>
  </si>
  <si>
    <t>21 KULBARDI WAY</t>
  </si>
  <si>
    <t>0429 908 804</t>
  </si>
  <si>
    <t>nick2skip@gmail.com</t>
  </si>
  <si>
    <t>Niall Casey &amp; Severine Robert</t>
  </si>
  <si>
    <t>19 KULBARDI WAY</t>
  </si>
  <si>
    <t xml:space="preserve">0477 371 203 </t>
  </si>
  <si>
    <t xml:space="preserve"> 0411 691 718</t>
  </si>
  <si>
    <t>severinarobert@gmail.com</t>
  </si>
  <si>
    <t>Greg Harrison &amp; Koon Phua</t>
  </si>
  <si>
    <t>17 KULBARDI WAY</t>
  </si>
  <si>
    <t xml:space="preserve">0468 325 002 </t>
  </si>
  <si>
    <t xml:space="preserve"> 0430 987 651</t>
  </si>
  <si>
    <t>letitbmail@gmail.com</t>
  </si>
  <si>
    <t>Alison Askew</t>
  </si>
  <si>
    <t>37 MARDO DRIVE</t>
  </si>
  <si>
    <t>0430 162 767</t>
  </si>
  <si>
    <t>alisonaskew123@gmail.com</t>
  </si>
  <si>
    <t>Simon Clough</t>
  </si>
  <si>
    <t>35 MARDO DRIVE</t>
  </si>
  <si>
    <t>0451 357 578</t>
  </si>
  <si>
    <t>kpkela@gmail.com</t>
  </si>
  <si>
    <t>Alexey Krasov &amp; Yulia Tyutyunnikova</t>
  </si>
  <si>
    <t>33 MARDO DRIVE</t>
  </si>
  <si>
    <t>0449 712 367</t>
  </si>
  <si>
    <t>mail@jennydunlop.com</t>
  </si>
  <si>
    <t>Kylie Nettleton</t>
  </si>
  <si>
    <t>31 MARDO DRIVE</t>
  </si>
  <si>
    <t>0433 337 752</t>
  </si>
  <si>
    <t>nettletonkylie@gmail.com</t>
  </si>
  <si>
    <t>21 MARDO DRIVE</t>
  </si>
  <si>
    <t xml:space="preserve">0437 286 429 </t>
  </si>
  <si>
    <t xml:space="preserve"> 0409 831 458</t>
  </si>
  <si>
    <t>britta@sorensenarchitects.com.au</t>
  </si>
  <si>
    <t>Tegan Robertson</t>
  </si>
  <si>
    <t>23 MARDO DRIVE</t>
  </si>
  <si>
    <t>0411 498 871</t>
  </si>
  <si>
    <t>tegan.jayne.robertson@gmail.com</t>
  </si>
  <si>
    <t>Megan Smythe</t>
  </si>
  <si>
    <t>25 MARDO DRIVE</t>
  </si>
  <si>
    <t>0448 250 776</t>
  </si>
  <si>
    <t>megan_smythe@hotmail.com</t>
  </si>
  <si>
    <t>Matthew Groom</t>
  </si>
  <si>
    <t>27 MARDO DRIVE</t>
  </si>
  <si>
    <t>0490 258 941</t>
  </si>
  <si>
    <t>matt@othersideproperty.com.au</t>
  </si>
  <si>
    <t>Mark Tupman</t>
  </si>
  <si>
    <t>29 MARDO DRIVE</t>
  </si>
  <si>
    <t>0406 962 984</t>
  </si>
  <si>
    <t>tijanahfahie@yahoo.com.au</t>
  </si>
  <si>
    <t>Michelle Sheridan</t>
  </si>
  <si>
    <t>21 MANNITJ PLACE</t>
  </si>
  <si>
    <t xml:space="preserve">0457 271 128 </t>
  </si>
  <si>
    <t>shelle@ecovillage.net.au</t>
  </si>
  <si>
    <t>Chris Twomey &amp; Rachel Siewert</t>
  </si>
  <si>
    <t>19 MANNITJ PLACE</t>
  </si>
  <si>
    <t xml:space="preserve">0407 725 025 </t>
  </si>
  <si>
    <t xml:space="preserve"> 0419 914 424 </t>
  </si>
  <si>
    <t>chris@wacoss.org.au</t>
  </si>
  <si>
    <t>Karen Millar</t>
  </si>
  <si>
    <t>17 MANNITJ PLACE</t>
  </si>
  <si>
    <t xml:space="preserve">0439 937 533 </t>
  </si>
  <si>
    <t xml:space="preserve"> 0428 853 555</t>
  </si>
  <si>
    <t>karenmil@bigpond.net.au</t>
  </si>
  <si>
    <t>Eduardo and Emily Oliveira</t>
  </si>
  <si>
    <t>15 MANNITJ PLACE</t>
  </si>
  <si>
    <t xml:space="preserve">0436 818 924 </t>
  </si>
  <si>
    <t xml:space="preserve"> 0487 884 820</t>
  </si>
  <si>
    <t>emsoliveira@outlook.com</t>
  </si>
  <si>
    <t>Annie McBeath</t>
  </si>
  <si>
    <t>15 Mardo Drive</t>
  </si>
  <si>
    <t>0416 022 279</t>
  </si>
  <si>
    <t>annimcb@gmail.com</t>
  </si>
  <si>
    <t>Bianca &amp; Drasko Jankovic</t>
  </si>
  <si>
    <t>13 Mardo Drive</t>
  </si>
  <si>
    <t>0450 941 480</t>
  </si>
  <si>
    <t>bbee@iinet.net.au</t>
  </si>
  <si>
    <t>Victoria J Kennedy</t>
  </si>
  <si>
    <t>11 Mardo Drive</t>
  </si>
  <si>
    <t>0424 694 083</t>
  </si>
  <si>
    <t>victoria.j.kennedy@outlook.com</t>
  </si>
  <si>
    <t>Patricia Anne Dunlop</t>
  </si>
  <si>
    <t>9 Balagarra Lane</t>
  </si>
  <si>
    <t xml:space="preserve">0423 339 176 </t>
  </si>
  <si>
    <t>Denise Klemm</t>
  </si>
  <si>
    <t>7 Balagarra Lane</t>
  </si>
  <si>
    <t>0428 439 099</t>
  </si>
  <si>
    <t>dklemm99@gmail.com</t>
  </si>
  <si>
    <t>Joanne Tastula</t>
  </si>
  <si>
    <t>5 Balagarra Lane</t>
  </si>
  <si>
    <t>0401 153 770</t>
  </si>
  <si>
    <t>jtastula1@me.com</t>
  </si>
  <si>
    <t>Sharon Tulp &amp; Michael Johnson</t>
  </si>
  <si>
    <t>3 Balagarra Lane</t>
  </si>
  <si>
    <t xml:space="preserve">0437 957 575 </t>
  </si>
  <si>
    <t>sharon.tulp@gmail.com</t>
  </si>
  <si>
    <t>Andrew &amp; Rachel Clough</t>
  </si>
  <si>
    <t>1 Balagarra Lane</t>
  </si>
  <si>
    <t>0428 104 411</t>
  </si>
  <si>
    <t>andreclo@convera.com</t>
  </si>
  <si>
    <t>Jenny &amp; Brian Gilbert</t>
  </si>
  <si>
    <t>4 Karrack Cr</t>
  </si>
  <si>
    <t xml:space="preserve">0423 197 127 </t>
  </si>
  <si>
    <t>jgilbert@global.net.au</t>
  </si>
  <si>
    <t>Karen Sharland &amp; David Lambie</t>
  </si>
  <si>
    <t>6 Karrack Cr</t>
  </si>
  <si>
    <t>0434 671 920</t>
  </si>
  <si>
    <t>klambie1965@gmail.com</t>
  </si>
  <si>
    <t xml:space="preserve">Emma &amp; Heath Daly </t>
  </si>
  <si>
    <t>8 Karrack Cr</t>
  </si>
  <si>
    <t>0432 966 933</t>
  </si>
  <si>
    <t>emmandaly@gmail.com</t>
  </si>
  <si>
    <t xml:space="preserve">Claire Burnet </t>
  </si>
  <si>
    <t>10 Karrack Cr</t>
  </si>
  <si>
    <t>0448 585 947</t>
  </si>
  <si>
    <t>groovynative@gmail.com</t>
  </si>
  <si>
    <t>Katie Wilkinson and Matthew Blackwell</t>
  </si>
  <si>
    <t>12 Karrack Cr</t>
  </si>
  <si>
    <t>mojomatt11@yahoo.com.au</t>
  </si>
  <si>
    <t>Trent &amp; Jasmin Hinton</t>
  </si>
  <si>
    <t>14 Karrack Cr</t>
  </si>
  <si>
    <t>0430 201 089</t>
  </si>
  <si>
    <t>jas_michelle_andrew@hotmail.com</t>
  </si>
  <si>
    <t>Elaine Clocherty</t>
  </si>
  <si>
    <t>16 Karrack Cr</t>
  </si>
  <si>
    <t>0408 097 803</t>
  </si>
  <si>
    <t>Hans-Peter Marschner &amp; Leanne Wood</t>
  </si>
  <si>
    <t>18 Karrack Cr</t>
  </si>
  <si>
    <t xml:space="preserve">0410 365 673 </t>
  </si>
  <si>
    <t>petermar888@proton.me</t>
  </si>
  <si>
    <t>Darren  Fletcher</t>
  </si>
  <si>
    <t>20 Karrack Cr</t>
  </si>
  <si>
    <t>0499 439 587</t>
  </si>
  <si>
    <t>shivashaktimoon@icloud.com</t>
  </si>
  <si>
    <t>Amy Matheson &amp; Jethro Hardinge</t>
  </si>
  <si>
    <t>22 Karrack Cr</t>
  </si>
  <si>
    <t>0433 938 494</t>
  </si>
  <si>
    <t>a_matheson@fastmail.com</t>
  </si>
  <si>
    <t>Janice Ethel Moore</t>
  </si>
  <si>
    <t>24 Karrack Cr</t>
  </si>
  <si>
    <t>0416 745 300</t>
  </si>
  <si>
    <t>janmoore8@outlook.com</t>
  </si>
  <si>
    <t>Gillian &amp; Mark Moore</t>
  </si>
  <si>
    <t>26 Karrack Cr</t>
  </si>
  <si>
    <t>0409 079 258</t>
  </si>
  <si>
    <t>C2G6@proton.me</t>
  </si>
  <si>
    <t>Ian and Amy Grogan</t>
  </si>
  <si>
    <t>28 Karrack Cr</t>
  </si>
  <si>
    <t>+974 3379 0607</t>
  </si>
  <si>
    <t>ian.grogan@icloud.com</t>
  </si>
  <si>
    <t>Heather Collins</t>
  </si>
  <si>
    <t>30 Karrack Cr</t>
  </si>
  <si>
    <t>0422 262 935</t>
  </si>
  <si>
    <t>heathermarcollins@yahoo.com.au</t>
  </si>
  <si>
    <t>Michelle &amp; Mark Hansel</t>
  </si>
  <si>
    <t>32 Karrack Cr</t>
  </si>
  <si>
    <t xml:space="preserve">0431 007 876 </t>
  </si>
  <si>
    <t>markrhansel@gmail.com</t>
  </si>
  <si>
    <t>Jane Hammond &amp; Shane French</t>
  </si>
  <si>
    <t>34 Karrack Cr</t>
  </si>
  <si>
    <t>0403 926 467</t>
  </si>
  <si>
    <t>janehammondfreelance@gmail.com</t>
  </si>
  <si>
    <t>Alison Valerie Wylie</t>
  </si>
  <si>
    <t>36 Karrack Cr</t>
  </si>
  <si>
    <t>0490 434 688</t>
  </si>
  <si>
    <t>swylie521@gmail.com</t>
  </si>
  <si>
    <t>Fiona Davey &amp; John Bowman</t>
  </si>
  <si>
    <t>38 Karrack Cr</t>
  </si>
  <si>
    <t>0499 739 981</t>
  </si>
  <si>
    <t>uluwatu.bowman@gmail.com</t>
  </si>
  <si>
    <t>Christine Randall</t>
  </si>
  <si>
    <t>40 Karrack Cr</t>
  </si>
  <si>
    <t>0407 407 360</t>
  </si>
  <si>
    <t>christinerandall8@gmail.com</t>
  </si>
  <si>
    <t>Pernar Properties Pty Ltd Atf The Pernar Family Trust</t>
  </si>
  <si>
    <t>11 Wannang Lane</t>
  </si>
  <si>
    <t>Vacant</t>
  </si>
  <si>
    <t>0438 454 435</t>
  </si>
  <si>
    <t>roger@pernar.com</t>
  </si>
  <si>
    <t>George H &amp; Carol Ann Greenwell</t>
  </si>
  <si>
    <t>9 WANNANG LANE</t>
  </si>
  <si>
    <t>UC/ Dec' 24</t>
  </si>
  <si>
    <t xml:space="preserve">0403 550 008 </t>
  </si>
  <si>
    <t xml:space="preserve"> 0405 569 194</t>
  </si>
  <si>
    <t>ggreenwell2@outlook.com</t>
  </si>
  <si>
    <t>Sarah L Hewer &amp; Max Brearley</t>
  </si>
  <si>
    <t>7 WANNANG LANE</t>
  </si>
  <si>
    <t xml:space="preserve">0478 637 632 </t>
  </si>
  <si>
    <t xml:space="preserve"> 0478 630 887</t>
  </si>
  <si>
    <t>sarahhewer@me.com</t>
  </si>
  <si>
    <t>Bronwyn EDWARDS</t>
  </si>
  <si>
    <t>5 WANNANG LANE</t>
  </si>
  <si>
    <t>0423 889 083</t>
  </si>
  <si>
    <t>bronwyn_edwards@yahoo.com.au</t>
  </si>
  <si>
    <t>Hans &amp; Dagmar Van Diest</t>
  </si>
  <si>
    <t>3 WANNANG LANE</t>
  </si>
  <si>
    <t>0429 518 152</t>
  </si>
  <si>
    <t>hansendagmarvandiest@gmail.com</t>
  </si>
  <si>
    <t>Bruno Angeli &amp; Gisella Galloni</t>
  </si>
  <si>
    <t xml:space="preserve">0403 408 903 </t>
  </si>
  <si>
    <t>brunomartinangeli09@gmail.com</t>
  </si>
  <si>
    <t>Claire Elise Hewer &amp; Laith Tapper</t>
  </si>
  <si>
    <t>1 WANNANG LANE</t>
  </si>
  <si>
    <t>0466 877 967</t>
  </si>
  <si>
    <t>clairehewer@hotmail.com</t>
  </si>
  <si>
    <t>Karen M Kotze</t>
  </si>
  <si>
    <t>75 KARRACK CRESCENT</t>
  </si>
  <si>
    <t>0408 880 219</t>
  </si>
  <si>
    <t>karenkotze@outlook.com</t>
  </si>
  <si>
    <t>Tim James &amp; Kelly Marrie Thomson</t>
  </si>
  <si>
    <t>73 KARRACK CRESCENT</t>
  </si>
  <si>
    <t xml:space="preserve">0409 371 320 </t>
  </si>
  <si>
    <t xml:space="preserve"> 0439 829 784</t>
  </si>
  <si>
    <t>Alistar &amp; Sarah Bax</t>
  </si>
  <si>
    <t>71 KARRACK CRESCENT</t>
  </si>
  <si>
    <t xml:space="preserve">0412 353 713 </t>
  </si>
  <si>
    <t xml:space="preserve"> 0422 125 939</t>
  </si>
  <si>
    <t>family@sarahbax.com</t>
  </si>
  <si>
    <t>Annemarie and Andrew Wilson</t>
  </si>
  <si>
    <t>69 KARRACK CRESCENT</t>
  </si>
  <si>
    <t>0439 339 327</t>
  </si>
  <si>
    <t>msannieawilson@gmail.com</t>
  </si>
  <si>
    <t>Pauline Amez-Droz</t>
  </si>
  <si>
    <t>67 KARRACK CRESCENT</t>
  </si>
  <si>
    <t>0472 734 003</t>
  </si>
  <si>
    <t>pamezdroz@protonmail.com</t>
  </si>
  <si>
    <t>Jamie Wilkinson and Fiona Skoglund</t>
  </si>
  <si>
    <t>65 KARRACK CRESCENT</t>
  </si>
  <si>
    <t xml:space="preserve">0401 246 001 </t>
  </si>
  <si>
    <t xml:space="preserve"> 0437 005 403</t>
  </si>
  <si>
    <t>fiona_skoglund@hotmail.com</t>
  </si>
  <si>
    <t>Amanda  Garland &amp; Jason McHattan</t>
  </si>
  <si>
    <t>63 KARRACK CRESCENT</t>
  </si>
  <si>
    <t xml:space="preserve">0421 616 121 </t>
  </si>
  <si>
    <t xml:space="preserve"> 0407 075 750</t>
  </si>
  <si>
    <t>Oct 24</t>
  </si>
  <si>
    <t>Dane Mason &amp; Marlies Martensen</t>
  </si>
  <si>
    <t>61 KARRACK CRESCENT</t>
  </si>
  <si>
    <t xml:space="preserve">0477 032 033 </t>
  </si>
  <si>
    <t xml:space="preserve"> 0412 041 470</t>
  </si>
  <si>
    <t>danemichaelmason@gmail.com</t>
  </si>
  <si>
    <t>Kay Elizabeth Leftwich</t>
  </si>
  <si>
    <t>51 KARRACK CRESCENT</t>
  </si>
  <si>
    <t>0439 968 795</t>
  </si>
  <si>
    <t>riderlefty@gmail.com</t>
  </si>
  <si>
    <t>Lauren Parker</t>
  </si>
  <si>
    <t>53 KARRACK CRESCENT</t>
  </si>
  <si>
    <t>0401 932 390</t>
  </si>
  <si>
    <t>laurensparker@outlook.com</t>
  </si>
  <si>
    <t>Lorna Pedroni</t>
  </si>
  <si>
    <t>55 KARRACK CRESCENT</t>
  </si>
  <si>
    <t>0476 721 889</t>
  </si>
  <si>
    <t xml:space="preserve">riverlcp@gmail.com </t>
  </si>
  <si>
    <t>Joshua L Burke</t>
  </si>
  <si>
    <t>57 KARRACK CRESCENT</t>
  </si>
  <si>
    <t>0424 954 574</t>
  </si>
  <si>
    <t>meish.b98@gmail.com</t>
  </si>
  <si>
    <t>Chloe J Lovelidge</t>
  </si>
  <si>
    <t>59 KARRACK CRESCENT</t>
  </si>
  <si>
    <t xml:space="preserve">0407 952 58 </t>
  </si>
  <si>
    <t xml:space="preserve"> 0431 604 408</t>
  </si>
  <si>
    <t xml:space="preserve">Chloe_lovelidge@hotmail.com </t>
  </si>
  <si>
    <t>Year</t>
  </si>
  <si>
    <t>Month</t>
  </si>
  <si>
    <t>Consumption_kWh</t>
  </si>
  <si>
    <t>Export_kWh</t>
  </si>
  <si>
    <t>Amanda_consumption_incl_GST</t>
  </si>
  <si>
    <t>Amanda_export_buyback_incl_GST</t>
  </si>
  <si>
    <t>Daily_Supply_incl_GST</t>
  </si>
  <si>
    <t>Other_Fees_incl_GST</t>
  </si>
  <si>
    <t>Total_incl_GST</t>
  </si>
  <si>
    <t>3C</t>
  </si>
  <si>
    <t>1/2/2024</t>
  </si>
  <si>
    <t>1/5/2024</t>
  </si>
  <si>
    <t>1/8/2024</t>
  </si>
  <si>
    <t>1/10/2024</t>
  </si>
  <si>
    <t>9/10/2024</t>
  </si>
  <si>
    <t>1/1/2025</t>
  </si>
  <si>
    <t>1/3/2025</t>
  </si>
  <si>
    <t>P2P Charge Rate (Inc. GST)</t>
  </si>
  <si>
    <t>P2P Export Rate (Inc. GST)</t>
  </si>
  <si>
    <t>Common Charge Rate (Inc. GST)</t>
  </si>
  <si>
    <t>Grid Import Rate (Inc. GST)</t>
  </si>
  <si>
    <t>Grid Export Rate (Inc. GST)</t>
  </si>
  <si>
    <t>EV Charger Sale to consumer Rate (Inc. GST)</t>
  </si>
  <si>
    <t>Chargefox Commission take on EV Consumption % (Inc. GST)</t>
  </si>
  <si>
    <t>Chargefox Commission (Inc GST)</t>
  </si>
  <si>
    <t>P2P Energy Invasion Charge (Inc. GST)</t>
  </si>
  <si>
    <t>P2P Energy Borrow Revenue (Inc. GST)</t>
  </si>
  <si>
    <t>P2P rate for lots with no export (Inc. GST)</t>
  </si>
  <si>
    <t>c/kWh</t>
  </si>
  <si>
    <t>$/kWh</t>
  </si>
  <si>
    <t>SwitchdIn Cost ($ inc. GST)</t>
  </si>
  <si>
    <t>Chargefox Daily Supply Charge/cluster</t>
  </si>
  <si>
    <t>Element47 Embedded Network Daily Supply Charges</t>
  </si>
  <si>
    <t>$/yr</t>
  </si>
  <si>
    <t>$/day</t>
  </si>
  <si>
    <t>Element47 Invoicing Fee</t>
  </si>
  <si>
    <t>$/Invoice</t>
  </si>
  <si>
    <t>billing period</t>
  </si>
  <si>
    <t>Number of Days</t>
  </si>
  <si>
    <t>Import data</t>
  </si>
  <si>
    <t xml:space="preserve">Consumption Energy </t>
  </si>
  <si>
    <t xml:space="preserve">Battery Loss and common services </t>
  </si>
  <si>
    <t>Export data</t>
  </si>
  <si>
    <t>EV Charger Reconcillation</t>
  </si>
  <si>
    <t>Combined</t>
  </si>
  <si>
    <t>Name</t>
  </si>
  <si>
    <t>Meter Numbers</t>
  </si>
  <si>
    <t>Percentage of Unit Entitlement (%)</t>
  </si>
  <si>
    <t>Amanda Energy Daily Supply Charge ($)</t>
  </si>
  <si>
    <t>Amanda Energy Daily Supply Charge ($)2</t>
  </si>
  <si>
    <t>Amanda Energy Daily Supply Charge ($)3</t>
  </si>
  <si>
    <t>Amanda Energy Other fees ($)</t>
  </si>
  <si>
    <t>SwitchdIn Cost Daily Supply Charge ($)</t>
  </si>
  <si>
    <t>Chargefox Daily Supply Charge ($)</t>
  </si>
  <si>
    <t>Element47 Embedded Network Invoicing Fees</t>
  </si>
  <si>
    <t>Total supply</t>
  </si>
  <si>
    <t>1st day of reporting period: import</t>
  </si>
  <si>
    <t>Last day of reporting period: import</t>
  </si>
  <si>
    <t>Total Consumption Import  (kWh)</t>
  </si>
  <si>
    <t>Total Daily Average Consumptio for Billing Period (kWh)</t>
  </si>
  <si>
    <t>Percentage of Total Import for Billing Period (%)</t>
  </si>
  <si>
    <t>Daily Battery allowance based on UE% (kWh)</t>
  </si>
  <si>
    <t>Applicable Battery Allowance Daily Consumption (kWh)</t>
  </si>
  <si>
    <t>Unused Daily Allowance (kWh)</t>
  </si>
  <si>
    <t>Unused Daily Allowance %</t>
  </si>
  <si>
    <t>P2P Import Consumption within Battery Allowance(kWh)</t>
  </si>
  <si>
    <t>Energy Exceeding Battery Allowance (kWh)</t>
  </si>
  <si>
    <t>Energy Exceeding Battery Allowance %</t>
  </si>
  <si>
    <t>Total Cluster Energy Balance for P2P Trading (kWh)</t>
  </si>
  <si>
    <t>P2P Import Consumption over Battery Allowance based on Energy Exceeding Allowance % (kWh)</t>
  </si>
  <si>
    <t>Total P2P import (kWh)</t>
  </si>
  <si>
    <t>Energy Import from Grid (kWh)</t>
  </si>
  <si>
    <t>P2P import%</t>
  </si>
  <si>
    <t>Cluster's Total Battery Loss (kWh)</t>
  </si>
  <si>
    <t>Axillary Battery Losses based upon P2P import % (kWh)</t>
  </si>
  <si>
    <t>Cluster's Total Common Services (kWh)</t>
  </si>
  <si>
    <t>Common Services based on Split per Unit Entitlement % to battery (kWh)</t>
  </si>
  <si>
    <t>Axillary Battery Loss Charges at P2P Rates based upon P2P import % ($)</t>
  </si>
  <si>
    <t>Common Services Cost Split per Unit Entitlement at P2P rate ($)</t>
  </si>
  <si>
    <t>P2P Import Cost ($)</t>
  </si>
  <si>
    <t>Exceeding Battery Allowance P2P Fee ($)</t>
  </si>
  <si>
    <t>Import From Grid Cost ($)</t>
  </si>
  <si>
    <t>Total Consumption Cost/Lot</t>
  </si>
  <si>
    <t>1st day of reporting period: export</t>
  </si>
  <si>
    <t>Last day of reporting period: export</t>
  </si>
  <si>
    <t>Total Lot Export (kWh)</t>
  </si>
  <si>
    <t>Percentage of Total export for Billing Period (%)</t>
  </si>
  <si>
    <t>Total Energy Export P2P to battery (kWh)</t>
  </si>
  <si>
    <t>Total Cluster Energy Balance for P2P Trading (kWh)2</t>
  </si>
  <si>
    <t>Borrowed Allowance Based on Unused Daily Allowance % (kWh)</t>
  </si>
  <si>
    <t>Axillary Battery Losses based upon Adjusted % total export (kWh)</t>
  </si>
  <si>
    <t>Common Service based upon % total export to battery (kWh)</t>
  </si>
  <si>
    <t>EV Charger based upon % total export to battery (kWh)</t>
  </si>
  <si>
    <t>Therotical Energy Export to Grid (kWh)</t>
  </si>
  <si>
    <t>Energy Losses When Export to Grid (kWh)</t>
  </si>
  <si>
    <t>Energy Losses When Export to Grid based up % total export (kWh)</t>
  </si>
  <si>
    <t>Energy Export to Grid after Losses (kWh)</t>
  </si>
  <si>
    <t>Axillary Battery Losses based upon % total export  ($)</t>
  </si>
  <si>
    <t>Common Service Earning based upon % total export to Load ($)</t>
  </si>
  <si>
    <t>EV Charger based upon % total export ($)</t>
  </si>
  <si>
    <t>P2P Export Earnings ($)</t>
  </si>
  <si>
    <t>Passive Compensation ($)</t>
  </si>
  <si>
    <t>Grid Export Earnings ($)</t>
  </si>
  <si>
    <t>Total Export Earnings Per Lot After P2P Battery Energy Storage and Use ($)</t>
  </si>
  <si>
    <t>EV Charger Income from Sales Equitable Distribution on UE ($)</t>
  </si>
  <si>
    <t>Chargefox Commission on EV Charge Consumption Sales Cost Split by Unit Entitlement ($)</t>
  </si>
  <si>
    <t>EV Charger Cost of Electricity Supply at P2P Rates ($)</t>
  </si>
  <si>
    <t>Total EV Charger Operating Cost ($)</t>
  </si>
  <si>
    <t>Total EV Charger Revenue ($)</t>
  </si>
  <si>
    <t>EV Charger Profit per lot owner ($)</t>
  </si>
  <si>
    <t>Energy Invoice Total Charges or Revenue $</t>
  </si>
  <si>
    <t>Date issued</t>
  </si>
  <si>
    <t>Date Paid</t>
  </si>
  <si>
    <t>data swapped</t>
  </si>
  <si>
    <t>Common Services DB1</t>
  </si>
  <si>
    <t>Common Services DB2</t>
  </si>
  <si>
    <t>CP</t>
  </si>
  <si>
    <t>Strata consumption Site Check Meter</t>
  </si>
  <si>
    <t>= Total Energy exceeding allowance - Actual amanda energy import</t>
  </si>
  <si>
    <t>Teants with 0 export will be charge at higher rate for their consumption</t>
  </si>
  <si>
    <t xml:space="preserve">Amanda enegery </t>
  </si>
  <si>
    <t>Total</t>
  </si>
  <si>
    <t>EV Charger 
KWh/month total</t>
  </si>
  <si>
    <t>Chargefox Revenue</t>
  </si>
  <si>
    <t>Chargefox Revenue -5%</t>
  </si>
  <si>
    <t>Strata reconcilation table</t>
  </si>
  <si>
    <t>$ Incl. GST</t>
  </si>
  <si>
    <t>Residents supply charge</t>
  </si>
  <si>
    <t>Amanda buyback</t>
  </si>
  <si>
    <t>Residents energy consumption</t>
  </si>
  <si>
    <t>EV Charger operation cost</t>
  </si>
  <si>
    <t>ChargeFox Income</t>
  </si>
  <si>
    <t>Strata total income</t>
  </si>
  <si>
    <t xml:space="preserve">Total payout to resident for exporting </t>
  </si>
  <si>
    <t>Total payout to resident for EV charger revenue</t>
  </si>
  <si>
    <t>Total payout to Amanda Energy</t>
  </si>
  <si>
    <t>Total payout to supply (SwichDin, E47, ChargeFox)</t>
  </si>
  <si>
    <t>Strata total payout</t>
  </si>
  <si>
    <t>Variance</t>
  </si>
  <si>
    <t>Variance %</t>
  </si>
  <si>
    <t>TAX INVOICE</t>
  </si>
  <si>
    <t>DATE:</t>
  </si>
  <si>
    <t>10437 Bussell Highway</t>
  </si>
  <si>
    <t>Invoice #</t>
  </si>
  <si>
    <t xml:space="preserve">Witchcliffe WA 6286 </t>
  </si>
  <si>
    <t>Lot Number</t>
  </si>
  <si>
    <t>Lot Meter Number #</t>
  </si>
  <si>
    <t>Addressee:-</t>
  </si>
  <si>
    <t xml:space="preserve">Unit Entitlement </t>
  </si>
  <si>
    <t xml:space="preserve">Unit Entitlement % </t>
  </si>
  <si>
    <t>Billing period</t>
  </si>
  <si>
    <t>Witchcliffe WA 6286</t>
  </si>
  <si>
    <t>Billing period days</t>
  </si>
  <si>
    <t>Items</t>
  </si>
  <si>
    <t>Charge Rate ($ Inc. GST)</t>
  </si>
  <si>
    <t>Usage</t>
  </si>
  <si>
    <t xml:space="preserve"> </t>
  </si>
  <si>
    <t>Amount due ($ Inc. GST)</t>
  </si>
  <si>
    <t>Supply charge</t>
  </si>
  <si>
    <t>Unit</t>
  </si>
  <si>
    <t>Amanda Energy Other Fees</t>
  </si>
  <si>
    <t>Days</t>
  </si>
  <si>
    <t>Chargefox EV Charger Network Fixed Fees Equitable Split % of Unit Entitlement</t>
  </si>
  <si>
    <t>SwitchdIn Supply Charge</t>
  </si>
  <si>
    <t xml:space="preserve">Total Daily Supply Charge </t>
  </si>
  <si>
    <t>Common Services Charges</t>
  </si>
  <si>
    <t>Common Services Fees Equitable Split % of Unit Entitlement kWh</t>
  </si>
  <si>
    <t>kWh</t>
  </si>
  <si>
    <t>Common Services Reimbursement based on P2P export % kWh</t>
  </si>
  <si>
    <t>Import Battery Loss Allocation based on P2P import % kWh</t>
  </si>
  <si>
    <t>Export of Solar PV Battery Loss Reimbursement based on P2P export % kWh</t>
  </si>
  <si>
    <t>Community EV Charger Variable Income Equitable Split % of Unit Entitlement kWh</t>
  </si>
  <si>
    <t>Community EV Charger Variable Cost of Electricity Supply Equitable Split % of Unit Entitlement kWh</t>
  </si>
  <si>
    <t>Community EV Charger Reimbursement based on P2P export % kWh</t>
  </si>
  <si>
    <t>Community EV Charger Chargefox Commission Cost Equitable Split % of Unit Entitlement kWh</t>
  </si>
  <si>
    <t xml:space="preserve">Total Common Services Charges </t>
  </si>
  <si>
    <t>Imported energy</t>
  </si>
  <si>
    <t>Import Peer to Peer kWh</t>
  </si>
  <si>
    <t>P2P Import Consumption over Battery Allowance kWh</t>
  </si>
  <si>
    <t>Import From Grid kWh</t>
  </si>
  <si>
    <t>Total Imported Energy</t>
  </si>
  <si>
    <t>Exported energy</t>
  </si>
  <si>
    <t>Export Peer to Peer kWh</t>
  </si>
  <si>
    <t>P2P Borrowed Allowance Passive Compensation kWh</t>
  </si>
  <si>
    <t>Exported to Grid kWh</t>
  </si>
  <si>
    <t>Total Exported Energy</t>
  </si>
  <si>
    <t>Combined Energy Charge</t>
  </si>
  <si>
    <t>Account in credit / debit: Strata to enter where applicable</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</si>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</sst>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27">
    <numFmt numFmtId="41" formatCode="_-* #,##0_-;\-* #,##0_-;_-* &quot;-&quot;_-;_-@_-"/>
    <numFmt numFmtId="42" formatCode="_-&quot;£&quot;* #,##0_-;\-&quot;£&quot;* #,##0_-;_-&quot;£&quot;* &quot;-&quot;_-;_-@_-"/>
    <numFmt numFmtId="176" formatCode="_(* #,##0.00_);_(* \(#,##0.00\);_(* &quot;-&quot;??_);_(@_)"/>
    <numFmt numFmtId="177" formatCode="_(&quot;$&quot;* #,##0.00_);_(&quot;$&quot;* \(#,##0.00\);_(&quot;$&quot;* &quot;-&quot;??_);_(@_)"/>
    <numFmt numFmtId="178" formatCode="_-&quot;$&quot;* #,##0.00_-;\-&quot;$&quot;* #,##0.00_-;_-&quot;$&quot;* &quot;-&quot;??_-;_-@_-"/>
    <numFmt numFmtId="179" formatCode="[$-409]mmmm\ d\,\ yyyy;@"/>
    <numFmt numFmtId="180" formatCode="[&lt;=9999999]###\-####;\(###\)\ ###\-####"/>
    <numFmt numFmtId="181" formatCode="0.0%"/>
    <numFmt numFmtId="182" formatCode="d/mm/yyyy;@"/>
    <numFmt numFmtId="183" formatCode="_(&quot;$&quot;* #,##0.00000_);_(&quot;$&quot;* \(#,##0.00000\);_(&quot;$&quot;* &quot;-&quot;??_);_(@_)"/>
    <numFmt numFmtId="184" formatCode="0.0000"/>
    <numFmt numFmtId="185" formatCode="_(&quot;$&quot;* #,##0.00_);_(&quot;$&quot;* \(#,##0.00\);_(&quot;$&quot;* &quot;-&quot;?_);_(@_)"/>
    <numFmt numFmtId="186" formatCode="&quot;$&quot;#,##0.00"/>
    <numFmt numFmtId="187" formatCode="_(&quot;$&quot;* #,##0.0000_);_(&quot;$&quot;* \(#,##0.0000\);_(&quot;$&quot;* &quot;-&quot;??_);_(@_)"/>
    <numFmt numFmtId="188" formatCode="mmm\-yy"/>
    <numFmt numFmtId="189" formatCode="&quot;$&quot;#,##0.0000"/>
    <numFmt numFmtId="190" formatCode="_(* #,##0_);_(* \(#,##0\);_(* &quot;-&quot;??_);_(@_)"/>
    <numFmt numFmtId="191" formatCode="_(* #,##0.0_);_(* \(#,##0.0\);_(* &quot;-&quot;??_);_(@_)"/>
    <numFmt numFmtId="192" formatCode="#,##0.0"/>
    <numFmt numFmtId="193" formatCode="#,##0.000"/>
    <numFmt numFmtId="194" formatCode="&quot;$&quot;#,##0.000"/>
    <numFmt numFmtId="195" formatCode="#,##0.00000"/>
    <numFmt numFmtId="196" formatCode="d/mm/yy;@"/>
    <numFmt numFmtId="197" formatCode="_(* #,##0_);_(* \(#,##0\);_(* &quot;-&quot;_);_(@_)"/>
    <numFmt numFmtId="198" formatCode="0.0"/>
    <numFmt numFmtId="199" formatCode="d/mm/yyyy"/>
    <numFmt numFmtId="200" formatCode="mm/dd/yy;@"/>
  </numFmts>
  <fonts count="83">
    <font>
      <sz val="11"/>
      <name val="Arial"/>
      <charset val="134"/>
      <scheme val="minor"/>
    </font>
    <font>
      <sz val="11"/>
      <color rgb="FFFF0000"/>
      <name val="Arial"/>
      <charset val="134"/>
      <scheme val="minor"/>
    </font>
    <font>
      <b/>
      <i/>
      <sz val="16"/>
      <color rgb="FFED7165"/>
      <name val="Avenir Next Regular"/>
      <charset val="134"/>
    </font>
    <font>
      <sz val="18"/>
      <color rgb="FFED7165"/>
      <name val="Arial"/>
      <charset val="134"/>
      <scheme val="major"/>
    </font>
    <font>
      <b/>
      <i/>
      <sz val="11"/>
      <color theme="1" tint="0.349986266670736"/>
      <name val="Arial"/>
      <charset val="134"/>
      <scheme val="minor"/>
    </font>
    <font>
      <b/>
      <sz val="11"/>
      <name val="Arial"/>
      <charset val="134"/>
      <scheme val="minor"/>
    </font>
    <font>
      <sz val="12"/>
      <name val="Arial"/>
      <charset val="134"/>
      <scheme val="minor"/>
    </font>
    <font>
      <sz val="9"/>
      <name val="Arial"/>
      <charset val="134"/>
      <scheme val="minor"/>
    </font>
    <font>
      <b/>
      <sz val="11"/>
      <color theme="1"/>
      <name val="Arial"/>
      <charset val="134"/>
      <scheme val="minor"/>
    </font>
    <font>
      <i/>
      <sz val="12"/>
      <color rgb="FFFF0000"/>
      <name val="Arial"/>
      <charset val="134"/>
      <scheme val="minor"/>
    </font>
    <font>
      <sz val="16"/>
      <name val="Arial"/>
      <charset val="134"/>
      <scheme val="minor"/>
    </font>
    <font>
      <b/>
      <sz val="14"/>
      <name val="Arial"/>
      <charset val="134"/>
      <scheme val="minor"/>
    </font>
    <font>
      <sz val="14"/>
      <color theme="1"/>
      <name val="Arial"/>
      <charset val="134"/>
      <scheme val="minor"/>
    </font>
    <font>
      <sz val="16"/>
      <color theme="1"/>
      <name val="Arial"/>
      <charset val="134"/>
      <scheme val="minor"/>
    </font>
    <font>
      <b/>
      <sz val="14"/>
      <color rgb="FFFF0000"/>
      <name val="Arial"/>
      <charset val="134"/>
      <scheme val="minor"/>
    </font>
    <font>
      <b/>
      <sz val="16"/>
      <color theme="1"/>
      <name val="Arial"/>
      <charset val="134"/>
      <scheme val="minor"/>
    </font>
    <font>
      <b/>
      <sz val="16"/>
      <color rgb="FF000000"/>
      <name val="-webkit-standard"/>
      <charset val="134"/>
    </font>
    <font>
      <b/>
      <sz val="14"/>
      <color theme="1"/>
      <name val="Arial"/>
      <charset val="134"/>
      <scheme val="minor"/>
    </font>
    <font>
      <sz val="14"/>
      <name val="Arial"/>
      <charset val="134"/>
      <scheme val="minor"/>
    </font>
    <font>
      <b/>
      <sz val="10"/>
      <color rgb="FF000000"/>
      <name val="Helvetica Neue"/>
      <charset val="134"/>
    </font>
    <font>
      <sz val="10"/>
      <color rgb="FF000000"/>
      <name val="Helvetica Neue"/>
      <charset val="134"/>
    </font>
    <font>
      <sz val="12"/>
      <color theme="1"/>
      <name val="Arial"/>
      <charset val="134"/>
      <scheme val="minor"/>
    </font>
    <font>
      <i/>
      <sz val="14"/>
      <color theme="1"/>
      <name val="Arial"/>
      <charset val="134"/>
      <scheme val="minor"/>
    </font>
    <font>
      <b/>
      <sz val="12"/>
      <color theme="1"/>
      <name val="Arial"/>
      <charset val="134"/>
      <scheme val="minor"/>
    </font>
    <font>
      <sz val="14"/>
      <color theme="1"/>
      <name val="Calibri"/>
      <charset val="134"/>
    </font>
    <font>
      <sz val="14"/>
      <color rgb="FF222421"/>
      <name val="Arial"/>
      <charset val="134"/>
      <scheme val="minor"/>
    </font>
    <font>
      <sz val="12"/>
      <name val="Helvetica"/>
      <charset val="134"/>
    </font>
    <font>
      <sz val="11"/>
      <color theme="1"/>
      <name val="Calibri"/>
      <charset val="134"/>
    </font>
    <font>
      <sz val="16"/>
      <color rgb="FF222421"/>
      <name val="Switchdin"/>
      <charset val="134"/>
    </font>
    <font>
      <b/>
      <sz val="14"/>
      <color rgb="FF222421"/>
      <name val="Arial"/>
      <charset val="134"/>
      <scheme val="minor"/>
    </font>
    <font>
      <sz val="12"/>
      <color theme="1"/>
      <name val="Calibri"/>
      <charset val="134"/>
    </font>
    <font>
      <u/>
      <sz val="12"/>
      <color theme="10"/>
      <name val="Arial"/>
      <charset val="134"/>
      <scheme val="minor"/>
    </font>
    <font>
      <sz val="12"/>
      <color theme="1"/>
      <name val="Arial"/>
      <charset val="134"/>
    </font>
    <font>
      <sz val="12"/>
      <color rgb="FF000000"/>
      <name val="Helvetica Neue"/>
      <charset val="134"/>
    </font>
    <font>
      <sz val="12"/>
      <name val="Calibri"/>
      <charset val="134"/>
    </font>
    <font>
      <u/>
      <sz val="12"/>
      <color rgb="FF0066CC"/>
      <name val="Arial"/>
      <charset val="134"/>
      <scheme val="minor"/>
    </font>
    <font>
      <sz val="12"/>
      <color rgb="FF000000"/>
      <name val="Arial"/>
      <charset val="134"/>
    </font>
    <font>
      <sz val="12"/>
      <color rgb="FF222222"/>
      <name val="Arial"/>
      <charset val="134"/>
    </font>
    <font>
      <u/>
      <sz val="12"/>
      <color rgb="FF0563C1"/>
      <name val="Calibri"/>
      <charset val="134"/>
    </font>
    <font>
      <sz val="12"/>
      <color rgb="FF0563C1"/>
      <name val="Calibri"/>
      <charset val="134"/>
    </font>
    <font>
      <sz val="12"/>
      <color rgb="FF212121"/>
      <name val="Aptos"/>
      <charset val="134"/>
    </font>
    <font>
      <sz val="12"/>
      <color theme="1"/>
      <name val="Avenir Book"/>
      <charset val="134"/>
    </font>
    <font>
      <b/>
      <sz val="12"/>
      <color theme="1"/>
      <name val="Avenir Book"/>
      <charset val="134"/>
    </font>
    <font>
      <b/>
      <sz val="10"/>
      <color theme="1"/>
      <name val="Avenir Book"/>
      <charset val="134"/>
    </font>
    <font>
      <sz val="10"/>
      <color theme="1"/>
      <name val="Avenir Book"/>
      <charset val="134"/>
    </font>
    <font>
      <i/>
      <sz val="12"/>
      <color theme="0" tint="-0.349986266670736"/>
      <name val="Avenir Book"/>
      <charset val="134"/>
    </font>
    <font>
      <u/>
      <sz val="12"/>
      <color theme="10"/>
      <name val="Avenir Book"/>
      <charset val="134"/>
    </font>
    <font>
      <i/>
      <sz val="10"/>
      <color theme="1"/>
      <name val="Avenir Book"/>
      <charset val="134"/>
    </font>
    <font>
      <u/>
      <sz val="12"/>
      <color theme="10"/>
      <name val="Calibri"/>
      <charset val="134"/>
    </font>
    <font>
      <b/>
      <sz val="12"/>
      <name val="Arial"/>
      <charset val="134"/>
      <scheme val="minor"/>
    </font>
    <font>
      <b/>
      <sz val="12"/>
      <color rgb="FFFF0000"/>
      <name val="Arial"/>
      <charset val="134"/>
      <scheme val="minor"/>
    </font>
    <font>
      <sz val="12"/>
      <name val="Helvetica Neue"/>
      <charset val="134"/>
    </font>
    <font>
      <b/>
      <sz val="12"/>
      <name val="Helvetica Neue"/>
      <charset val="134"/>
    </font>
    <font>
      <sz val="36"/>
      <name val="Helvetica Neue"/>
      <charset val="134"/>
    </font>
    <font>
      <sz val="24"/>
      <name val="Helvetica Neue"/>
      <charset val="134"/>
    </font>
    <font>
      <b/>
      <sz val="11"/>
      <color theme="0"/>
      <name val="Arial"/>
      <charset val="134"/>
      <scheme val="minor"/>
    </font>
    <font>
      <sz val="11"/>
      <color theme="1"/>
      <name val="Arial"/>
      <charset val="134"/>
      <scheme val="minor"/>
    </font>
    <font>
      <sz val="22"/>
      <name val="Helvetica Neue"/>
      <charset val="134"/>
    </font>
    <font>
      <b/>
      <sz val="12"/>
      <color theme="0"/>
      <name val="Arial"/>
      <charset val="134"/>
      <scheme val="minor"/>
    </font>
    <font>
      <sz val="12"/>
      <color rgb="FFFF0000"/>
      <name val="Arial"/>
      <charset val="134"/>
      <scheme val="minor"/>
    </font>
    <font>
      <sz val="13"/>
      <name val="Helvetica Neue"/>
      <charset val="134"/>
    </font>
    <font>
      <b/>
      <sz val="11"/>
      <color rgb="FF404040"/>
      <name val="Aptos"/>
      <charset val="134"/>
    </font>
    <font>
      <sz val="11"/>
      <name val="Arial"/>
      <charset val="134"/>
    </font>
    <font>
      <sz val="11"/>
      <color theme="1"/>
      <name val="Arial"/>
      <charset val="134"/>
      <scheme val="minor"/>
    </font>
    <font>
      <u/>
      <sz val="11"/>
      <color theme="10"/>
      <name val="Arial"/>
      <charset val="134"/>
      <scheme val="minor"/>
    </font>
    <font>
      <u/>
      <sz val="11"/>
      <color rgb="FF800080"/>
      <name val="Arial"/>
      <charset val="0"/>
      <scheme val="minor"/>
    </font>
    <font>
      <sz val="11"/>
      <color rgb="FFFF0000"/>
      <name val="Arial"/>
      <charset val="0"/>
      <scheme val="minor"/>
    </font>
    <font>
      <sz val="28"/>
      <color theme="1" tint="0.499984740745262"/>
      <name val="Arial"/>
      <charset val="134"/>
      <scheme val="major"/>
    </font>
    <font>
      <b/>
      <sz val="18"/>
      <color theme="1" tint="0.14996795556505"/>
      <name val="Arial"/>
      <charset val="134"/>
      <scheme val="minor"/>
    </font>
    <font>
      <i/>
      <sz val="11"/>
      <color theme="1"/>
      <name val="Arial"/>
      <charset val="134"/>
      <scheme val="minor"/>
    </font>
    <font>
      <sz val="11"/>
      <color rgb="FF3F3F76"/>
      <name val="Arial"/>
      <charset val="134"/>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color rgb="FF000000"/>
      <name val="Times New Roman"/>
      <charset val="134"/>
    </font>
    <font>
      <b/>
      <sz val="10"/>
      <color rgb="FF000000"/>
      <name val="Tahoma"/>
      <charset val="134"/>
    </font>
    <font>
      <sz val="10"/>
      <color rgb="FF000000"/>
      <name val="Tahoma"/>
      <charset val="134"/>
    </font>
  </fonts>
  <fills count="57">
    <fill>
      <patternFill patternType="none"/>
    </fill>
    <fill>
      <patternFill patternType="gray125"/>
    </fill>
    <fill>
      <patternFill patternType="solid">
        <fgColor theme="0" tint="-0.0499893185216834"/>
        <bgColor indexed="64"/>
      </patternFill>
    </fill>
    <fill>
      <patternFill patternType="solid">
        <fgColor theme="9" tint="0.799981688894314"/>
        <bgColor indexed="64"/>
      </patternFill>
    </fill>
    <fill>
      <patternFill patternType="solid">
        <fgColor rgb="FFFFFF00"/>
        <bgColor indexed="64"/>
      </patternFill>
    </fill>
    <fill>
      <patternFill patternType="solid">
        <fgColor theme="0" tint="-0.249977111117893"/>
        <bgColor indexed="64"/>
      </patternFill>
    </fill>
    <fill>
      <patternFill patternType="solid">
        <fgColor theme="3" tint="0.799981688894314"/>
        <bgColor indexed="64"/>
      </patternFill>
    </fill>
    <fill>
      <patternFill patternType="solid">
        <fgColor theme="9" tint="0.399975585192419"/>
        <bgColor indexed="64"/>
      </patternFill>
    </fill>
    <fill>
      <patternFill patternType="solid">
        <fgColor theme="2" tint="-0.0999786370433668"/>
        <bgColor indexed="64"/>
      </patternFill>
    </fill>
    <fill>
      <patternFill patternType="solid">
        <fgColor rgb="FFFFC000"/>
        <bgColor indexed="64"/>
      </patternFill>
    </fill>
    <fill>
      <patternFill patternType="solid">
        <fgColor theme="0" tint="-0.149998474074526"/>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7" tint="0.599993896298105"/>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9"/>
        <bgColor indexed="64"/>
      </patternFill>
    </fill>
    <fill>
      <patternFill patternType="solid">
        <fgColor theme="4"/>
        <bgColor indexed="64"/>
      </patternFill>
    </fill>
    <fill>
      <patternFill patternType="solid">
        <fgColor theme="4" tint="0.799981688894314"/>
        <bgColor indexed="64"/>
      </patternFill>
    </fill>
    <fill>
      <patternFill patternType="solid">
        <fgColor theme="9" tint="-0.249977111117893"/>
        <bgColor indexed="64"/>
      </patternFill>
    </fill>
    <fill>
      <patternFill patternType="solid">
        <fgColor theme="0" tint="-0.349986266670736"/>
        <bgColor indexed="64"/>
      </patternFill>
    </fill>
    <fill>
      <patternFill patternType="solid">
        <fgColor rgb="FF92D050"/>
        <bgColor indexed="64"/>
      </patternFill>
    </fill>
    <fill>
      <patternFill patternType="solid">
        <fgColor theme="6"/>
        <bgColor theme="6"/>
      </patternFill>
    </fill>
    <fill>
      <patternFill patternType="solid">
        <fgColor rgb="FFF2F2F2"/>
        <bgColor indexed="64"/>
      </patternFill>
    </fill>
    <fill>
      <patternFill patternType="solid">
        <fgColor theme="3" tint="0.899990844447157"/>
        <bgColor indexed="64"/>
      </patternFill>
    </fill>
    <fill>
      <patternFill patternType="solid">
        <fgColor theme="1"/>
        <bgColor theme="1"/>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0">
    <border>
      <left/>
      <right/>
      <top/>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style="thin">
        <color auto="1"/>
      </left>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medium">
        <color auto="1"/>
      </left>
      <right style="thin">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thin">
        <color auto="1"/>
      </top>
      <bottom style="dashed">
        <color auto="1"/>
      </bottom>
      <diagonal/>
    </border>
    <border>
      <left style="medium">
        <color auto="1"/>
      </left>
      <right style="thin">
        <color auto="1"/>
      </right>
      <top style="thin">
        <color auto="1"/>
      </top>
      <bottom style="thin">
        <color auto="1"/>
      </bottom>
      <diagonal/>
    </border>
    <border>
      <left style="thin">
        <color auto="1"/>
      </left>
      <right/>
      <top style="dashed">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dashed">
        <color auto="1"/>
      </left>
      <right/>
      <top/>
      <bottom style="dashed">
        <color auto="1"/>
      </bottom>
      <diagonal/>
    </border>
    <border>
      <left style="thin">
        <color auto="1"/>
      </left>
      <right style="thin">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thin">
        <color auto="1"/>
      </left>
      <right style="medium">
        <color auto="1"/>
      </right>
      <top style="thin">
        <color auto="1"/>
      </top>
      <bottom style="thin">
        <color auto="1"/>
      </bottom>
      <diagonal/>
    </border>
    <border>
      <left style="thin">
        <color auto="1"/>
      </left>
      <right style="medium">
        <color auto="1"/>
      </right>
      <top style="medium">
        <color auto="1"/>
      </top>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diagonal/>
    </border>
    <border>
      <left/>
      <right/>
      <top style="medium">
        <color auto="1"/>
      </top>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bottom style="thin">
        <color auto="1"/>
      </bottom>
      <diagonal/>
    </border>
    <border>
      <left style="medium">
        <color auto="1"/>
      </left>
      <right style="thin">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medium">
        <color auto="1"/>
      </right>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thin">
        <color auto="1"/>
      </left>
      <right/>
      <top/>
      <bottom style="medium">
        <color auto="1"/>
      </bottom>
      <diagonal/>
    </border>
    <border>
      <left style="medium">
        <color auto="1"/>
      </left>
      <right/>
      <top/>
      <bottom style="medium">
        <color auto="1"/>
      </bottom>
      <diagonal/>
    </border>
    <border>
      <left/>
      <right/>
      <top/>
      <bottom style="medium">
        <color auto="1"/>
      </bottom>
      <diagonal/>
    </border>
    <border>
      <left style="thin">
        <color auto="1"/>
      </left>
      <right/>
      <top style="thin">
        <color auto="1"/>
      </top>
      <bottom style="medium">
        <color auto="1"/>
      </bottom>
      <diagonal/>
    </border>
    <border>
      <left/>
      <right style="thin">
        <color auto="1"/>
      </right>
      <top style="medium">
        <color auto="1"/>
      </top>
      <bottom style="thin">
        <color auto="1"/>
      </bottom>
      <diagonal/>
    </border>
    <border>
      <left/>
      <right style="dashed">
        <color auto="1"/>
      </right>
      <top/>
      <bottom style="dashed">
        <color auto="1"/>
      </bottom>
      <diagonal/>
    </border>
    <border>
      <left style="dashed">
        <color auto="1"/>
      </left>
      <right style="medium">
        <color rgb="FF000000"/>
      </right>
      <top/>
      <bottom style="dashed">
        <color auto="1"/>
      </bottom>
      <diagonal/>
    </border>
    <border>
      <left/>
      <right style="dashed">
        <color auto="1"/>
      </right>
      <top style="thin">
        <color auto="1"/>
      </top>
      <bottom style="dashed">
        <color auto="1"/>
      </bottom>
      <diagonal/>
    </border>
    <border>
      <left style="dashed">
        <color auto="1"/>
      </left>
      <right style="medium">
        <color rgb="FF000000"/>
      </right>
      <top style="dashed">
        <color auto="1"/>
      </top>
      <bottom style="dashed">
        <color auto="1"/>
      </bottom>
      <diagonal/>
    </border>
    <border>
      <left/>
      <right style="medium">
        <color rgb="FF000000"/>
      </right>
      <top style="dashed">
        <color auto="1"/>
      </top>
      <bottom/>
      <diagonal/>
    </border>
    <border>
      <left/>
      <right/>
      <top style="dashed">
        <color auto="1"/>
      </top>
      <bottom style="thin">
        <color auto="1"/>
      </bottom>
      <diagonal/>
    </border>
    <border>
      <left/>
      <right style="medium">
        <color rgb="FF000000"/>
      </right>
      <top style="dashed">
        <color auto="1"/>
      </top>
      <bottom style="thin">
        <color auto="1"/>
      </bottom>
      <diagonal/>
    </border>
    <border>
      <left/>
      <right style="thin">
        <color auto="1"/>
      </right>
      <top style="thin">
        <color auto="1"/>
      </top>
      <bottom/>
      <diagonal/>
    </border>
    <border>
      <left style="thin">
        <color auto="1"/>
      </left>
      <right style="dashed">
        <color auto="1"/>
      </right>
      <top style="dashed">
        <color auto="1"/>
      </top>
      <bottom style="thin">
        <color auto="1"/>
      </bottom>
      <diagonal/>
    </border>
    <border>
      <left style="thin">
        <color rgb="FF000000"/>
      </left>
      <right/>
      <top style="thin">
        <color rgb="FF000000"/>
      </top>
      <bottom style="thin">
        <color rgb="FF000000"/>
      </bottom>
      <diagonal/>
    </border>
    <border>
      <left/>
      <right style="thin">
        <color theme="6"/>
      </right>
      <top style="thin">
        <color theme="6"/>
      </top>
      <bottom/>
      <diagonal/>
    </border>
    <border>
      <left style="thin">
        <color auto="1"/>
      </left>
      <right style="thin">
        <color auto="1"/>
      </right>
      <top style="thin">
        <color rgb="FF000000"/>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thin">
        <color auto="1"/>
      </right>
      <top/>
      <bottom/>
      <diagonal/>
    </border>
    <border>
      <left/>
      <right/>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auto="1"/>
      </top>
      <bottom/>
      <diagonal/>
    </border>
    <border>
      <left style="thin">
        <color auto="1"/>
      </left>
      <right style="thin">
        <color auto="1"/>
      </right>
      <top/>
      <bottom style="thin">
        <color rgb="FF000000"/>
      </bottom>
      <diagonal/>
    </border>
    <border>
      <left style="thin">
        <color rgb="FF000000"/>
      </left>
      <right style="thin">
        <color auto="1"/>
      </right>
      <top style="thin">
        <color rgb="FF000000"/>
      </top>
      <bottom/>
      <diagonal/>
    </border>
    <border>
      <left style="thin">
        <color rgb="FF000000"/>
      </left>
      <right style="thin">
        <color rgb="FF000000"/>
      </right>
      <top/>
      <bottom style="thin">
        <color auto="1"/>
      </bottom>
      <diagonal/>
    </border>
    <border>
      <left style="thin">
        <color rgb="FF000000"/>
      </left>
      <right style="thin">
        <color auto="1"/>
      </right>
      <top/>
      <bottom style="thin">
        <color auto="1"/>
      </bottom>
      <diagonal/>
    </border>
    <border>
      <left style="thin">
        <color auto="1"/>
      </left>
      <right style="medium">
        <color auto="1"/>
      </right>
      <top/>
      <bottom/>
      <diagonal/>
    </border>
    <border>
      <left style="thin">
        <color auto="1"/>
      </left>
      <right style="thin">
        <color auto="1"/>
      </right>
      <top style="thin">
        <color theme="1"/>
      </top>
      <bottom/>
      <diagonal/>
    </border>
    <border>
      <left style="thin">
        <color auto="1"/>
      </left>
      <right style="thin">
        <color auto="1"/>
      </right>
      <top style="thin">
        <color theme="1"/>
      </top>
      <bottom style="thin">
        <color auto="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count="65">
    <xf numFmtId="0" fontId="0" fillId="0" borderId="0">
      <alignment wrapText="1"/>
    </xf>
    <xf numFmtId="176" fontId="0" fillId="0" borderId="0" applyFont="0" applyFill="0" applyBorder="0" applyAlignment="0" applyProtection="0"/>
    <xf numFmtId="177" fontId="62" fillId="0" borderId="0" applyFont="0" applyFill="0" applyBorder="0" applyProtection="0">
      <alignment horizontal="right" vertical="center"/>
    </xf>
    <xf numFmtId="9" fontId="0" fillId="0" borderId="0" applyFont="0" applyFill="0" applyBorder="0" applyAlignment="0" applyProtection="0"/>
    <xf numFmtId="41" fontId="63" fillId="0" borderId="0" applyFont="0" applyFill="0" applyBorder="0" applyAlignment="0" applyProtection="0">
      <alignment vertical="center"/>
    </xf>
    <xf numFmtId="42" fontId="63" fillId="0" borderId="0" applyFont="0" applyFill="0" applyBorder="0" applyAlignment="0" applyProtection="0">
      <alignment vertical="center"/>
    </xf>
    <xf numFmtId="0" fontId="64" fillId="0" borderId="0" applyNumberFormat="0" applyFill="0" applyBorder="0" applyAlignment="0" applyProtection="0">
      <alignment wrapText="1"/>
    </xf>
    <xf numFmtId="0" fontId="65" fillId="0" borderId="0" applyNumberFormat="0" applyFill="0" applyBorder="0" applyAlignment="0" applyProtection="0">
      <alignment vertical="center"/>
    </xf>
    <xf numFmtId="0" fontId="63" fillId="26" borderId="85" applyNumberFormat="0" applyFont="0" applyAlignment="0" applyProtection="0">
      <alignment vertical="center"/>
    </xf>
    <xf numFmtId="0" fontId="66" fillId="0" borderId="0" applyNumberFormat="0" applyFill="0" applyBorder="0" applyAlignment="0" applyProtection="0">
      <alignment vertical="center"/>
    </xf>
    <xf numFmtId="0" fontId="67" fillId="0" borderId="0" applyNumberFormat="0" applyFill="0" applyBorder="0" applyProtection="0">
      <alignment horizontal="right"/>
    </xf>
    <xf numFmtId="0" fontId="5" fillId="0" borderId="0" applyNumberFormat="0" applyFill="0" applyBorder="0" applyProtection="0">
      <alignment horizontal="center"/>
    </xf>
    <xf numFmtId="0" fontId="68" fillId="0" borderId="0" applyNumberFormat="0" applyFill="0" applyProtection="0"/>
    <xf numFmtId="0" fontId="4" fillId="0" borderId="0" applyNumberFormat="0" applyFill="0" applyProtection="0">
      <alignment vertical="top" wrapText="1"/>
    </xf>
    <xf numFmtId="0" fontId="5" fillId="0" borderId="0" applyNumberFormat="0" applyFill="0" applyAlignment="0" applyProtection="0"/>
    <xf numFmtId="0" fontId="69" fillId="0" borderId="0" applyNumberFormat="0" applyFill="0" applyBorder="0" applyAlignment="0" applyProtection="0"/>
    <xf numFmtId="0" fontId="70" fillId="27" borderId="86" applyNumberFormat="0" applyAlignment="0" applyProtection="0"/>
    <xf numFmtId="0" fontId="71" fillId="28" borderId="87" applyNumberFormat="0" applyAlignment="0" applyProtection="0">
      <alignment vertical="center"/>
    </xf>
    <xf numFmtId="0" fontId="72" fillId="28" borderId="86" applyNumberFormat="0" applyAlignment="0" applyProtection="0">
      <alignment vertical="center"/>
    </xf>
    <xf numFmtId="0" fontId="73" fillId="29" borderId="88" applyNumberFormat="0" applyAlignment="0" applyProtection="0">
      <alignment vertical="center"/>
    </xf>
    <xf numFmtId="0" fontId="74" fillId="0" borderId="89" applyNumberFormat="0" applyFill="0" applyAlignment="0" applyProtection="0">
      <alignment vertical="center"/>
    </xf>
    <xf numFmtId="177" fontId="8" fillId="0" borderId="0" applyProtection="0">
      <alignment horizontal="right" vertical="center"/>
    </xf>
    <xf numFmtId="0" fontId="75" fillId="30" borderId="0" applyNumberFormat="0" applyBorder="0" applyAlignment="0" applyProtection="0">
      <alignment vertical="center"/>
    </xf>
    <xf numFmtId="0" fontId="76" fillId="31" borderId="0" applyNumberFormat="0" applyBorder="0" applyAlignment="0" applyProtection="0">
      <alignment vertical="center"/>
    </xf>
    <xf numFmtId="0" fontId="77" fillId="32" borderId="0" applyNumberFormat="0" applyBorder="0" applyAlignment="0" applyProtection="0">
      <alignment vertical="center"/>
    </xf>
    <xf numFmtId="0" fontId="78" fillId="33" borderId="0" applyNumberFormat="0" applyBorder="0" applyAlignment="0" applyProtection="0">
      <alignment vertical="center"/>
    </xf>
    <xf numFmtId="0" fontId="79" fillId="34" borderId="0" applyNumberFormat="0" applyBorder="0" applyAlignment="0" applyProtection="0">
      <alignment vertical="center"/>
    </xf>
    <xf numFmtId="0" fontId="79" fillId="35" borderId="0" applyNumberFormat="0" applyBorder="0" applyAlignment="0" applyProtection="0">
      <alignment vertical="center"/>
    </xf>
    <xf numFmtId="0" fontId="78" fillId="36" borderId="0" applyNumberFormat="0" applyBorder="0" applyAlignment="0" applyProtection="0">
      <alignment vertical="center"/>
    </xf>
    <xf numFmtId="0" fontId="78" fillId="37" borderId="0" applyNumberFormat="0" applyBorder="0" applyAlignment="0" applyProtection="0">
      <alignment vertical="center"/>
    </xf>
    <xf numFmtId="0" fontId="79" fillId="38" borderId="0" applyNumberFormat="0" applyBorder="0" applyAlignment="0" applyProtection="0">
      <alignment vertical="center"/>
    </xf>
    <xf numFmtId="0" fontId="79" fillId="39" borderId="0" applyNumberFormat="0" applyBorder="0" applyAlignment="0" applyProtection="0">
      <alignment vertical="center"/>
    </xf>
    <xf numFmtId="0" fontId="78" fillId="40" borderId="0" applyNumberFormat="0" applyBorder="0" applyAlignment="0" applyProtection="0">
      <alignment vertical="center"/>
    </xf>
    <xf numFmtId="0" fontId="78" fillId="41" borderId="0" applyNumberFormat="0" applyBorder="0" applyAlignment="0" applyProtection="0">
      <alignment vertical="center"/>
    </xf>
    <xf numFmtId="0" fontId="79" fillId="42" borderId="0" applyNumberFormat="0" applyBorder="0" applyAlignment="0" applyProtection="0">
      <alignment vertical="center"/>
    </xf>
    <xf numFmtId="0" fontId="79" fillId="43" borderId="0" applyNumberFormat="0" applyBorder="0" applyAlignment="0" applyProtection="0">
      <alignment vertical="center"/>
    </xf>
    <xf numFmtId="0" fontId="78" fillId="44" borderId="0" applyNumberFormat="0" applyBorder="0" applyAlignment="0" applyProtection="0">
      <alignment vertical="center"/>
    </xf>
    <xf numFmtId="0" fontId="78" fillId="45" borderId="0" applyNumberFormat="0" applyBorder="0" applyAlignment="0" applyProtection="0">
      <alignment vertical="center"/>
    </xf>
    <xf numFmtId="0" fontId="79" fillId="46" borderId="0" applyNumberFormat="0" applyBorder="0" applyAlignment="0" applyProtection="0">
      <alignment vertical="center"/>
    </xf>
    <xf numFmtId="0" fontId="79" fillId="47" borderId="0" applyNumberFormat="0" applyBorder="0" applyAlignment="0" applyProtection="0">
      <alignment vertical="center"/>
    </xf>
    <xf numFmtId="0" fontId="78" fillId="48" borderId="0" applyNumberFormat="0" applyBorder="0" applyAlignment="0" applyProtection="0">
      <alignment vertical="center"/>
    </xf>
    <xf numFmtId="0" fontId="78" fillId="49" borderId="0" applyNumberFormat="0" applyBorder="0" applyAlignment="0" applyProtection="0">
      <alignment vertical="center"/>
    </xf>
    <xf numFmtId="0" fontId="79" fillId="50" borderId="0" applyNumberFormat="0" applyBorder="0" applyAlignment="0" applyProtection="0">
      <alignment vertical="center"/>
    </xf>
    <xf numFmtId="0" fontId="79" fillId="51" borderId="0" applyNumberFormat="0" applyBorder="0" applyAlignment="0" applyProtection="0">
      <alignment vertical="center"/>
    </xf>
    <xf numFmtId="0" fontId="78" fillId="52" borderId="0" applyNumberFormat="0" applyBorder="0" applyAlignment="0" applyProtection="0">
      <alignment vertical="center"/>
    </xf>
    <xf numFmtId="0" fontId="78" fillId="53" borderId="0" applyNumberFormat="0" applyBorder="0" applyAlignment="0" applyProtection="0">
      <alignment vertical="center"/>
    </xf>
    <xf numFmtId="0" fontId="79" fillId="54" borderId="0" applyNumberFormat="0" applyBorder="0" applyAlignment="0" applyProtection="0">
      <alignment vertical="center"/>
    </xf>
    <xf numFmtId="0" fontId="79" fillId="55" borderId="0" applyNumberFormat="0" applyBorder="0" applyAlignment="0" applyProtection="0">
      <alignment vertical="center"/>
    </xf>
    <xf numFmtId="0" fontId="78" fillId="56" borderId="0" applyNumberFormat="0" applyBorder="0" applyAlignment="0" applyProtection="0">
      <alignment vertical="center"/>
    </xf>
    <xf numFmtId="176" fontId="21" fillId="0" borderId="0" applyFont="0" applyFill="0" applyBorder="0" applyAlignment="0" applyProtection="0"/>
    <xf numFmtId="177" fontId="21" fillId="0" borderId="0" applyFont="0" applyFill="0" applyBorder="0" applyAlignment="0" applyProtection="0"/>
    <xf numFmtId="178" fontId="56" fillId="0" borderId="0" applyFont="0" applyFill="0" applyBorder="0" applyAlignment="0" applyProtection="0"/>
    <xf numFmtId="179" fontId="62" fillId="0" borderId="0" applyFont="0" applyFill="0" applyBorder="0">
      <alignment horizontal="right"/>
    </xf>
    <xf numFmtId="0" fontId="62" fillId="0" borderId="0" applyFont="0" applyFill="0" applyBorder="0">
      <alignment vertical="center" wrapText="1"/>
    </xf>
    <xf numFmtId="0" fontId="31" fillId="0" borderId="0" applyNumberFormat="0" applyFill="0" applyBorder="0" applyAlignment="0" applyProtection="0"/>
    <xf numFmtId="0" fontId="21" fillId="0" borderId="0"/>
    <xf numFmtId="0" fontId="21" fillId="0" borderId="0"/>
    <xf numFmtId="0" fontId="21" fillId="0" borderId="0"/>
    <xf numFmtId="0" fontId="80" fillId="0" borderId="0"/>
    <xf numFmtId="0" fontId="21" fillId="0" borderId="0"/>
    <xf numFmtId="0" fontId="56" fillId="0" borderId="0"/>
    <xf numFmtId="9" fontId="21" fillId="0" borderId="0" applyFont="0" applyFill="0" applyBorder="0" applyAlignment="0" applyProtection="0"/>
    <xf numFmtId="180" fontId="62" fillId="0" borderId="0" applyFont="0" applyFill="0" applyBorder="0">
      <alignment horizontal="left" vertical="top"/>
    </xf>
    <xf numFmtId="0" fontId="62" fillId="0" borderId="0" applyNumberFormat="0" applyFont="0" applyFill="0" applyBorder="0">
      <alignment horizontal="right" wrapText="1"/>
    </xf>
    <xf numFmtId="0" fontId="62" fillId="0" borderId="0" applyFont="0" applyFill="0" applyBorder="0">
      <alignment horizontal="right" vertical="top" wrapText="1"/>
    </xf>
  </cellStyleXfs>
  <cellXfs count="611">
    <xf numFmtId="0" fontId="0" fillId="0" borderId="0" xfId="0">
      <alignment wrapText="1"/>
    </xf>
    <xf numFmtId="0" fontId="1" fillId="0" borderId="0" xfId="0" applyFont="1">
      <alignment wrapText="1"/>
    </xf>
    <xf numFmtId="177" fontId="0" fillId="0" borderId="0" xfId="2" applyFont="1">
      <alignment horizontal="right" vertical="center"/>
    </xf>
    <xf numFmtId="2" fontId="0" fillId="0" borderId="0" xfId="0" applyNumberFormat="1">
      <alignment wrapText="1"/>
    </xf>
    <xf numFmtId="0" fontId="2" fillId="0" borderId="0" xfId="13" applyFont="1">
      <alignment vertical="top" wrapText="1"/>
    </xf>
    <xf numFmtId="0" fontId="3" fillId="0" borderId="0" xfId="10" applyFont="1">
      <alignment horizontal="right"/>
    </xf>
    <xf numFmtId="0" fontId="4" fillId="0" borderId="0" xfId="13">
      <alignment vertical="top" wrapText="1"/>
    </xf>
    <xf numFmtId="0" fontId="5" fillId="0" borderId="0" xfId="0" applyFont="1">
      <alignment wrapText="1"/>
    </xf>
    <xf numFmtId="177" fontId="5" fillId="0" borderId="0" xfId="2" applyFont="1">
      <alignment horizontal="right" vertical="center"/>
    </xf>
    <xf numFmtId="2" fontId="5" fillId="0" borderId="0" xfId="63" applyNumberFormat="1" applyFont="1">
      <alignment horizontal="right" wrapText="1"/>
    </xf>
    <xf numFmtId="179" fontId="0" fillId="0" borderId="0" xfId="63" applyNumberFormat="1" applyFont="1" applyFill="1">
      <alignment horizontal="right" wrapText="1"/>
    </xf>
    <xf numFmtId="0" fontId="0" fillId="0" borderId="0" xfId="63" applyFont="1" applyFill="1">
      <alignment horizontal="right" wrapText="1"/>
    </xf>
    <xf numFmtId="0" fontId="0" fillId="0" borderId="0" xfId="0" applyAlignment="1">
      <alignment horizontal="right" wrapText="1"/>
    </xf>
    <xf numFmtId="180" fontId="5" fillId="0" borderId="0" xfId="62" applyFont="1" applyAlignment="1">
      <alignment horizontal="left"/>
    </xf>
    <xf numFmtId="180" fontId="0" fillId="0" borderId="0" xfId="62" applyFont="1" applyAlignment="1">
      <alignment horizontal="left"/>
    </xf>
    <xf numFmtId="2" fontId="5" fillId="0" borderId="0" xfId="64" applyNumberFormat="1" applyFont="1">
      <alignment horizontal="right" vertical="top" wrapText="1"/>
    </xf>
    <xf numFmtId="0" fontId="5" fillId="0" borderId="0" xfId="2" applyNumberFormat="1" applyFont="1" applyBorder="1">
      <alignment horizontal="right" vertical="center"/>
    </xf>
    <xf numFmtId="0" fontId="5" fillId="0" borderId="0" xfId="14"/>
    <xf numFmtId="1" fontId="5" fillId="0" borderId="0" xfId="64" applyNumberFormat="1" applyFont="1">
      <alignment horizontal="right" vertical="top" wrapText="1"/>
    </xf>
    <xf numFmtId="177" fontId="5" fillId="0" borderId="0" xfId="2" applyFont="1" applyAlignment="1">
      <alignment horizontal="right" vertical="center" wrapText="1"/>
    </xf>
    <xf numFmtId="181" fontId="5" fillId="0" borderId="0" xfId="3" applyNumberFormat="1" applyFont="1" applyAlignment="1">
      <alignment wrapText="1"/>
    </xf>
    <xf numFmtId="182" fontId="0" fillId="0" borderId="0" xfId="0" applyNumberFormat="1">
      <alignment wrapText="1"/>
    </xf>
    <xf numFmtId="4" fontId="0" fillId="0" borderId="0" xfId="0" applyNumberFormat="1">
      <alignment wrapText="1"/>
    </xf>
    <xf numFmtId="0" fontId="6" fillId="0" borderId="0" xfId="0" applyFont="1" applyAlignment="1">
      <alignment horizontal="center" vertical="center" wrapText="1"/>
    </xf>
    <xf numFmtId="177" fontId="6" fillId="0" borderId="1" xfId="2" applyFont="1" applyBorder="1" applyAlignment="1">
      <alignment horizontal="center" vertical="center" wrapText="1"/>
    </xf>
    <xf numFmtId="2" fontId="6" fillId="0" borderId="0" xfId="0" applyNumberFormat="1" applyFont="1" applyAlignment="1">
      <alignment horizontal="right" vertical="center"/>
    </xf>
    <xf numFmtId="2" fontId="6" fillId="0" borderId="0" xfId="0" applyNumberFormat="1" applyFont="1" applyAlignment="1">
      <alignment horizontal="center" vertical="center"/>
    </xf>
    <xf numFmtId="0" fontId="6" fillId="0" borderId="2" xfId="0" applyFont="1" applyBorder="1" applyAlignment="1">
      <alignment horizontal="center" vertical="center"/>
    </xf>
    <xf numFmtId="0" fontId="5" fillId="2" borderId="0" xfId="53" applyFont="1" applyFill="1">
      <alignment vertical="center" wrapText="1"/>
    </xf>
    <xf numFmtId="183" fontId="7" fillId="0" borderId="3" xfId="2" applyNumberFormat="1" applyFont="1" applyFill="1" applyBorder="1">
      <alignment horizontal="right" vertical="center"/>
    </xf>
    <xf numFmtId="184" fontId="7" fillId="0" borderId="0" xfId="53" applyNumberFormat="1" applyFont="1" applyFill="1" applyBorder="1">
      <alignment vertical="center" wrapText="1"/>
    </xf>
    <xf numFmtId="177" fontId="7" fillId="0" borderId="0" xfId="2" applyFont="1" applyFill="1">
      <alignment horizontal="right" vertical="center"/>
    </xf>
    <xf numFmtId="0" fontId="0" fillId="0" borderId="0" xfId="53" applyFont="1" applyBorder="1">
      <alignment vertical="center" wrapText="1"/>
    </xf>
    <xf numFmtId="183" fontId="0" fillId="0" borderId="3" xfId="2" applyNumberFormat="1" applyFont="1" applyBorder="1">
      <alignment horizontal="right" vertical="center"/>
    </xf>
    <xf numFmtId="184" fontId="0" fillId="0" borderId="0" xfId="53" applyNumberFormat="1" applyFont="1" applyBorder="1">
      <alignment vertical="center" wrapText="1"/>
    </xf>
    <xf numFmtId="177" fontId="0" fillId="0" borderId="3" xfId="2" applyFont="1" applyBorder="1">
      <alignment horizontal="right" vertical="center"/>
    </xf>
    <xf numFmtId="0" fontId="0" fillId="0" borderId="4" xfId="53" applyFont="1" applyFill="1" applyBorder="1">
      <alignment vertical="center" wrapText="1"/>
    </xf>
    <xf numFmtId="185" fontId="0" fillId="0" borderId="0" xfId="0" applyNumberFormat="1">
      <alignment wrapText="1"/>
    </xf>
    <xf numFmtId="0" fontId="0" fillId="0" borderId="0" xfId="53" applyFont="1" applyFill="1" applyBorder="1">
      <alignment vertical="center" wrapText="1"/>
    </xf>
    <xf numFmtId="0" fontId="5" fillId="0" borderId="0" xfId="53" applyFont="1" applyFill="1" applyBorder="1" applyAlignment="1">
      <alignment horizontal="right" vertical="center" wrapText="1"/>
    </xf>
    <xf numFmtId="183" fontId="5" fillId="0" borderId="3" xfId="2" applyNumberFormat="1" applyFont="1" applyBorder="1">
      <alignment horizontal="right" vertical="center"/>
    </xf>
    <xf numFmtId="184" fontId="5" fillId="0" borderId="0" xfId="53" applyNumberFormat="1" applyFont="1" applyFill="1" applyBorder="1">
      <alignment vertical="center" wrapText="1"/>
    </xf>
    <xf numFmtId="178" fontId="5" fillId="0" borderId="0" xfId="2" applyNumberFormat="1" applyFont="1" applyFill="1" applyBorder="1">
      <alignment horizontal="right" vertical="center"/>
    </xf>
    <xf numFmtId="0" fontId="5" fillId="2" borderId="0" xfId="53" applyFont="1" applyFill="1" applyBorder="1">
      <alignment vertical="center" wrapText="1"/>
    </xf>
    <xf numFmtId="183" fontId="0" fillId="0" borderId="5" xfId="2" applyNumberFormat="1" applyFont="1" applyBorder="1">
      <alignment horizontal="right" vertical="center"/>
    </xf>
    <xf numFmtId="184" fontId="0" fillId="0" borderId="0" xfId="2" applyNumberFormat="1" applyFont="1" applyBorder="1" applyAlignment="1">
      <alignment vertical="center"/>
    </xf>
    <xf numFmtId="177" fontId="0" fillId="0" borderId="0" xfId="2" applyFont="1" applyBorder="1">
      <alignment horizontal="right" vertical="center"/>
    </xf>
    <xf numFmtId="177" fontId="0" fillId="0" borderId="0" xfId="0" applyNumberFormat="1">
      <alignment wrapText="1"/>
    </xf>
    <xf numFmtId="183" fontId="5" fillId="0" borderId="3" xfId="2" applyNumberFormat="1" applyFont="1" applyFill="1" applyBorder="1">
      <alignment horizontal="right" vertical="center"/>
    </xf>
    <xf numFmtId="184" fontId="5" fillId="0" borderId="0" xfId="2" applyNumberFormat="1" applyFont="1" applyBorder="1" applyAlignment="1">
      <alignment vertical="center"/>
    </xf>
    <xf numFmtId="177" fontId="5" fillId="0" borderId="0" xfId="2" applyFont="1" applyBorder="1">
      <alignment horizontal="right" vertical="center"/>
    </xf>
    <xf numFmtId="183" fontId="0" fillId="0" borderId="3" xfId="2" applyNumberFormat="1" applyFont="1" applyFill="1" applyBorder="1">
      <alignment horizontal="right" vertical="center"/>
    </xf>
    <xf numFmtId="184" fontId="0" fillId="0" borderId="0" xfId="53" applyNumberFormat="1" applyFont="1" applyFill="1" applyBorder="1">
      <alignment vertical="center" wrapText="1"/>
    </xf>
    <xf numFmtId="177" fontId="5" fillId="0" borderId="0" xfId="2" applyFont="1" applyFill="1" applyBorder="1">
      <alignment horizontal="right" vertical="center"/>
    </xf>
    <xf numFmtId="0" fontId="0" fillId="0" borderId="4" xfId="53" applyFont="1" applyBorder="1">
      <alignment vertical="center" wrapText="1"/>
    </xf>
    <xf numFmtId="0" fontId="5" fillId="2" borderId="0" xfId="53" applyFont="1" applyFill="1" applyBorder="1" applyAlignment="1">
      <alignment horizontal="right" vertical="center" wrapText="1"/>
    </xf>
    <xf numFmtId="183" fontId="5" fillId="2" borderId="3" xfId="2" applyNumberFormat="1" applyFont="1" applyFill="1" applyBorder="1">
      <alignment horizontal="right" vertical="center"/>
    </xf>
    <xf numFmtId="184" fontId="5" fillId="2" borderId="0" xfId="53" applyNumberFormat="1" applyFont="1" applyFill="1" applyBorder="1">
      <alignment vertical="center" wrapText="1"/>
    </xf>
    <xf numFmtId="177" fontId="5" fillId="2" borderId="0" xfId="2" applyFont="1" applyFill="1" applyBorder="1">
      <alignment horizontal="right" vertical="center"/>
    </xf>
    <xf numFmtId="0" fontId="0" fillId="3" borderId="0" xfId="53" applyFont="1" applyFill="1" applyBorder="1">
      <alignment vertical="center" wrapText="1"/>
    </xf>
    <xf numFmtId="183" fontId="0" fillId="3" borderId="3" xfId="2" applyNumberFormat="1" applyFont="1" applyFill="1" applyBorder="1">
      <alignment horizontal="right" vertical="center"/>
    </xf>
    <xf numFmtId="2" fontId="0" fillId="3" borderId="0" xfId="53" applyNumberFormat="1" applyFont="1" applyFill="1" applyBorder="1">
      <alignment vertical="center" wrapText="1"/>
    </xf>
    <xf numFmtId="0" fontId="0" fillId="3" borderId="0" xfId="2" applyNumberFormat="1" applyFont="1" applyFill="1" applyBorder="1">
      <alignment horizontal="right" vertical="center"/>
    </xf>
    <xf numFmtId="0" fontId="5" fillId="2" borderId="6" xfId="0" applyFont="1" applyFill="1" applyBorder="1" applyAlignment="1">
      <alignment vertical="center" wrapText="1"/>
    </xf>
    <xf numFmtId="183" fontId="8" fillId="2" borderId="0" xfId="2" applyNumberFormat="1" applyFont="1" applyFill="1">
      <alignment horizontal="right" vertical="center"/>
    </xf>
    <xf numFmtId="2" fontId="8" fillId="2" borderId="0" xfId="0" applyNumberFormat="1" applyFont="1" applyFill="1" applyAlignment="1">
      <alignment horizontal="right" vertical="center"/>
    </xf>
    <xf numFmtId="177" fontId="8" fillId="2" borderId="7" xfId="0" applyNumberFormat="1" applyFont="1" applyFill="1" applyBorder="1" applyAlignment="1">
      <alignment horizontal="right" vertical="center"/>
    </xf>
    <xf numFmtId="2" fontId="0" fillId="0" borderId="0" xfId="0" applyNumberFormat="1" applyFont="1">
      <alignment wrapText="1"/>
    </xf>
    <xf numFmtId="0" fontId="0" fillId="0" borderId="0" xfId="0" applyFont="1">
      <alignment wrapText="1"/>
    </xf>
    <xf numFmtId="0" fontId="5" fillId="0" borderId="0" xfId="0" applyFont="1" applyAlignment="1">
      <alignment horizontal="left" wrapText="1"/>
    </xf>
    <xf numFmtId="177" fontId="0" fillId="0" borderId="0" xfId="2" applyFont="1" applyAlignment="1">
      <alignment horizontal="left" vertical="center"/>
    </xf>
    <xf numFmtId="49" fontId="0" fillId="0" borderId="0" xfId="2" applyNumberFormat="1" applyFont="1" applyAlignment="1">
      <alignment horizontal="left" vertical="center"/>
    </xf>
    <xf numFmtId="0" fontId="9" fillId="0" borderId="0" xfId="11" applyFont="1" applyFill="1" applyAlignment="1">
      <alignment horizontal="left"/>
    </xf>
    <xf numFmtId="0" fontId="10" fillId="0" borderId="0" xfId="0" applyFont="1">
      <alignment wrapText="1"/>
    </xf>
    <xf numFmtId="0" fontId="0" fillId="0" borderId="0" xfId="0" applyAlignment="1">
      <alignment horizontal="center" vertical="center" wrapText="1"/>
    </xf>
    <xf numFmtId="0" fontId="11" fillId="0" borderId="0" xfId="0" applyFont="1">
      <alignment wrapText="1"/>
    </xf>
    <xf numFmtId="0" fontId="12" fillId="0" borderId="0" xfId="55" applyFont="1" applyAlignment="1">
      <alignment horizontal="left"/>
    </xf>
    <xf numFmtId="0" fontId="12" fillId="0" borderId="0" xfId="55" applyFont="1"/>
    <xf numFmtId="182" fontId="12" fillId="0" borderId="0" xfId="55" applyNumberFormat="1" applyFont="1" applyAlignment="1">
      <alignment wrapText="1"/>
    </xf>
    <xf numFmtId="182" fontId="12" fillId="0" borderId="0" xfId="55" applyNumberFormat="1" applyFont="1" applyAlignment="1">
      <alignment horizontal="center" wrapText="1"/>
    </xf>
    <xf numFmtId="182" fontId="12" fillId="0" borderId="0" xfId="55" applyNumberFormat="1" applyFont="1" applyAlignment="1">
      <alignment horizontal="left" wrapText="1" indent="1"/>
    </xf>
    <xf numFmtId="0" fontId="12" fillId="0" borderId="0" xfId="55" applyFont="1" applyAlignment="1">
      <alignment horizontal="left" indent="1"/>
    </xf>
    <xf numFmtId="177" fontId="12" fillId="0" borderId="0" xfId="55" applyNumberFormat="1" applyFont="1"/>
    <xf numFmtId="0" fontId="13" fillId="0" borderId="0" xfId="55" applyFont="1" applyAlignment="1">
      <alignment horizontal="left"/>
    </xf>
    <xf numFmtId="0" fontId="14" fillId="4" borderId="0" xfId="55" applyFont="1" applyFill="1"/>
    <xf numFmtId="0" fontId="15" fillId="0" borderId="0" xfId="55" applyFont="1"/>
    <xf numFmtId="58" fontId="16" fillId="5" borderId="0" xfId="0" applyNumberFormat="1" applyFont="1" applyFill="1">
      <alignment wrapText="1"/>
    </xf>
    <xf numFmtId="182" fontId="13" fillId="5" borderId="0" xfId="55" applyNumberFormat="1" applyFont="1" applyFill="1" applyAlignment="1">
      <alignment wrapText="1"/>
    </xf>
    <xf numFmtId="0" fontId="17" fillId="0" borderId="0" xfId="55" applyFont="1"/>
    <xf numFmtId="0" fontId="17" fillId="0" borderId="0" xfId="55" applyFont="1" applyAlignment="1">
      <alignment horizontal="center" vertical="center" wrapText="1"/>
    </xf>
    <xf numFmtId="4" fontId="17" fillId="6" borderId="8" xfId="55" applyNumberFormat="1" applyFont="1" applyFill="1" applyBorder="1" applyAlignment="1">
      <alignment horizontal="center" vertical="center" wrapText="1"/>
    </xf>
    <xf numFmtId="0" fontId="17" fillId="0" borderId="6" xfId="55" applyFont="1" applyBorder="1" applyAlignment="1">
      <alignment horizontal="center" vertical="center"/>
    </xf>
    <xf numFmtId="0" fontId="17" fillId="0" borderId="4" xfId="55" applyFont="1" applyBorder="1" applyAlignment="1">
      <alignment horizontal="center" vertical="center"/>
    </xf>
    <xf numFmtId="0" fontId="17" fillId="0" borderId="6" xfId="55" applyFont="1" applyBorder="1" applyAlignment="1">
      <alignment horizontal="center" vertical="center" wrapText="1"/>
    </xf>
    <xf numFmtId="0" fontId="17" fillId="0" borderId="4" xfId="55" applyFont="1" applyBorder="1" applyAlignment="1">
      <alignment horizontal="center" vertical="center" wrapText="1"/>
    </xf>
    <xf numFmtId="0" fontId="11" fillId="6" borderId="9" xfId="53" applyFont="1" applyFill="1" applyBorder="1" applyAlignment="1">
      <alignment horizontal="center" vertical="center" wrapText="1"/>
    </xf>
    <xf numFmtId="0" fontId="11" fillId="6" borderId="10" xfId="53" applyFont="1" applyFill="1" applyBorder="1" applyAlignment="1">
      <alignment horizontal="center" vertical="center" wrapText="1"/>
    </xf>
    <xf numFmtId="0" fontId="12" fillId="0" borderId="6" xfId="55" applyFont="1" applyBorder="1" applyAlignment="1">
      <alignment horizontal="center"/>
    </xf>
    <xf numFmtId="0" fontId="12" fillId="0" borderId="11" xfId="55" applyFont="1" applyBorder="1"/>
    <xf numFmtId="0" fontId="12" fillId="0" borderId="6" xfId="55" applyFont="1" applyBorder="1"/>
    <xf numFmtId="10" fontId="12" fillId="0" borderId="6" xfId="3" applyNumberFormat="1" applyFont="1" applyBorder="1"/>
    <xf numFmtId="0" fontId="12" fillId="0" borderId="4" xfId="55" applyFont="1" applyBorder="1" applyAlignment="1">
      <alignment horizontal="center" vertical="center"/>
    </xf>
    <xf numFmtId="186" fontId="12" fillId="6" borderId="12" xfId="50" applyNumberFormat="1" applyFont="1" applyFill="1" applyBorder="1" applyAlignment="1">
      <alignment horizontal="center" vertical="center" wrapText="1"/>
    </xf>
    <xf numFmtId="186" fontId="12" fillId="6" borderId="6" xfId="50" applyNumberFormat="1" applyFont="1" applyFill="1" applyBorder="1" applyAlignment="1">
      <alignment horizontal="center" vertical="center" wrapText="1"/>
    </xf>
    <xf numFmtId="0" fontId="18" fillId="0" borderId="6" xfId="55" applyFont="1" applyBorder="1" applyAlignment="1">
      <alignment horizontal="center"/>
    </xf>
    <xf numFmtId="0" fontId="18" fillId="0" borderId="0" xfId="55" applyFont="1" applyAlignment="1">
      <alignment horizontal="center"/>
    </xf>
    <xf numFmtId="0" fontId="12" fillId="0" borderId="13" xfId="55" applyFont="1" applyBorder="1"/>
    <xf numFmtId="0" fontId="12" fillId="0" borderId="4" xfId="55" applyFont="1" applyBorder="1"/>
    <xf numFmtId="186" fontId="17" fillId="6" borderId="12" xfId="50" applyNumberFormat="1" applyFont="1" applyFill="1" applyBorder="1" applyAlignment="1">
      <alignment horizontal="center" vertical="center" wrapText="1"/>
    </xf>
    <xf numFmtId="186" fontId="17" fillId="6" borderId="14" xfId="50" applyNumberFormat="1" applyFont="1" applyFill="1" applyBorder="1" applyAlignment="1">
      <alignment horizontal="center" vertical="center" wrapText="1"/>
    </xf>
    <xf numFmtId="0" fontId="17" fillId="0" borderId="0" xfId="55" applyFont="1" applyAlignment="1">
      <alignment horizontal="center"/>
    </xf>
    <xf numFmtId="4" fontId="12" fillId="6" borderId="15" xfId="55" applyNumberFormat="1" applyFont="1" applyFill="1" applyBorder="1" applyAlignment="1">
      <alignment horizontal="center" wrapText="1"/>
    </xf>
    <xf numFmtId="4" fontId="12" fillId="6" borderId="16" xfId="55" applyNumberFormat="1" applyFont="1" applyFill="1" applyBorder="1" applyAlignment="1">
      <alignment horizontal="center" wrapText="1"/>
    </xf>
    <xf numFmtId="0" fontId="17" fillId="0" borderId="0" xfId="55" applyFont="1" applyAlignment="1">
      <alignment horizontal="left"/>
    </xf>
    <xf numFmtId="4" fontId="17" fillId="7" borderId="0" xfId="55" applyNumberFormat="1" applyFont="1" applyFill="1" applyAlignment="1">
      <alignment horizontal="center" wrapText="1"/>
    </xf>
    <xf numFmtId="186" fontId="17" fillId="7" borderId="17" xfId="55" applyNumberFormat="1" applyFont="1" applyFill="1" applyBorder="1" applyAlignment="1">
      <alignment horizontal="center" wrapText="1"/>
    </xf>
    <xf numFmtId="0" fontId="19" fillId="2" borderId="9" xfId="0" applyFont="1" applyFill="1" applyBorder="1" applyAlignment="1">
      <alignment horizontal="center" vertical="center" wrapText="1"/>
    </xf>
    <xf numFmtId="0" fontId="19" fillId="2" borderId="10" xfId="0" applyFont="1" applyFill="1" applyBorder="1" applyAlignment="1">
      <alignment horizontal="center" vertical="center" wrapText="1"/>
    </xf>
    <xf numFmtId="177" fontId="19" fillId="2" borderId="10" xfId="0" applyNumberFormat="1" applyFont="1" applyFill="1" applyBorder="1" applyAlignment="1">
      <alignment horizontal="center" vertical="center" wrapText="1"/>
    </xf>
    <xf numFmtId="0" fontId="19" fillId="0" borderId="12" xfId="0" applyFont="1" applyBorder="1" applyAlignment="1">
      <alignment horizontal="center" wrapText="1"/>
    </xf>
    <xf numFmtId="0" fontId="20" fillId="0" borderId="6" xfId="0" applyFont="1" applyBorder="1" applyAlignment="1">
      <alignment horizontal="center" wrapText="1"/>
    </xf>
    <xf numFmtId="0" fontId="20" fillId="0" borderId="6" xfId="0" applyFont="1" applyBorder="1">
      <alignment wrapText="1"/>
    </xf>
    <xf numFmtId="177" fontId="20" fillId="0" borderId="6" xfId="0" applyNumberFormat="1" applyFont="1" applyBorder="1">
      <alignment wrapText="1"/>
    </xf>
    <xf numFmtId="0" fontId="19" fillId="8" borderId="15" xfId="0" applyFont="1" applyFill="1" applyBorder="1" applyAlignment="1">
      <alignment horizontal="center" wrapText="1"/>
    </xf>
    <xf numFmtId="0" fontId="20" fillId="8" borderId="18" xfId="0" applyFont="1" applyFill="1" applyBorder="1" applyAlignment="1">
      <alignment horizontal="center" wrapText="1"/>
    </xf>
    <xf numFmtId="177" fontId="20" fillId="8" borderId="18" xfId="0" applyNumberFormat="1" applyFont="1" applyFill="1" applyBorder="1" applyAlignment="1">
      <alignment horizontal="center" wrapText="1"/>
    </xf>
    <xf numFmtId="187" fontId="0" fillId="0" borderId="0" xfId="0" applyNumberFormat="1">
      <alignment wrapText="1"/>
    </xf>
    <xf numFmtId="0" fontId="19" fillId="2" borderId="19"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19" fillId="2" borderId="21" xfId="0" applyFont="1" applyFill="1" applyBorder="1" applyAlignment="1">
      <alignment horizontal="center" vertical="center" wrapText="1"/>
    </xf>
    <xf numFmtId="177" fontId="19" fillId="0" borderId="0" xfId="0" applyNumberFormat="1" applyFont="1">
      <alignment wrapText="1"/>
    </xf>
    <xf numFmtId="0" fontId="19" fillId="0" borderId="0" xfId="0" applyFont="1">
      <alignment wrapText="1"/>
    </xf>
    <xf numFmtId="188" fontId="19" fillId="0" borderId="22" xfId="0" applyNumberFormat="1" applyFont="1" applyBorder="1" applyAlignment="1">
      <alignment horizontal="center" wrapText="1"/>
    </xf>
    <xf numFmtId="0" fontId="20" fillId="0" borderId="23" xfId="0" applyFont="1" applyBorder="1" applyAlignment="1">
      <alignment horizontal="center" wrapText="1"/>
    </xf>
    <xf numFmtId="177" fontId="20" fillId="0" borderId="23" xfId="0" applyNumberFormat="1" applyFont="1" applyBorder="1" applyAlignment="1">
      <alignment horizontal="center" wrapText="1"/>
    </xf>
    <xf numFmtId="177" fontId="20" fillId="0" borderId="24" xfId="0" applyNumberFormat="1" applyFont="1" applyBorder="1">
      <alignment wrapText="1"/>
    </xf>
    <xf numFmtId="188" fontId="19" fillId="0" borderId="0" xfId="0" applyNumberFormat="1" applyFont="1">
      <alignment wrapText="1"/>
    </xf>
    <xf numFmtId="188" fontId="19" fillId="0" borderId="25" xfId="0" applyNumberFormat="1" applyFont="1" applyBorder="1" applyAlignment="1">
      <alignment horizontal="center" wrapText="1"/>
    </xf>
    <xf numFmtId="0" fontId="20" fillId="0" borderId="26" xfId="0" applyFont="1" applyBorder="1" applyAlignment="1">
      <alignment horizontal="center" wrapText="1"/>
    </xf>
    <xf numFmtId="177" fontId="20" fillId="0" borderId="26" xfId="0" applyNumberFormat="1" applyFont="1" applyBorder="1" applyAlignment="1">
      <alignment horizontal="center" wrapText="1"/>
    </xf>
    <xf numFmtId="177" fontId="20" fillId="0" borderId="27" xfId="0" applyNumberFormat="1" applyFont="1" applyBorder="1">
      <alignment wrapText="1"/>
    </xf>
    <xf numFmtId="0" fontId="19" fillId="8" borderId="28" xfId="0" applyFont="1" applyFill="1" applyBorder="1" applyAlignment="1">
      <alignment horizontal="center" wrapText="1"/>
    </xf>
    <xf numFmtId="0" fontId="20" fillId="8" borderId="29" xfId="0" applyFont="1" applyFill="1" applyBorder="1" applyAlignment="1">
      <alignment horizontal="center" wrapText="1"/>
    </xf>
    <xf numFmtId="177" fontId="20" fillId="8" borderId="29" xfId="0" applyNumberFormat="1" applyFont="1" applyFill="1" applyBorder="1" applyAlignment="1">
      <alignment horizontal="center" wrapText="1"/>
    </xf>
    <xf numFmtId="177" fontId="20" fillId="8" borderId="30" xfId="0" applyNumberFormat="1" applyFont="1" applyFill="1" applyBorder="1">
      <alignment wrapText="1"/>
    </xf>
    <xf numFmtId="9" fontId="0" fillId="0" borderId="0" xfId="3" applyFont="1" applyAlignment="1">
      <alignment wrapText="1"/>
    </xf>
    <xf numFmtId="0" fontId="19" fillId="9" borderId="31" xfId="0" applyFont="1" applyFill="1" applyBorder="1" applyAlignment="1">
      <alignment horizontal="center" wrapText="1"/>
    </xf>
    <xf numFmtId="0" fontId="19" fillId="9" borderId="32" xfId="0" applyFont="1" applyFill="1" applyBorder="1" applyAlignment="1">
      <alignment horizontal="center" wrapText="1"/>
    </xf>
    <xf numFmtId="0" fontId="0" fillId="0" borderId="9" xfId="0" applyBorder="1">
      <alignment wrapText="1"/>
    </xf>
    <xf numFmtId="177" fontId="0" fillId="0" borderId="33" xfId="0" applyNumberFormat="1" applyBorder="1">
      <alignment wrapText="1"/>
    </xf>
    <xf numFmtId="0" fontId="0" fillId="0" borderId="12" xfId="0" applyBorder="1">
      <alignment wrapText="1"/>
    </xf>
    <xf numFmtId="0" fontId="0" fillId="10" borderId="8" xfId="0" applyFill="1" applyBorder="1">
      <alignment wrapText="1"/>
    </xf>
    <xf numFmtId="177" fontId="0" fillId="10" borderId="34" xfId="0" applyNumberFormat="1" applyFill="1" applyBorder="1">
      <alignment wrapText="1"/>
    </xf>
    <xf numFmtId="177" fontId="0" fillId="0" borderId="35" xfId="0" applyNumberFormat="1" applyBorder="1">
      <alignment wrapText="1"/>
    </xf>
    <xf numFmtId="0" fontId="0" fillId="0" borderId="36" xfId="0" applyBorder="1">
      <alignment wrapText="1"/>
    </xf>
    <xf numFmtId="177" fontId="0" fillId="0" borderId="37" xfId="0" applyNumberFormat="1" applyBorder="1">
      <alignment wrapText="1"/>
    </xf>
    <xf numFmtId="0" fontId="0" fillId="0" borderId="0" xfId="0" applyAlignment="1"/>
    <xf numFmtId="0" fontId="0" fillId="0" borderId="15" xfId="0" applyBorder="1">
      <alignment wrapText="1"/>
    </xf>
    <xf numFmtId="177" fontId="0" fillId="0" borderId="38" xfId="0" applyNumberFormat="1" applyBorder="1">
      <alignment wrapText="1"/>
    </xf>
    <xf numFmtId="181" fontId="0" fillId="4" borderId="38" xfId="3" applyNumberFormat="1" applyFont="1" applyFill="1" applyBorder="1" applyAlignment="1">
      <alignment wrapText="1"/>
    </xf>
    <xf numFmtId="0" fontId="12" fillId="0" borderId="0" xfId="55" applyFont="1" applyAlignment="1">
      <alignment wrapText="1"/>
    </xf>
    <xf numFmtId="3" fontId="12" fillId="0" borderId="0" xfId="55" applyNumberFormat="1" applyFont="1" applyAlignment="1">
      <alignment horizontal="center" wrapText="1"/>
    </xf>
    <xf numFmtId="0" fontId="13" fillId="0" borderId="0" xfId="55" applyFont="1"/>
    <xf numFmtId="182" fontId="13" fillId="0" borderId="0" xfId="55" applyNumberFormat="1" applyFont="1" applyAlignment="1">
      <alignment horizontal="center" wrapText="1"/>
    </xf>
    <xf numFmtId="0" fontId="14" fillId="0" borderId="0" xfId="55" applyFont="1"/>
    <xf numFmtId="4" fontId="17" fillId="6" borderId="39" xfId="55" applyNumberFormat="1" applyFont="1" applyFill="1" applyBorder="1" applyAlignment="1">
      <alignment horizontal="center" vertical="center" wrapText="1"/>
    </xf>
    <xf numFmtId="4" fontId="17" fillId="6" borderId="34" xfId="55" applyNumberFormat="1" applyFont="1" applyFill="1" applyBorder="1" applyAlignment="1">
      <alignment horizontal="center" vertical="center" wrapText="1"/>
    </xf>
    <xf numFmtId="49" fontId="17" fillId="11" borderId="31" xfId="55" applyNumberFormat="1" applyFont="1" applyFill="1" applyBorder="1" applyAlignment="1">
      <alignment horizontal="center" vertical="center" wrapText="1"/>
    </xf>
    <xf numFmtId="49" fontId="17" fillId="11" borderId="40" xfId="55" applyNumberFormat="1" applyFont="1" applyFill="1" applyBorder="1" applyAlignment="1">
      <alignment horizontal="center" vertical="center" wrapText="1"/>
    </xf>
    <xf numFmtId="49" fontId="17" fillId="6" borderId="35" xfId="55" applyNumberFormat="1" applyFont="1" applyFill="1" applyBorder="1" applyAlignment="1">
      <alignment horizontal="center" vertical="center" wrapText="1"/>
    </xf>
    <xf numFmtId="4" fontId="17" fillId="12" borderId="41" xfId="55" applyNumberFormat="1" applyFont="1" applyFill="1" applyBorder="1" applyAlignment="1">
      <alignment horizontal="center" vertical="center" wrapText="1"/>
    </xf>
    <xf numFmtId="4" fontId="17" fillId="12" borderId="42" xfId="55" applyNumberFormat="1" applyFont="1" applyFill="1" applyBorder="1" applyAlignment="1">
      <alignment horizontal="center" vertical="center" wrapText="1"/>
    </xf>
    <xf numFmtId="178" fontId="12" fillId="6" borderId="6" xfId="55" applyNumberFormat="1" applyFont="1" applyFill="1" applyBorder="1" applyAlignment="1">
      <alignment horizontal="center" wrapText="1"/>
    </xf>
    <xf numFmtId="186" fontId="17" fillId="6" borderId="6" xfId="50" applyNumberFormat="1" applyFont="1" applyFill="1" applyBorder="1" applyAlignment="1">
      <alignment horizontal="center" vertical="center" wrapText="1"/>
    </xf>
    <xf numFmtId="186" fontId="17" fillId="6" borderId="33" xfId="2" applyNumberFormat="1" applyFont="1" applyFill="1" applyBorder="1">
      <alignment horizontal="right" vertical="center"/>
    </xf>
    <xf numFmtId="176" fontId="12" fillId="11" borderId="43" xfId="1" applyFont="1" applyFill="1" applyBorder="1" applyAlignment="1">
      <alignment horizontal="center" wrapText="1"/>
    </xf>
    <xf numFmtId="176" fontId="12" fillId="11" borderId="44" xfId="1" applyFont="1" applyFill="1" applyBorder="1" applyAlignment="1">
      <alignment horizontal="center" wrapText="1"/>
    </xf>
    <xf numFmtId="3" fontId="12" fillId="6" borderId="6" xfId="55" applyNumberFormat="1" applyFont="1" applyFill="1" applyBorder="1" applyAlignment="1">
      <alignment horizontal="center" wrapText="1"/>
    </xf>
    <xf numFmtId="4" fontId="12" fillId="6" borderId="18" xfId="55" applyNumberFormat="1" applyFont="1" applyFill="1" applyBorder="1" applyAlignment="1">
      <alignment horizontal="center" wrapText="1"/>
    </xf>
    <xf numFmtId="178" fontId="12" fillId="6" borderId="18" xfId="55" applyNumberFormat="1" applyFont="1" applyFill="1" applyBorder="1" applyAlignment="1">
      <alignment horizontal="center" wrapText="1"/>
    </xf>
    <xf numFmtId="4" fontId="17" fillId="6" borderId="18" xfId="55" applyNumberFormat="1" applyFont="1" applyFill="1" applyBorder="1" applyAlignment="1">
      <alignment horizontal="center" wrapText="1"/>
    </xf>
    <xf numFmtId="4" fontId="17" fillId="6" borderId="38" xfId="55" applyNumberFormat="1" applyFont="1" applyFill="1" applyBorder="1" applyAlignment="1">
      <alignment horizontal="center" wrapText="1"/>
    </xf>
    <xf numFmtId="176" fontId="12" fillId="11" borderId="16" xfId="1" applyFont="1" applyFill="1" applyBorder="1" applyAlignment="1">
      <alignment horizontal="center" wrapText="1"/>
    </xf>
    <xf numFmtId="176" fontId="12" fillId="11" borderId="38" xfId="1" applyFont="1" applyFill="1" applyBorder="1" applyAlignment="1">
      <alignment horizontal="center" wrapText="1"/>
    </xf>
    <xf numFmtId="186" fontId="17" fillId="7" borderId="0" xfId="55" applyNumberFormat="1" applyFont="1" applyFill="1" applyAlignment="1">
      <alignment horizontal="center" wrapText="1"/>
    </xf>
    <xf numFmtId="177" fontId="19" fillId="2" borderId="35" xfId="0" applyNumberFormat="1" applyFont="1" applyFill="1" applyBorder="1" applyAlignment="1">
      <alignment horizontal="center" vertical="center" wrapText="1"/>
    </xf>
    <xf numFmtId="177" fontId="20" fillId="0" borderId="33" xfId="0" applyNumberFormat="1" applyFont="1" applyBorder="1">
      <alignment wrapText="1"/>
    </xf>
    <xf numFmtId="177" fontId="20" fillId="8" borderId="38" xfId="0" applyNumberFormat="1" applyFont="1" applyFill="1" applyBorder="1" applyAlignment="1">
      <alignment horizontal="center" wrapText="1"/>
    </xf>
    <xf numFmtId="189" fontId="12" fillId="0" borderId="0" xfId="55" applyNumberFormat="1" applyFont="1"/>
    <xf numFmtId="186" fontId="17" fillId="0" borderId="0" xfId="55" applyNumberFormat="1" applyFont="1"/>
    <xf numFmtId="2" fontId="18" fillId="0" borderId="0" xfId="55" applyNumberFormat="1" applyFont="1" applyAlignment="1">
      <alignment horizontal="right"/>
    </xf>
    <xf numFmtId="0" fontId="21" fillId="0" borderId="0" xfId="55"/>
    <xf numFmtId="49" fontId="17" fillId="13" borderId="29" xfId="55" applyNumberFormat="1" applyFont="1" applyFill="1" applyBorder="1" applyAlignment="1">
      <alignment horizontal="center" vertical="center" wrapText="1"/>
    </xf>
    <xf numFmtId="49" fontId="17" fillId="11" borderId="45" xfId="55" applyNumberFormat="1" applyFont="1" applyFill="1" applyBorder="1" applyAlignment="1">
      <alignment horizontal="center" vertical="center" wrapText="1"/>
    </xf>
    <xf numFmtId="49" fontId="17" fillId="13" borderId="43" xfId="55" applyNumberFormat="1" applyFont="1" applyFill="1" applyBorder="1" applyAlignment="1">
      <alignment horizontal="center" vertical="center" wrapText="1"/>
    </xf>
    <xf numFmtId="176" fontId="12" fillId="11" borderId="46" xfId="1" applyFont="1" applyFill="1" applyBorder="1" applyAlignment="1">
      <alignment horizontal="center" wrapText="1"/>
    </xf>
    <xf numFmtId="190" fontId="12" fillId="13" borderId="14" xfId="1" applyNumberFormat="1" applyFont="1" applyFill="1" applyBorder="1" applyAlignment="1">
      <alignment horizontal="center" wrapText="1"/>
    </xf>
    <xf numFmtId="181" fontId="12" fillId="13" borderId="14" xfId="3" applyNumberFormat="1" applyFont="1" applyFill="1" applyBorder="1" applyAlignment="1">
      <alignment horizontal="center" wrapText="1"/>
    </xf>
    <xf numFmtId="191" fontId="12" fillId="13" borderId="6" xfId="1" applyNumberFormat="1" applyFont="1" applyFill="1" applyBorder="1" applyAlignment="1">
      <alignment horizontal="center" wrapText="1"/>
    </xf>
    <xf numFmtId="192" fontId="12" fillId="13" borderId="6" xfId="55" applyNumberFormat="1" applyFont="1" applyFill="1" applyBorder="1" applyAlignment="1">
      <alignment horizontal="center" wrapText="1"/>
    </xf>
    <xf numFmtId="181" fontId="12" fillId="13" borderId="6" xfId="3" applyNumberFormat="1" applyFont="1" applyFill="1" applyBorder="1" applyAlignment="1">
      <alignment horizontal="center" wrapText="1"/>
    </xf>
    <xf numFmtId="190" fontId="12" fillId="13" borderId="6" xfId="1" applyNumberFormat="1" applyFont="1" applyFill="1" applyBorder="1" applyAlignment="1">
      <alignment horizontal="center" wrapText="1"/>
    </xf>
    <xf numFmtId="3" fontId="12" fillId="13" borderId="6" xfId="55" applyNumberFormat="1" applyFont="1" applyFill="1" applyBorder="1" applyAlignment="1">
      <alignment horizontal="center" wrapText="1"/>
    </xf>
    <xf numFmtId="176" fontId="12" fillId="13" borderId="14" xfId="1" applyFont="1" applyFill="1" applyBorder="1" applyAlignment="1">
      <alignment horizontal="center" wrapText="1"/>
    </xf>
    <xf numFmtId="9" fontId="12" fillId="13" borderId="14" xfId="3" applyFont="1" applyFill="1" applyBorder="1" applyAlignment="1">
      <alignment horizontal="center" wrapText="1"/>
    </xf>
    <xf numFmtId="176" fontId="12" fillId="13" borderId="6" xfId="1" applyFont="1" applyFill="1" applyBorder="1" applyAlignment="1">
      <alignment horizontal="center" wrapText="1"/>
    </xf>
    <xf numFmtId="176" fontId="12" fillId="11" borderId="47" xfId="1" applyFont="1" applyFill="1" applyBorder="1" applyAlignment="1">
      <alignment horizontal="center" wrapText="1"/>
    </xf>
    <xf numFmtId="2" fontId="17" fillId="7" borderId="0" xfId="55" applyNumberFormat="1" applyFont="1" applyFill="1" applyAlignment="1">
      <alignment horizontal="center" wrapText="1"/>
    </xf>
    <xf numFmtId="9" fontId="17" fillId="7" borderId="0" xfId="3" applyFont="1" applyFill="1" applyAlignment="1">
      <alignment horizontal="center" wrapText="1"/>
    </xf>
    <xf numFmtId="192" fontId="17" fillId="7" borderId="0" xfId="55" applyNumberFormat="1" applyFont="1" applyFill="1" applyAlignment="1">
      <alignment horizontal="center" wrapText="1"/>
    </xf>
    <xf numFmtId="186" fontId="12" fillId="0" borderId="0" xfId="55" applyNumberFormat="1" applyFont="1"/>
    <xf numFmtId="49" fontId="17" fillId="11" borderId="29" xfId="55" applyNumberFormat="1" applyFont="1" applyFill="1" applyBorder="1" applyAlignment="1">
      <alignment horizontal="center" vertical="center" wrapText="1"/>
    </xf>
    <xf numFmtId="49" fontId="17" fillId="13" borderId="48" xfId="55" applyNumberFormat="1" applyFont="1" applyFill="1" applyBorder="1" applyAlignment="1">
      <alignment horizontal="center" vertical="center" wrapText="1"/>
    </xf>
    <xf numFmtId="49" fontId="17" fillId="11" borderId="48" xfId="55" applyNumberFormat="1" applyFont="1" applyFill="1" applyBorder="1" applyAlignment="1">
      <alignment horizontal="center" vertical="center" wrapText="1"/>
    </xf>
    <xf numFmtId="49" fontId="17" fillId="11" borderId="43" xfId="55" applyNumberFormat="1" applyFont="1" applyFill="1" applyBorder="1" applyAlignment="1">
      <alignment horizontal="center" vertical="center" wrapText="1"/>
    </xf>
    <xf numFmtId="2" fontId="12" fillId="13" borderId="6" xfId="55" applyNumberFormat="1" applyFont="1" applyFill="1" applyBorder="1" applyAlignment="1">
      <alignment horizontal="center" wrapText="1"/>
    </xf>
    <xf numFmtId="10" fontId="12" fillId="13" borderId="4" xfId="3" applyNumberFormat="1" applyFont="1" applyFill="1" applyBorder="1" applyAlignment="1">
      <alignment horizontal="center" wrapText="1"/>
    </xf>
    <xf numFmtId="176" fontId="12" fillId="13" borderId="4" xfId="1" applyFont="1" applyFill="1" applyBorder="1" applyAlignment="1">
      <alignment horizontal="center" wrapText="1"/>
    </xf>
    <xf numFmtId="2" fontId="12" fillId="13" borderId="4" xfId="3" applyNumberFormat="1" applyFont="1" applyFill="1" applyBorder="1" applyAlignment="1">
      <alignment horizontal="center" wrapText="1"/>
    </xf>
    <xf numFmtId="2" fontId="12" fillId="13" borderId="4" xfId="55" applyNumberFormat="1" applyFont="1" applyFill="1" applyBorder="1" applyAlignment="1">
      <alignment horizontal="center" wrapText="1"/>
    </xf>
    <xf numFmtId="181" fontId="12" fillId="11" borderId="6" xfId="3" applyNumberFormat="1" applyFont="1" applyFill="1" applyBorder="1" applyAlignment="1">
      <alignment horizontal="center" wrapText="1"/>
    </xf>
    <xf numFmtId="4" fontId="12" fillId="11" borderId="6" xfId="55" applyNumberFormat="1" applyFont="1" applyFill="1" applyBorder="1" applyAlignment="1">
      <alignment horizontal="center" wrapText="1"/>
    </xf>
    <xf numFmtId="193" fontId="12" fillId="11" borderId="6" xfId="55" applyNumberFormat="1" applyFont="1" applyFill="1" applyBorder="1" applyAlignment="1">
      <alignment horizontal="center" wrapText="1"/>
    </xf>
    <xf numFmtId="4" fontId="18" fillId="11" borderId="6" xfId="55" applyNumberFormat="1" applyFont="1" applyFill="1" applyBorder="1"/>
    <xf numFmtId="0" fontId="18" fillId="11" borderId="6" xfId="55" applyFont="1" applyFill="1" applyBorder="1"/>
    <xf numFmtId="0" fontId="12" fillId="13" borderId="6" xfId="50" applyNumberFormat="1" applyFont="1" applyFill="1" applyBorder="1" applyAlignment="1">
      <alignment horizontal="center" wrapText="1"/>
    </xf>
    <xf numFmtId="2" fontId="12" fillId="13" borderId="4" xfId="50" applyNumberFormat="1" applyFont="1" applyFill="1" applyBorder="1" applyAlignment="1">
      <alignment horizontal="center" wrapText="1"/>
    </xf>
    <xf numFmtId="3" fontId="12" fillId="11" borderId="6" xfId="55" applyNumberFormat="1" applyFont="1" applyFill="1" applyBorder="1" applyAlignment="1">
      <alignment horizontal="center" wrapText="1"/>
    </xf>
    <xf numFmtId="4" fontId="11" fillId="7" borderId="0" xfId="55" applyNumberFormat="1" applyFont="1" applyFill="1" applyAlignment="1">
      <alignment horizontal="center" wrapText="1"/>
    </xf>
    <xf numFmtId="2" fontId="12" fillId="0" borderId="0" xfId="55" applyNumberFormat="1" applyFont="1" applyAlignment="1">
      <alignment horizontal="left" indent="1"/>
    </xf>
    <xf numFmtId="2" fontId="22" fillId="0" borderId="0" xfId="55" applyNumberFormat="1" applyFont="1" applyAlignment="1">
      <alignment horizontal="left" vertical="center" wrapText="1" indent="1"/>
    </xf>
    <xf numFmtId="49" fontId="17" fillId="13" borderId="49" xfId="55" applyNumberFormat="1" applyFont="1" applyFill="1" applyBorder="1" applyAlignment="1">
      <alignment horizontal="center" vertical="center" wrapText="1"/>
    </xf>
    <xf numFmtId="2" fontId="12" fillId="11" borderId="6" xfId="50" applyNumberFormat="1" applyFont="1" applyFill="1" applyBorder="1" applyAlignment="1">
      <alignment horizontal="center" wrapText="1"/>
    </xf>
    <xf numFmtId="177" fontId="12" fillId="13" borderId="6" xfId="50" applyFont="1" applyFill="1" applyBorder="1" applyAlignment="1">
      <alignment horizontal="center" wrapText="1"/>
    </xf>
    <xf numFmtId="177" fontId="12" fillId="13" borderId="6" xfId="2" applyFont="1" applyFill="1" applyBorder="1">
      <alignment horizontal="right" vertical="center"/>
    </xf>
    <xf numFmtId="177" fontId="12" fillId="13" borderId="4" xfId="2" applyFont="1" applyFill="1" applyBorder="1">
      <alignment horizontal="right" vertical="center"/>
    </xf>
    <xf numFmtId="178" fontId="12" fillId="13" borderId="4" xfId="55" applyNumberFormat="1" applyFont="1" applyFill="1" applyBorder="1" applyAlignment="1">
      <alignment horizontal="center" wrapText="1"/>
    </xf>
    <xf numFmtId="177" fontId="12" fillId="11" borderId="6" xfId="50" applyFont="1" applyFill="1" applyBorder="1" applyAlignment="1">
      <alignment horizontal="center" wrapText="1"/>
    </xf>
    <xf numFmtId="194" fontId="12" fillId="13" borderId="6" xfId="50" applyNumberFormat="1" applyFont="1" applyFill="1" applyBorder="1" applyAlignment="1">
      <alignment horizontal="center" wrapText="1"/>
    </xf>
    <xf numFmtId="194" fontId="12" fillId="13" borderId="4" xfId="50" applyNumberFormat="1" applyFont="1" applyFill="1" applyBorder="1" applyAlignment="1">
      <alignment horizontal="center" wrapText="1"/>
    </xf>
    <xf numFmtId="177" fontId="12" fillId="13" borderId="4" xfId="50" applyFont="1" applyFill="1" applyBorder="1" applyAlignment="1">
      <alignment horizontal="center" wrapText="1"/>
    </xf>
    <xf numFmtId="177" fontId="11" fillId="7" borderId="0" xfId="2" applyFont="1" applyFill="1">
      <alignment horizontal="right" vertical="center"/>
    </xf>
    <xf numFmtId="177" fontId="17" fillId="7" borderId="0" xfId="55" applyNumberFormat="1" applyFont="1" applyFill="1" applyAlignment="1">
      <alignment horizontal="center" wrapText="1"/>
    </xf>
    <xf numFmtId="177" fontId="22" fillId="0" borderId="0" xfId="2" applyFont="1">
      <alignment horizontal="right" vertical="center"/>
    </xf>
    <xf numFmtId="178" fontId="12" fillId="0" borderId="0" xfId="55" applyNumberFormat="1" applyFont="1"/>
    <xf numFmtId="4" fontId="22" fillId="0" borderId="0" xfId="55" applyNumberFormat="1" applyFont="1" applyAlignment="1">
      <alignment horizontal="left" vertical="center" wrapText="1" indent="1"/>
    </xf>
    <xf numFmtId="4" fontId="22" fillId="0" borderId="0" xfId="55" applyNumberFormat="1" applyFont="1" applyAlignment="1">
      <alignment horizontal="left" wrapText="1" indent="1"/>
    </xf>
    <xf numFmtId="2" fontId="17" fillId="0" borderId="0" xfId="55" applyNumberFormat="1" applyFont="1" applyAlignment="1">
      <alignment horizontal="center"/>
    </xf>
    <xf numFmtId="2" fontId="12" fillId="0" borderId="0" xfId="55" applyNumberFormat="1" applyFont="1" applyAlignment="1">
      <alignment horizontal="center"/>
    </xf>
    <xf numFmtId="0" fontId="12" fillId="0" borderId="0" xfId="55" applyFont="1" applyAlignment="1">
      <alignment horizontal="center"/>
    </xf>
    <xf numFmtId="49" fontId="17" fillId="13" borderId="30" xfId="55" applyNumberFormat="1" applyFont="1" applyFill="1" applyBorder="1" applyAlignment="1">
      <alignment horizontal="center" vertical="center" wrapText="1"/>
    </xf>
    <xf numFmtId="49" fontId="17" fillId="14" borderId="28" xfId="55" applyNumberFormat="1" applyFont="1" applyFill="1" applyBorder="1" applyAlignment="1">
      <alignment horizontal="center" vertical="center" wrapText="1"/>
    </xf>
    <xf numFmtId="49" fontId="17" fillId="14" borderId="29" xfId="55" applyNumberFormat="1" applyFont="1" applyFill="1" applyBorder="1" applyAlignment="1">
      <alignment horizontal="center" vertical="center" wrapText="1"/>
    </xf>
    <xf numFmtId="49" fontId="17" fillId="13" borderId="50" xfId="55" applyNumberFormat="1" applyFont="1" applyFill="1" applyBorder="1" applyAlignment="1">
      <alignment horizontal="center" vertical="center" wrapText="1"/>
    </xf>
    <xf numFmtId="4" fontId="17" fillId="12" borderId="51" xfId="55" applyNumberFormat="1" applyFont="1" applyFill="1" applyBorder="1" applyAlignment="1">
      <alignment horizontal="center" vertical="center" wrapText="1"/>
    </xf>
    <xf numFmtId="49" fontId="17" fillId="14" borderId="45" xfId="55" applyNumberFormat="1" applyFont="1" applyFill="1" applyBorder="1" applyAlignment="1">
      <alignment horizontal="center" vertical="center" wrapText="1"/>
    </xf>
    <xf numFmtId="186" fontId="12" fillId="13" borderId="47" xfId="50" applyNumberFormat="1" applyFont="1" applyFill="1" applyBorder="1" applyAlignment="1">
      <alignment horizontal="center" wrapText="1"/>
    </xf>
    <xf numFmtId="3" fontId="12" fillId="14" borderId="52" xfId="55" applyNumberFormat="1" applyFont="1" applyFill="1" applyBorder="1" applyAlignment="1">
      <alignment horizontal="center" wrapText="1"/>
    </xf>
    <xf numFmtId="3" fontId="12" fillId="14" borderId="46" xfId="55" applyNumberFormat="1" applyFont="1" applyFill="1" applyBorder="1" applyAlignment="1">
      <alignment horizontal="center" wrapText="1"/>
    </xf>
    <xf numFmtId="181" fontId="12" fillId="14" borderId="49" xfId="3" applyNumberFormat="1" applyFont="1" applyFill="1" applyBorder="1" applyAlignment="1">
      <alignment horizontal="center" wrapText="1"/>
    </xf>
    <xf numFmtId="3" fontId="12" fillId="14" borderId="49" xfId="55" applyNumberFormat="1" applyFont="1" applyFill="1" applyBorder="1" applyAlignment="1">
      <alignment horizontal="center" wrapText="1"/>
    </xf>
    <xf numFmtId="4" fontId="12" fillId="14" borderId="49" xfId="55" applyNumberFormat="1" applyFont="1" applyFill="1" applyBorder="1" applyAlignment="1">
      <alignment horizontal="center" wrapText="1"/>
    </xf>
    <xf numFmtId="3" fontId="12" fillId="14" borderId="22" xfId="55" applyNumberFormat="1" applyFont="1" applyFill="1" applyBorder="1" applyAlignment="1">
      <alignment horizontal="center" wrapText="1"/>
    </xf>
    <xf numFmtId="3" fontId="12" fillId="14" borderId="33" xfId="55" applyNumberFormat="1" applyFont="1" applyFill="1" applyBorder="1" applyAlignment="1">
      <alignment horizontal="center" wrapText="1"/>
    </xf>
    <xf numFmtId="3" fontId="12" fillId="14" borderId="47" xfId="55" applyNumberFormat="1" applyFont="1" applyFill="1" applyBorder="1" applyAlignment="1">
      <alignment horizontal="center" wrapText="1"/>
    </xf>
    <xf numFmtId="186" fontId="12" fillId="13" borderId="53" xfId="50" applyNumberFormat="1" applyFont="1" applyFill="1" applyBorder="1" applyAlignment="1">
      <alignment horizontal="center" wrapText="1"/>
    </xf>
    <xf numFmtId="3" fontId="12" fillId="14" borderId="54" xfId="55" applyNumberFormat="1" applyFont="1" applyFill="1" applyBorder="1" applyAlignment="1">
      <alignment horizontal="center" wrapText="1"/>
    </xf>
    <xf numFmtId="3" fontId="12" fillId="14" borderId="38" xfId="55" applyNumberFormat="1" applyFont="1" applyFill="1" applyBorder="1" applyAlignment="1">
      <alignment horizontal="center" wrapText="1"/>
    </xf>
    <xf numFmtId="3" fontId="12" fillId="14" borderId="53" xfId="55" applyNumberFormat="1" applyFont="1" applyFill="1" applyBorder="1" applyAlignment="1">
      <alignment horizontal="center" wrapText="1"/>
    </xf>
    <xf numFmtId="3" fontId="12" fillId="14" borderId="55" xfId="55" applyNumberFormat="1" applyFont="1" applyFill="1" applyBorder="1" applyAlignment="1">
      <alignment horizontal="center" wrapText="1"/>
    </xf>
    <xf numFmtId="186" fontId="11" fillId="7" borderId="0" xfId="2" applyNumberFormat="1" applyFont="1" applyFill="1">
      <alignment horizontal="right" vertical="center"/>
    </xf>
    <xf numFmtId="177" fontId="12" fillId="0" borderId="0" xfId="55" applyNumberFormat="1" applyFont="1" applyAlignment="1">
      <alignment wrapText="1"/>
    </xf>
    <xf numFmtId="3" fontId="12" fillId="0" borderId="0" xfId="55" applyNumberFormat="1" applyFont="1"/>
    <xf numFmtId="49" fontId="17" fillId="15" borderId="29" xfId="55" applyNumberFormat="1" applyFont="1" applyFill="1" applyBorder="1" applyAlignment="1">
      <alignment horizontal="center" vertical="center" wrapText="1"/>
    </xf>
    <xf numFmtId="177" fontId="12" fillId="15" borderId="49" xfId="55" applyNumberFormat="1" applyFont="1" applyFill="1" applyBorder="1" applyAlignment="1">
      <alignment horizontal="center" wrapText="1"/>
    </xf>
    <xf numFmtId="195" fontId="12" fillId="14" borderId="49" xfId="55" applyNumberFormat="1" applyFont="1" applyFill="1" applyBorder="1" applyAlignment="1">
      <alignment horizontal="center" wrapText="1"/>
    </xf>
    <xf numFmtId="3" fontId="12" fillId="15" borderId="49" xfId="55" applyNumberFormat="1" applyFont="1" applyFill="1" applyBorder="1" applyAlignment="1">
      <alignment horizontal="center" wrapText="1"/>
    </xf>
    <xf numFmtId="195" fontId="12" fillId="14" borderId="55" xfId="55" applyNumberFormat="1" applyFont="1" applyFill="1" applyBorder="1" applyAlignment="1">
      <alignment horizontal="center" wrapText="1"/>
    </xf>
    <xf numFmtId="3" fontId="12" fillId="15" borderId="55" xfId="55" applyNumberFormat="1" applyFont="1" applyFill="1" applyBorder="1" applyAlignment="1">
      <alignment horizontal="center" wrapText="1"/>
    </xf>
    <xf numFmtId="2" fontId="17" fillId="7" borderId="0" xfId="2" applyNumberFormat="1" applyFont="1" applyFill="1">
      <alignment horizontal="right" vertical="center"/>
    </xf>
    <xf numFmtId="177" fontId="17" fillId="15" borderId="0" xfId="2" applyFont="1" applyFill="1">
      <alignment horizontal="right" vertical="center"/>
    </xf>
    <xf numFmtId="0" fontId="17" fillId="8" borderId="28" xfId="55" applyFont="1" applyFill="1" applyBorder="1" applyAlignment="1">
      <alignment horizontal="left" vertical="center" indent="1"/>
    </xf>
    <xf numFmtId="0" fontId="17" fillId="8" borderId="29" xfId="55" applyFont="1" applyFill="1" applyBorder="1" applyAlignment="1">
      <alignment horizontal="left" wrapText="1" indent="1"/>
    </xf>
    <xf numFmtId="182" fontId="17" fillId="15" borderId="29" xfId="55" applyNumberFormat="1" applyFont="1" applyFill="1" applyBorder="1" applyAlignment="1">
      <alignment horizontal="center" vertical="center" wrapText="1"/>
    </xf>
    <xf numFmtId="49" fontId="17" fillId="8" borderId="56" xfId="55" applyNumberFormat="1" applyFont="1" applyFill="1" applyBorder="1" applyAlignment="1">
      <alignment horizontal="center" vertical="center" wrapText="1"/>
    </xf>
    <xf numFmtId="49" fontId="17" fillId="8" borderId="57" xfId="55" applyNumberFormat="1" applyFont="1" applyFill="1" applyBorder="1" applyAlignment="1">
      <alignment horizontal="center" vertical="center" wrapText="1"/>
    </xf>
    <xf numFmtId="178" fontId="12" fillId="15" borderId="49" xfId="55" applyNumberFormat="1" applyFont="1" applyFill="1" applyBorder="1" applyAlignment="1">
      <alignment horizontal="center" wrapText="1"/>
    </xf>
    <xf numFmtId="178" fontId="12" fillId="8" borderId="44" xfId="55" applyNumberFormat="1" applyFont="1" applyFill="1" applyBorder="1" applyAlignment="1">
      <alignment horizontal="center" wrapText="1"/>
    </xf>
    <xf numFmtId="178" fontId="12" fillId="8" borderId="48" xfId="55" applyNumberFormat="1" applyFont="1" applyFill="1" applyBorder="1" applyAlignment="1">
      <alignment horizontal="center" wrapText="1"/>
    </xf>
    <xf numFmtId="195" fontId="12" fillId="15" borderId="49" xfId="55" applyNumberFormat="1" applyFont="1" applyFill="1" applyBorder="1" applyAlignment="1">
      <alignment horizontal="center" wrapText="1"/>
    </xf>
    <xf numFmtId="3" fontId="12" fillId="15" borderId="4" xfId="55" applyNumberFormat="1" applyFont="1" applyFill="1" applyBorder="1" applyAlignment="1">
      <alignment horizontal="center" wrapText="1"/>
    </xf>
    <xf numFmtId="3" fontId="12" fillId="8" borderId="12" xfId="55" applyNumberFormat="1" applyFont="1" applyFill="1" applyBorder="1" applyAlignment="1">
      <alignment horizontal="center" wrapText="1"/>
    </xf>
    <xf numFmtId="3" fontId="12" fillId="8" borderId="6" xfId="55" applyNumberFormat="1" applyFont="1" applyFill="1" applyBorder="1" applyAlignment="1">
      <alignment horizontal="center" wrapText="1"/>
    </xf>
    <xf numFmtId="195" fontId="12" fillId="15" borderId="55" xfId="55" applyNumberFormat="1" applyFont="1" applyFill="1" applyBorder="1" applyAlignment="1">
      <alignment horizontal="center" wrapText="1"/>
    </xf>
    <xf numFmtId="178" fontId="12" fillId="15" borderId="55" xfId="55" applyNumberFormat="1" applyFont="1" applyFill="1" applyBorder="1" applyAlignment="1">
      <alignment horizontal="center" wrapText="1"/>
    </xf>
    <xf numFmtId="178" fontId="12" fillId="15" borderId="58" xfId="55" applyNumberFormat="1" applyFont="1" applyFill="1" applyBorder="1" applyAlignment="1">
      <alignment horizontal="center" wrapText="1"/>
    </xf>
    <xf numFmtId="3" fontId="12" fillId="15" borderId="58" xfId="55" applyNumberFormat="1" applyFont="1" applyFill="1" applyBorder="1" applyAlignment="1">
      <alignment horizontal="center" wrapText="1"/>
    </xf>
    <xf numFmtId="3" fontId="12" fillId="8" borderId="15" xfId="55" applyNumberFormat="1" applyFont="1" applyFill="1" applyBorder="1" applyAlignment="1">
      <alignment horizontal="center" wrapText="1"/>
    </xf>
    <xf numFmtId="3" fontId="12" fillId="8" borderId="18" xfId="55" applyNumberFormat="1" applyFont="1" applyFill="1" applyBorder="1" applyAlignment="1">
      <alignment horizontal="center" wrapText="1"/>
    </xf>
    <xf numFmtId="177" fontId="17" fillId="7" borderId="0" xfId="2" applyFont="1" applyFill="1">
      <alignment horizontal="right" vertical="center"/>
    </xf>
    <xf numFmtId="177" fontId="13" fillId="0" borderId="0" xfId="55" applyNumberFormat="1" applyFont="1"/>
    <xf numFmtId="0" fontId="17" fillId="8" borderId="30" xfId="55" applyFont="1" applyFill="1" applyBorder="1" applyAlignment="1">
      <alignment horizontal="left" wrapText="1" indent="1"/>
    </xf>
    <xf numFmtId="177" fontId="17" fillId="3" borderId="30" xfId="55" applyNumberFormat="1" applyFont="1" applyFill="1" applyBorder="1" applyAlignment="1">
      <alignment horizontal="center" vertical="center"/>
    </xf>
    <xf numFmtId="49" fontId="17" fillId="2" borderId="59" xfId="55" applyNumberFormat="1" applyFont="1" applyFill="1" applyBorder="1" applyAlignment="1">
      <alignment horizontal="left" indent="1"/>
    </xf>
    <xf numFmtId="49" fontId="17" fillId="2" borderId="21" xfId="55" applyNumberFormat="1" applyFont="1" applyFill="1" applyBorder="1" applyAlignment="1">
      <alignment horizontal="left" indent="1"/>
    </xf>
    <xf numFmtId="177" fontId="17" fillId="3" borderId="45" xfId="55" applyNumberFormat="1" applyFont="1" applyFill="1" applyBorder="1" applyAlignment="1">
      <alignment horizontal="center" vertical="center" wrapText="1"/>
    </xf>
    <xf numFmtId="0" fontId="17" fillId="0" borderId="16" xfId="55" applyFont="1" applyBorder="1" applyAlignment="1">
      <alignment horizontal="center" vertical="center" wrapText="1"/>
    </xf>
    <xf numFmtId="178" fontId="12" fillId="8" borderId="49" xfId="55" applyNumberFormat="1" applyFont="1" applyFill="1" applyBorder="1" applyAlignment="1">
      <alignment horizontal="center" wrapText="1"/>
    </xf>
    <xf numFmtId="186" fontId="17" fillId="3" borderId="47" xfId="2" applyNumberFormat="1" applyFont="1" applyFill="1" applyBorder="1">
      <alignment horizontal="right" vertical="center"/>
    </xf>
    <xf numFmtId="196" fontId="12" fillId="0" borderId="60" xfId="55" applyNumberFormat="1" applyFont="1" applyBorder="1" applyAlignment="1">
      <alignment horizontal="left" indent="1"/>
    </xf>
    <xf numFmtId="196" fontId="12" fillId="0" borderId="61" xfId="55" applyNumberFormat="1" applyFont="1" applyBorder="1" applyAlignment="1">
      <alignment horizontal="left" indent="1"/>
    </xf>
    <xf numFmtId="0" fontId="12" fillId="0" borderId="6" xfId="55" applyFont="1" applyBorder="1" applyAlignment="1">
      <alignment horizontal="left"/>
    </xf>
    <xf numFmtId="196" fontId="18" fillId="0" borderId="62" xfId="55" applyNumberFormat="1" applyFont="1" applyBorder="1" applyAlignment="1">
      <alignment horizontal="left" indent="1"/>
    </xf>
    <xf numFmtId="196" fontId="18" fillId="0" borderId="63" xfId="55" applyNumberFormat="1" applyFont="1" applyBorder="1" applyAlignment="1">
      <alignment horizontal="left" indent="1"/>
    </xf>
    <xf numFmtId="0" fontId="18" fillId="0" borderId="6" xfId="55" applyFont="1" applyBorder="1" applyAlignment="1">
      <alignment horizontal="left"/>
    </xf>
    <xf numFmtId="196" fontId="12" fillId="0" borderId="62" xfId="55" applyNumberFormat="1" applyFont="1" applyBorder="1" applyAlignment="1">
      <alignment horizontal="left" indent="1"/>
    </xf>
    <xf numFmtId="196" fontId="12" fillId="0" borderId="63" xfId="55" applyNumberFormat="1" applyFont="1" applyBorder="1" applyAlignment="1">
      <alignment horizontal="left" indent="1"/>
    </xf>
    <xf numFmtId="3" fontId="12" fillId="8" borderId="4" xfId="55" applyNumberFormat="1" applyFont="1" applyFill="1" applyBorder="1" applyAlignment="1">
      <alignment horizontal="center" wrapText="1"/>
    </xf>
    <xf numFmtId="177" fontId="17" fillId="3" borderId="47" xfId="2" applyFont="1" applyFill="1" applyBorder="1">
      <alignment horizontal="right" vertical="center"/>
    </xf>
    <xf numFmtId="196" fontId="18" fillId="0" borderId="0" xfId="55" applyNumberFormat="1" applyFont="1" applyAlignment="1">
      <alignment horizontal="left" indent="1"/>
    </xf>
    <xf numFmtId="196" fontId="18" fillId="0" borderId="64" xfId="55" applyNumberFormat="1" applyFont="1" applyBorder="1" applyAlignment="1">
      <alignment horizontal="left" indent="1"/>
    </xf>
    <xf numFmtId="0" fontId="18" fillId="0" borderId="0" xfId="55" applyFont="1" applyAlignment="1">
      <alignment horizontal="left"/>
    </xf>
    <xf numFmtId="3" fontId="12" fillId="8" borderId="58" xfId="55" applyNumberFormat="1" applyFont="1" applyFill="1" applyBorder="1" applyAlignment="1">
      <alignment horizontal="center" wrapText="1"/>
    </xf>
    <xf numFmtId="177" fontId="17" fillId="3" borderId="53" xfId="55" applyNumberFormat="1" applyFont="1" applyFill="1" applyBorder="1" applyAlignment="1">
      <alignment horizontal="center" wrapText="1"/>
    </xf>
    <xf numFmtId="196" fontId="12" fillId="0" borderId="65" xfId="55" applyNumberFormat="1" applyFont="1" applyBorder="1" applyAlignment="1">
      <alignment horizontal="left" indent="1"/>
    </xf>
    <xf numFmtId="196" fontId="12" fillId="0" borderId="66" xfId="55" applyNumberFormat="1" applyFont="1" applyBorder="1" applyAlignment="1">
      <alignment horizontal="left" indent="1"/>
    </xf>
    <xf numFmtId="177" fontId="11" fillId="7" borderId="0" xfId="55" applyNumberFormat="1" applyFont="1" applyFill="1" applyAlignment="1">
      <alignment horizontal="left" indent="1"/>
    </xf>
    <xf numFmtId="0" fontId="17" fillId="0" borderId="0" xfId="55" applyFont="1" applyAlignment="1">
      <alignment horizontal="left" indent="1"/>
    </xf>
    <xf numFmtId="177" fontId="12" fillId="0" borderId="0" xfId="2" applyFont="1">
      <alignment horizontal="right" vertical="center"/>
    </xf>
    <xf numFmtId="4" fontId="23" fillId="0" borderId="0" xfId="55" applyNumberFormat="1" applyFont="1"/>
    <xf numFmtId="1" fontId="12" fillId="0" borderId="0" xfId="55" applyNumberFormat="1" applyFont="1"/>
    <xf numFmtId="0" fontId="8" fillId="0" borderId="0" xfId="55" applyFont="1"/>
    <xf numFmtId="0" fontId="0" fillId="0" borderId="6" xfId="0" applyBorder="1">
      <alignment wrapText="1"/>
    </xf>
    <xf numFmtId="0" fontId="0" fillId="16" borderId="6" xfId="0" applyFill="1" applyBorder="1">
      <alignment wrapText="1"/>
    </xf>
    <xf numFmtId="0" fontId="0" fillId="0" borderId="48" xfId="0" applyBorder="1">
      <alignment wrapText="1"/>
    </xf>
    <xf numFmtId="0" fontId="0" fillId="0" borderId="49" xfId="0" applyBorder="1">
      <alignment wrapText="1"/>
    </xf>
    <xf numFmtId="0" fontId="0" fillId="16" borderId="48" xfId="0" applyFill="1" applyBorder="1">
      <alignment wrapText="1"/>
    </xf>
    <xf numFmtId="9" fontId="0" fillId="0" borderId="48" xfId="3" applyFont="1" applyBorder="1" applyAlignment="1">
      <alignment wrapText="1"/>
    </xf>
    <xf numFmtId="177" fontId="0" fillId="0" borderId="6" xfId="2" applyFont="1" applyBorder="1">
      <alignment horizontal="right" vertical="center"/>
    </xf>
    <xf numFmtId="177" fontId="0" fillId="0" borderId="4" xfId="2" applyFont="1" applyBorder="1">
      <alignment horizontal="right" vertical="center"/>
    </xf>
    <xf numFmtId="177" fontId="0" fillId="16" borderId="6" xfId="2" applyFont="1" applyFill="1" applyBorder="1">
      <alignment horizontal="right" vertical="center"/>
    </xf>
    <xf numFmtId="187" fontId="0" fillId="16" borderId="6" xfId="2" applyNumberFormat="1" applyFont="1" applyFill="1" applyBorder="1">
      <alignment horizontal="right" vertical="center"/>
    </xf>
    <xf numFmtId="0" fontId="24" fillId="0" borderId="0" xfId="57" applyFont="1" applyAlignment="1">
      <alignment horizontal="left" vertical="center" wrapText="1"/>
    </xf>
    <xf numFmtId="0" fontId="12" fillId="0" borderId="0" xfId="57" applyFont="1" applyAlignment="1">
      <alignment horizontal="left" vertical="center"/>
    </xf>
    <xf numFmtId="0" fontId="18" fillId="0" borderId="0" xfId="0" applyFont="1">
      <alignment wrapText="1"/>
    </xf>
    <xf numFmtId="0" fontId="17" fillId="0" borderId="43" xfId="57" applyFont="1" applyBorder="1" applyAlignment="1">
      <alignment horizontal="left" vertical="center" wrapText="1"/>
    </xf>
    <xf numFmtId="0" fontId="17" fillId="0" borderId="48" xfId="57" applyFont="1" applyBorder="1" applyAlignment="1">
      <alignment horizontal="left" vertical="center" wrapText="1"/>
    </xf>
    <xf numFmtId="58" fontId="11" fillId="0" borderId="48" xfId="0" applyNumberFormat="1" applyFont="1" applyBorder="1">
      <alignment wrapText="1"/>
    </xf>
    <xf numFmtId="58" fontId="11" fillId="0" borderId="49" xfId="0" applyNumberFormat="1" applyFont="1" applyBorder="1">
      <alignment wrapText="1"/>
    </xf>
    <xf numFmtId="0" fontId="12" fillId="0" borderId="14" xfId="57" applyFont="1" applyBorder="1" applyAlignment="1">
      <alignment horizontal="left" vertical="center"/>
    </xf>
    <xf numFmtId="0" fontId="12" fillId="0" borderId="6" xfId="57" applyFont="1" applyBorder="1" applyAlignment="1">
      <alignment horizontal="left" vertical="center"/>
    </xf>
    <xf numFmtId="0" fontId="25" fillId="0" borderId="6" xfId="0" applyFont="1" applyBorder="1">
      <alignment wrapText="1"/>
    </xf>
    <xf numFmtId="3" fontId="12" fillId="14" borderId="6" xfId="57" applyNumberFormat="1" applyFont="1" applyFill="1" applyBorder="1" applyAlignment="1">
      <alignment horizontal="center" wrapText="1"/>
    </xf>
    <xf numFmtId="3" fontId="12" fillId="14" borderId="4" xfId="57" applyNumberFormat="1" applyFont="1" applyFill="1" applyBorder="1" applyAlignment="1">
      <alignment horizontal="center" wrapText="1"/>
    </xf>
    <xf numFmtId="0" fontId="12" fillId="4" borderId="6" xfId="57" applyFont="1" applyFill="1" applyBorder="1"/>
    <xf numFmtId="0" fontId="12" fillId="17" borderId="6" xfId="57" applyFont="1" applyFill="1" applyBorder="1"/>
    <xf numFmtId="3" fontId="12" fillId="14" borderId="4" xfId="57" applyNumberFormat="1" applyFont="1" applyFill="1" applyBorder="1" applyAlignment="1">
      <alignment horizontal="center" vertical="center" wrapText="1"/>
    </xf>
    <xf numFmtId="0" fontId="24" fillId="0" borderId="14" xfId="57" applyFont="1" applyBorder="1" applyAlignment="1">
      <alignment horizontal="left" vertical="center" wrapText="1"/>
    </xf>
    <xf numFmtId="0" fontId="18" fillId="14" borderId="6" xfId="57" applyFont="1" applyFill="1" applyBorder="1"/>
    <xf numFmtId="3" fontId="12" fillId="14" borderId="6" xfId="57" applyNumberFormat="1" applyFont="1" applyFill="1" applyBorder="1" applyAlignment="1">
      <alignment horizontal="center" vertical="center" wrapText="1"/>
    </xf>
    <xf numFmtId="192" fontId="12" fillId="14" borderId="6" xfId="57" applyNumberFormat="1" applyFont="1" applyFill="1" applyBorder="1" applyAlignment="1">
      <alignment horizontal="center" wrapText="1"/>
    </xf>
    <xf numFmtId="192" fontId="12" fillId="14" borderId="4" xfId="57" applyNumberFormat="1" applyFont="1" applyFill="1" applyBorder="1" applyAlignment="1">
      <alignment horizontal="center" wrapText="1"/>
    </xf>
    <xf numFmtId="0" fontId="24" fillId="0" borderId="14" xfId="55" applyFont="1" applyBorder="1" applyAlignment="1">
      <alignment horizontal="left" vertical="center" wrapText="1"/>
    </xf>
    <xf numFmtId="0" fontId="24" fillId="0" borderId="67" xfId="55" applyFont="1" applyBorder="1" applyAlignment="1">
      <alignment horizontal="left" vertical="center" wrapText="1"/>
    </xf>
    <xf numFmtId="0" fontId="25" fillId="0" borderId="6" xfId="0" applyFont="1" applyBorder="1" applyAlignment="1"/>
    <xf numFmtId="0" fontId="12" fillId="0" borderId="6" xfId="0" applyFont="1" applyBorder="1" applyAlignment="1"/>
    <xf numFmtId="3" fontId="18" fillId="14" borderId="6" xfId="57" applyNumberFormat="1" applyFont="1" applyFill="1" applyBorder="1" applyAlignment="1">
      <alignment horizontal="center" wrapText="1"/>
    </xf>
    <xf numFmtId="58" fontId="19" fillId="0" borderId="0" xfId="0" applyNumberFormat="1" applyFont="1">
      <alignment wrapText="1"/>
    </xf>
    <xf numFmtId="3" fontId="18" fillId="14" borderId="48" xfId="57" applyNumberFormat="1" applyFont="1" applyFill="1" applyBorder="1" applyAlignment="1">
      <alignment horizontal="center" wrapText="1"/>
    </xf>
    <xf numFmtId="3" fontId="18" fillId="14" borderId="6" xfId="57" applyNumberFormat="1" applyFont="1" applyFill="1" applyBorder="1" applyAlignment="1">
      <alignment horizontal="center" vertical="center" wrapText="1"/>
    </xf>
    <xf numFmtId="192" fontId="18" fillId="14" borderId="6" xfId="57" applyNumberFormat="1" applyFont="1" applyFill="1" applyBorder="1" applyAlignment="1">
      <alignment horizontal="center" wrapText="1"/>
    </xf>
    <xf numFmtId="0" fontId="12" fillId="4" borderId="14" xfId="57" applyFont="1" applyFill="1" applyBorder="1" applyAlignment="1">
      <alignment horizontal="left" vertical="center"/>
    </xf>
    <xf numFmtId="0" fontId="18" fillId="0" borderId="6" xfId="57" applyFont="1" applyBorder="1"/>
    <xf numFmtId="3" fontId="12" fillId="18" borderId="6" xfId="57" applyNumberFormat="1" applyFont="1" applyFill="1" applyBorder="1" applyAlignment="1">
      <alignment horizontal="center" wrapText="1"/>
    </xf>
    <xf numFmtId="0" fontId="18" fillId="4" borderId="6" xfId="57" applyFont="1" applyFill="1" applyBorder="1"/>
    <xf numFmtId="0" fontId="25" fillId="4" borderId="6" xfId="0" applyFont="1" applyFill="1" applyBorder="1" applyAlignment="1"/>
    <xf numFmtId="0" fontId="25" fillId="4" borderId="6" xfId="0" applyFont="1" applyFill="1" applyBorder="1">
      <alignment wrapText="1"/>
    </xf>
    <xf numFmtId="0" fontId="25" fillId="4" borderId="6" xfId="57" applyFont="1" applyFill="1" applyBorder="1"/>
    <xf numFmtId="0" fontId="24" fillId="0" borderId="14" xfId="0" applyFont="1" applyBorder="1" applyAlignment="1">
      <alignment horizontal="left" vertical="center" wrapText="1"/>
    </xf>
    <xf numFmtId="0" fontId="12" fillId="0" borderId="67" xfId="57" applyFont="1" applyBorder="1" applyAlignment="1">
      <alignment horizontal="left" vertical="center"/>
    </xf>
    <xf numFmtId="0" fontId="12" fillId="0" borderId="1" xfId="57" applyFont="1" applyBorder="1" applyAlignment="1">
      <alignment horizontal="left" vertical="center"/>
    </xf>
    <xf numFmtId="0" fontId="12" fillId="4" borderId="1" xfId="57" applyFont="1" applyFill="1" applyBorder="1"/>
    <xf numFmtId="0" fontId="24" fillId="0" borderId="67" xfId="57" applyFont="1" applyBorder="1" applyAlignment="1">
      <alignment horizontal="left" vertical="center" wrapText="1"/>
    </xf>
    <xf numFmtId="0" fontId="25" fillId="4" borderId="1" xfId="57" applyFont="1" applyFill="1" applyBorder="1"/>
    <xf numFmtId="0" fontId="26" fillId="0" borderId="0" xfId="0" applyFont="1">
      <alignment wrapText="1"/>
    </xf>
    <xf numFmtId="0" fontId="20" fillId="0" borderId="0" xfId="0" applyFont="1">
      <alignment wrapText="1"/>
    </xf>
    <xf numFmtId="2" fontId="18" fillId="5" borderId="6" xfId="0" applyNumberFormat="1" applyFont="1" applyFill="1" applyBorder="1">
      <alignment wrapText="1"/>
    </xf>
    <xf numFmtId="0" fontId="27" fillId="0" borderId="0" xfId="57" applyFont="1" applyAlignment="1">
      <alignment horizontal="left" vertical="center" wrapText="1"/>
    </xf>
    <xf numFmtId="0" fontId="21" fillId="0" borderId="0" xfId="57" applyAlignment="1">
      <alignment horizontal="left" vertical="center"/>
    </xf>
    <xf numFmtId="0" fontId="8" fillId="0" borderId="43" xfId="57" applyFont="1" applyBorder="1" applyAlignment="1">
      <alignment horizontal="left" vertical="center" wrapText="1"/>
    </xf>
    <xf numFmtId="0" fontId="23" fillId="0" borderId="48" xfId="57" applyFont="1" applyBorder="1" applyAlignment="1">
      <alignment horizontal="left" vertical="center" wrapText="1"/>
    </xf>
    <xf numFmtId="58" fontId="0" fillId="0" borderId="48" xfId="0" applyNumberFormat="1" applyBorder="1">
      <alignment wrapText="1"/>
    </xf>
    <xf numFmtId="58" fontId="0" fillId="0" borderId="49" xfId="0" applyNumberFormat="1" applyBorder="1">
      <alignment wrapText="1"/>
    </xf>
    <xf numFmtId="197" fontId="12" fillId="0" borderId="14" xfId="57" applyNumberFormat="1" applyFont="1" applyBorder="1" applyAlignment="1">
      <alignment horizontal="left" vertical="center"/>
    </xf>
    <xf numFmtId="197" fontId="12" fillId="0" borderId="6" xfId="57" applyNumberFormat="1" applyFont="1" applyBorder="1" applyAlignment="1">
      <alignment horizontal="left" vertical="center"/>
    </xf>
    <xf numFmtId="1" fontId="25" fillId="0" borderId="6" xfId="0" applyNumberFormat="1" applyFont="1" applyBorder="1">
      <alignment wrapText="1"/>
    </xf>
    <xf numFmtId="197" fontId="12" fillId="11" borderId="6" xfId="1" applyNumberFormat="1" applyFont="1" applyFill="1" applyBorder="1" applyAlignment="1">
      <alignment horizontal="center" vertical="center" wrapText="1"/>
    </xf>
    <xf numFmtId="197" fontId="12" fillId="11" borderId="6" xfId="57" applyNumberFormat="1" applyFont="1" applyFill="1" applyBorder="1" applyAlignment="1">
      <alignment horizontal="center" vertical="center" wrapText="1"/>
    </xf>
    <xf numFmtId="197" fontId="12" fillId="11" borderId="4" xfId="57" applyNumberFormat="1" applyFont="1" applyFill="1" applyBorder="1" applyAlignment="1">
      <alignment horizontal="center" vertical="center" wrapText="1"/>
    </xf>
    <xf numFmtId="1" fontId="12" fillId="0" borderId="6" xfId="57" applyNumberFormat="1" applyFont="1" applyBorder="1"/>
    <xf numFmtId="197" fontId="24" fillId="0" borderId="14" xfId="57" applyNumberFormat="1" applyFont="1" applyBorder="1" applyAlignment="1">
      <alignment horizontal="left" vertical="center" wrapText="1"/>
    </xf>
    <xf numFmtId="197" fontId="24" fillId="0" borderId="14" xfId="55" applyNumberFormat="1" applyFont="1" applyBorder="1" applyAlignment="1">
      <alignment horizontal="left" vertical="center" wrapText="1"/>
    </xf>
    <xf numFmtId="197" fontId="12" fillId="11" borderId="4" xfId="1" applyNumberFormat="1" applyFont="1" applyFill="1" applyBorder="1" applyAlignment="1">
      <alignment horizontal="center" vertical="center" wrapText="1"/>
    </xf>
    <xf numFmtId="197" fontId="24" fillId="0" borderId="67" xfId="55" applyNumberFormat="1" applyFont="1" applyBorder="1" applyAlignment="1">
      <alignment horizontal="left" vertical="center" wrapText="1"/>
    </xf>
    <xf numFmtId="1" fontId="25" fillId="0" borderId="6" xfId="0" applyNumberFormat="1" applyFont="1" applyBorder="1" applyAlignment="1"/>
    <xf numFmtId="1" fontId="12" fillId="0" borderId="6" xfId="0" applyNumberFormat="1" applyFont="1" applyBorder="1" applyAlignment="1"/>
    <xf numFmtId="197" fontId="12" fillId="19" borderId="4" xfId="57" applyNumberFormat="1" applyFont="1" applyFill="1" applyBorder="1" applyAlignment="1">
      <alignment horizontal="center" vertical="center" wrapText="1"/>
    </xf>
    <xf numFmtId="197" fontId="12" fillId="9" borderId="4" xfId="1" applyNumberFormat="1" applyFont="1" applyFill="1" applyBorder="1" applyAlignment="1">
      <alignment horizontal="center" vertical="center" wrapText="1"/>
    </xf>
    <xf numFmtId="197" fontId="18" fillId="5" borderId="6" xfId="0" applyNumberFormat="1" applyFont="1" applyFill="1" applyBorder="1">
      <alignment wrapText="1"/>
    </xf>
    <xf numFmtId="1" fontId="28" fillId="0" borderId="0" xfId="0" applyNumberFormat="1" applyFont="1">
      <alignment wrapText="1"/>
    </xf>
    <xf numFmtId="1" fontId="18" fillId="0" borderId="6" xfId="57" applyNumberFormat="1" applyFont="1" applyBorder="1"/>
    <xf numFmtId="0" fontId="28" fillId="0" borderId="0" xfId="0" applyFont="1">
      <alignment wrapText="1"/>
    </xf>
    <xf numFmtId="1" fontId="25" fillId="4" borderId="6" xfId="0" applyNumberFormat="1" applyFont="1" applyFill="1" applyBorder="1" applyAlignment="1"/>
    <xf numFmtId="1" fontId="18" fillId="4" borderId="6" xfId="57" applyNumberFormat="1" applyFont="1" applyFill="1" applyBorder="1"/>
    <xf numFmtId="197" fontId="12" fillId="16" borderId="4" xfId="1" applyNumberFormat="1" applyFont="1" applyFill="1" applyBorder="1" applyAlignment="1">
      <alignment horizontal="center" vertical="center" wrapText="1"/>
    </xf>
    <xf numFmtId="1" fontId="12" fillId="4" borderId="6" xfId="57" applyNumberFormat="1" applyFont="1" applyFill="1" applyBorder="1"/>
    <xf numFmtId="1" fontId="25" fillId="4" borderId="6" xfId="0" applyNumberFormat="1" applyFont="1" applyFill="1" applyBorder="1">
      <alignment wrapText="1"/>
    </xf>
    <xf numFmtId="197" fontId="24" fillId="0" borderId="14" xfId="0" applyNumberFormat="1" applyFont="1" applyBorder="1" applyAlignment="1">
      <alignment horizontal="left" vertical="center" wrapText="1"/>
    </xf>
    <xf numFmtId="1" fontId="25" fillId="4" borderId="6" xfId="57" applyNumberFormat="1" applyFont="1" applyFill="1" applyBorder="1"/>
    <xf numFmtId="1" fontId="29" fillId="4" borderId="6" xfId="57" applyNumberFormat="1" applyFont="1" applyFill="1" applyBorder="1"/>
    <xf numFmtId="197" fontId="12" fillId="20" borderId="6" xfId="1" applyNumberFormat="1" applyFont="1" applyFill="1" applyBorder="1" applyAlignment="1">
      <alignment horizontal="center" vertical="center" wrapText="1"/>
    </xf>
    <xf numFmtId="197" fontId="12" fillId="0" borderId="67" xfId="57" applyNumberFormat="1" applyFont="1" applyBorder="1" applyAlignment="1">
      <alignment horizontal="left" vertical="center"/>
    </xf>
    <xf numFmtId="197" fontId="12" fillId="0" borderId="1" xfId="57" applyNumberFormat="1" applyFont="1" applyBorder="1" applyAlignment="1">
      <alignment horizontal="left" vertical="center"/>
    </xf>
    <xf numFmtId="197" fontId="12" fillId="11" borderId="1" xfId="1" applyNumberFormat="1" applyFont="1" applyFill="1" applyBorder="1" applyAlignment="1">
      <alignment horizontal="center" vertical="center" wrapText="1"/>
    </xf>
    <xf numFmtId="1" fontId="25" fillId="0" borderId="1" xfId="57" applyNumberFormat="1" applyFont="1" applyBorder="1"/>
    <xf numFmtId="197" fontId="12" fillId="0" borderId="4" xfId="1" applyNumberFormat="1" applyFont="1" applyFill="1" applyBorder="1" applyAlignment="1">
      <alignment horizontal="center" vertical="center" wrapText="1"/>
    </xf>
    <xf numFmtId="197" fontId="12" fillId="11" borderId="4" xfId="1" applyNumberFormat="1" applyFont="1" applyFill="1" applyBorder="1" applyAlignment="1">
      <alignment horizontal="center" wrapText="1"/>
    </xf>
    <xf numFmtId="1" fontId="0" fillId="0" borderId="0" xfId="0" applyNumberFormat="1">
      <alignment wrapText="1"/>
    </xf>
    <xf numFmtId="0" fontId="0" fillId="0" borderId="0" xfId="0" applyAlignment="1">
      <alignment horizontal="center" wrapText="1"/>
    </xf>
    <xf numFmtId="0" fontId="19" fillId="0" borderId="0" xfId="0" applyFont="1" applyAlignment="1">
      <alignment horizontal="center" vertical="center" wrapText="1"/>
    </xf>
    <xf numFmtId="177" fontId="19" fillId="0" borderId="0" xfId="0" applyNumberFormat="1" applyFont="1" applyAlignment="1">
      <alignment horizontal="center" vertical="center" wrapText="1"/>
    </xf>
    <xf numFmtId="0" fontId="23" fillId="0" borderId="0" xfId="55" applyFont="1" applyAlignment="1">
      <alignment horizontal="left" vertical="center" wrapText="1"/>
    </xf>
    <xf numFmtId="198" fontId="21" fillId="0" borderId="0" xfId="55" applyNumberFormat="1" applyFont="1" applyAlignment="1">
      <alignment horizontal="left" vertical="center"/>
    </xf>
    <xf numFmtId="0" fontId="30" fillId="0" borderId="0" xfId="55" applyFont="1" applyAlignment="1">
      <alignment horizontal="left" vertical="center" wrapText="1"/>
    </xf>
    <xf numFmtId="0" fontId="21" fillId="0" borderId="0" xfId="55" applyFont="1" applyAlignment="1">
      <alignment horizontal="left" vertical="center"/>
    </xf>
    <xf numFmtId="1" fontId="30" fillId="0" borderId="0" xfId="55" applyNumberFormat="1" applyFont="1" applyAlignment="1">
      <alignment horizontal="center" vertical="center" wrapText="1"/>
    </xf>
    <xf numFmtId="181" fontId="30" fillId="0" borderId="0" xfId="3" applyNumberFormat="1" applyFont="1" applyAlignment="1">
      <alignment horizontal="center" vertical="center" wrapText="1"/>
    </xf>
    <xf numFmtId="191" fontId="21" fillId="0" borderId="0" xfId="1" applyNumberFormat="1" applyFont="1" applyAlignment="1">
      <alignment horizontal="left" vertical="center"/>
    </xf>
    <xf numFmtId="198" fontId="23" fillId="0" borderId="0" xfId="55" applyNumberFormat="1" applyFont="1" applyAlignment="1">
      <alignment horizontal="center" vertical="center"/>
    </xf>
    <xf numFmtId="198" fontId="30" fillId="0" borderId="0" xfId="55" applyNumberFormat="1" applyFont="1" applyAlignment="1">
      <alignment horizontal="left" vertical="center"/>
    </xf>
    <xf numFmtId="49" fontId="21" fillId="0" borderId="0" xfId="55" applyNumberFormat="1" applyFont="1" applyAlignment="1">
      <alignment horizontal="left" vertical="center"/>
    </xf>
    <xf numFmtId="198" fontId="31" fillId="0" borderId="0" xfId="6" applyNumberFormat="1" applyFont="1" applyAlignment="1">
      <alignment wrapText="1"/>
    </xf>
    <xf numFmtId="199" fontId="30" fillId="0" borderId="0" xfId="55" applyNumberFormat="1" applyFont="1" applyAlignment="1">
      <alignment horizontal="left" vertical="center" wrapText="1"/>
    </xf>
    <xf numFmtId="200" fontId="21" fillId="0" borderId="0" xfId="55" applyNumberFormat="1" applyFont="1" applyAlignment="1">
      <alignment horizontal="left" vertical="center"/>
    </xf>
    <xf numFmtId="0" fontId="6" fillId="0" borderId="0" xfId="0" applyFont="1" applyAlignment="1">
      <alignment horizontal="left" vertical="center" wrapText="1"/>
    </xf>
    <xf numFmtId="0" fontId="30" fillId="0" borderId="0" xfId="0" applyFont="1" applyAlignment="1">
      <alignment horizontal="left" vertical="center" wrapText="1"/>
    </xf>
    <xf numFmtId="0" fontId="32" fillId="0" borderId="68" xfId="55" applyFont="1" applyBorder="1"/>
    <xf numFmtId="0" fontId="12" fillId="16" borderId="14" xfId="57" applyFont="1" applyFill="1" applyBorder="1" applyAlignment="1">
      <alignment horizontal="left" vertical="center"/>
    </xf>
    <xf numFmtId="0" fontId="12" fillId="16" borderId="6" xfId="57" applyFont="1" applyFill="1" applyBorder="1" applyAlignment="1">
      <alignment horizontal="left" vertical="center"/>
    </xf>
    <xf numFmtId="0" fontId="12" fillId="16" borderId="6" xfId="57" applyFont="1" applyFill="1" applyBorder="1"/>
    <xf numFmtId="181" fontId="23" fillId="0" borderId="0" xfId="3" applyNumberFormat="1" applyFont="1" applyAlignment="1">
      <alignment horizontal="left" vertical="center" wrapText="1"/>
    </xf>
    <xf numFmtId="191" fontId="23" fillId="0" borderId="0" xfId="1" applyNumberFormat="1" applyFont="1" applyAlignment="1">
      <alignment horizontal="left" vertical="center" wrapText="1"/>
    </xf>
    <xf numFmtId="1" fontId="6" fillId="0" borderId="0" xfId="61" applyNumberFormat="1" applyFont="1" applyAlignment="1">
      <alignment horizontal="center" vertical="center"/>
    </xf>
    <xf numFmtId="181" fontId="6" fillId="0" borderId="0" xfId="3" applyNumberFormat="1" applyFont="1" applyAlignment="1">
      <alignment horizontal="center" vertical="center"/>
    </xf>
    <xf numFmtId="198" fontId="21" fillId="0" borderId="0" xfId="55" applyNumberFormat="1" applyFont="1" applyAlignment="1">
      <alignment horizontal="center"/>
    </xf>
    <xf numFmtId="1" fontId="30" fillId="0" borderId="0" xfId="61" applyNumberFormat="1" applyFont="1" applyAlignment="1">
      <alignment horizontal="center" vertical="center" wrapText="1"/>
    </xf>
    <xf numFmtId="0" fontId="21" fillId="0" borderId="0" xfId="55" applyFont="1" applyAlignment="1">
      <alignment horizontal="center" vertical="center"/>
    </xf>
    <xf numFmtId="181" fontId="21" fillId="0" borderId="0" xfId="3" applyNumberFormat="1" applyFont="1" applyAlignment="1">
      <alignment horizontal="center" vertical="center"/>
    </xf>
    <xf numFmtId="0" fontId="21" fillId="21" borderId="0" xfId="55" applyFont="1" applyFill="1" applyAlignment="1">
      <alignment horizontal="left" vertical="center"/>
    </xf>
    <xf numFmtId="1" fontId="6" fillId="9" borderId="0" xfId="61" applyNumberFormat="1" applyFont="1" applyFill="1" applyAlignment="1">
      <alignment horizontal="center" vertical="center"/>
    </xf>
    <xf numFmtId="181" fontId="6" fillId="0" borderId="0" xfId="3" applyNumberFormat="1" applyFont="1" applyFill="1" applyAlignment="1">
      <alignment horizontal="center" vertical="center"/>
    </xf>
    <xf numFmtId="191" fontId="21" fillId="9" borderId="0" xfId="1" applyNumberFormat="1" applyFont="1" applyFill="1" applyAlignment="1">
      <alignment horizontal="left" vertical="center"/>
    </xf>
    <xf numFmtId="1" fontId="6" fillId="0" borderId="0" xfId="61" applyNumberFormat="1" applyFont="1" applyFill="1" applyAlignment="1">
      <alignment horizontal="center" vertical="center"/>
    </xf>
    <xf numFmtId="1" fontId="32" fillId="0" borderId="69" xfId="0" applyNumberFormat="1" applyFont="1" applyBorder="1" applyAlignment="1">
      <alignment horizontal="center"/>
    </xf>
    <xf numFmtId="181" fontId="32" fillId="0" borderId="0" xfId="3" applyNumberFormat="1" applyFont="1" applyBorder="1" applyAlignment="1">
      <alignment horizontal="center"/>
    </xf>
    <xf numFmtId="198" fontId="33" fillId="0" borderId="0" xfId="0" applyNumberFormat="1" applyFont="1">
      <alignment wrapText="1"/>
    </xf>
    <xf numFmtId="0" fontId="23" fillId="22" borderId="70" xfId="55" applyFont="1" applyFill="1" applyBorder="1" applyAlignment="1">
      <alignment horizontal="left" vertical="center" wrapText="1"/>
    </xf>
    <xf numFmtId="58" fontId="23" fillId="0" borderId="0" xfId="55" applyNumberFormat="1" applyFont="1" applyAlignment="1">
      <alignment horizontal="left" vertical="center" wrapText="1"/>
    </xf>
    <xf numFmtId="198" fontId="34" fillId="0" borderId="0" xfId="55" applyNumberFormat="1" applyFont="1" applyAlignment="1">
      <alignment horizontal="left" vertical="center"/>
    </xf>
    <xf numFmtId="198" fontId="23" fillId="0" borderId="0" xfId="55" applyNumberFormat="1" applyFont="1" applyAlignment="1">
      <alignment horizontal="left" vertical="center"/>
    </xf>
    <xf numFmtId="58" fontId="21" fillId="0" borderId="0" xfId="55" applyNumberFormat="1" applyFont="1" applyAlignment="1">
      <alignment horizontal="left" vertical="center"/>
    </xf>
    <xf numFmtId="0" fontId="12" fillId="12" borderId="6" xfId="57" applyFont="1" applyFill="1" applyBorder="1"/>
    <xf numFmtId="0" fontId="18" fillId="12" borderId="6" xfId="57" applyFont="1" applyFill="1" applyBorder="1"/>
    <xf numFmtId="0" fontId="25" fillId="16" borderId="6" xfId="0" applyFont="1" applyFill="1" applyBorder="1" applyAlignment="1"/>
    <xf numFmtId="0" fontId="21" fillId="4" borderId="0" xfId="55" applyFont="1" applyFill="1" applyAlignment="1">
      <alignment horizontal="left" vertical="center"/>
    </xf>
    <xf numFmtId="1" fontId="32" fillId="4" borderId="69" xfId="0" applyNumberFormat="1" applyFont="1" applyFill="1" applyBorder="1" applyAlignment="1">
      <alignment horizontal="center"/>
    </xf>
    <xf numFmtId="181" fontId="32" fillId="4" borderId="0" xfId="3" applyNumberFormat="1" applyFont="1" applyFill="1" applyBorder="1" applyAlignment="1">
      <alignment horizontal="center"/>
    </xf>
    <xf numFmtId="191" fontId="21" fillId="4" borderId="0" xfId="1" applyNumberFormat="1" applyFont="1" applyFill="1" applyAlignment="1">
      <alignment horizontal="left" vertical="center"/>
    </xf>
    <xf numFmtId="198" fontId="21" fillId="4" borderId="0" xfId="55" applyNumberFormat="1" applyFont="1" applyFill="1" applyAlignment="1">
      <alignment horizontal="left" vertical="center"/>
    </xf>
    <xf numFmtId="1" fontId="32" fillId="0" borderId="71" xfId="0" applyNumberFormat="1" applyFont="1" applyBorder="1" applyAlignment="1">
      <alignment horizontal="center"/>
    </xf>
    <xf numFmtId="1" fontId="30" fillId="0" borderId="0" xfId="0" applyNumberFormat="1" applyFont="1" applyAlignment="1">
      <alignment horizontal="center" vertical="center" wrapText="1"/>
    </xf>
    <xf numFmtId="181" fontId="30" fillId="0" borderId="0" xfId="3" applyNumberFormat="1" applyFont="1" applyBorder="1" applyAlignment="1">
      <alignment horizontal="center" vertical="center" wrapText="1"/>
    </xf>
    <xf numFmtId="1" fontId="32" fillId="0" borderId="0" xfId="0" applyNumberFormat="1" applyFont="1" applyAlignment="1">
      <alignment horizontal="center" vertical="center"/>
    </xf>
    <xf numFmtId="181" fontId="32" fillId="0" borderId="0" xfId="3" applyNumberFormat="1" applyFont="1" applyAlignment="1">
      <alignment horizontal="center" vertical="center"/>
    </xf>
    <xf numFmtId="49" fontId="21" fillId="4" borderId="0" xfId="55" applyNumberFormat="1" applyFont="1" applyFill="1" applyAlignment="1">
      <alignment horizontal="left" vertical="center"/>
    </xf>
    <xf numFmtId="58" fontId="21" fillId="4" borderId="0" xfId="55" applyNumberFormat="1" applyFont="1" applyFill="1" applyAlignment="1">
      <alignment horizontal="left" vertical="center"/>
    </xf>
    <xf numFmtId="200" fontId="21" fillId="4" borderId="0" xfId="55" applyNumberFormat="1" applyFont="1" applyFill="1" applyAlignment="1">
      <alignment horizontal="left" vertical="center"/>
    </xf>
    <xf numFmtId="0" fontId="25" fillId="9" borderId="6" xfId="0" applyFont="1" applyFill="1" applyBorder="1">
      <alignment wrapText="1"/>
    </xf>
    <xf numFmtId="0" fontId="30" fillId="0" borderId="0" xfId="0" applyFont="1" applyAlignment="1">
      <alignment horizontal="center" vertical="center" wrapText="1"/>
    </xf>
    <xf numFmtId="0" fontId="6" fillId="0" borderId="0" xfId="55" applyFont="1" applyAlignment="1">
      <alignment horizontal="left" vertical="center"/>
    </xf>
    <xf numFmtId="0" fontId="21" fillId="0" borderId="0" xfId="0" applyFont="1" applyAlignment="1"/>
    <xf numFmtId="0" fontId="35" fillId="0" borderId="0" xfId="0" applyFont="1">
      <alignment wrapText="1"/>
    </xf>
    <xf numFmtId="58" fontId="21" fillId="0" borderId="0" xfId="0" applyNumberFormat="1" applyFont="1" applyAlignment="1"/>
    <xf numFmtId="0" fontId="6" fillId="0" borderId="0" xfId="0" applyFont="1">
      <alignment wrapText="1"/>
    </xf>
    <xf numFmtId="58" fontId="36" fillId="0" borderId="0" xfId="0" applyNumberFormat="1" applyFont="1" applyAlignment="1"/>
    <xf numFmtId="58" fontId="32" fillId="0" borderId="0" xfId="0" applyNumberFormat="1" applyFont="1" applyAlignment="1">
      <alignment horizontal="right"/>
    </xf>
    <xf numFmtId="49" fontId="21" fillId="0" borderId="0" xfId="0" applyNumberFormat="1" applyFont="1" applyAlignment="1"/>
    <xf numFmtId="58" fontId="32" fillId="0" borderId="0" xfId="0" applyNumberFormat="1" applyFont="1" applyAlignment="1"/>
    <xf numFmtId="58" fontId="36" fillId="0" borderId="0" xfId="0" applyNumberFormat="1" applyFont="1" applyAlignment="1">
      <alignment horizontal="left"/>
    </xf>
    <xf numFmtId="58" fontId="37" fillId="0" borderId="0" xfId="0" applyNumberFormat="1" applyFont="1" applyAlignment="1"/>
    <xf numFmtId="0" fontId="21" fillId="0" borderId="0" xfId="0" applyFont="1" applyAlignment="1">
      <alignment vertical="top"/>
    </xf>
    <xf numFmtId="0" fontId="30" fillId="0" borderId="0" xfId="0" applyFont="1">
      <alignment wrapText="1"/>
    </xf>
    <xf numFmtId="0" fontId="38" fillId="0" borderId="0" xfId="0" applyFont="1">
      <alignment wrapText="1"/>
    </xf>
    <xf numFmtId="58" fontId="30" fillId="0" borderId="0" xfId="0" applyNumberFormat="1" applyFont="1" applyAlignment="1">
      <alignment horizontal="left" vertical="center" wrapText="1"/>
    </xf>
    <xf numFmtId="0" fontId="31" fillId="0" borderId="0" xfId="6" applyFont="1" applyBorder="1" applyAlignment="1">
      <alignment wrapText="1"/>
    </xf>
    <xf numFmtId="0" fontId="39" fillId="0" borderId="0" xfId="0" applyFont="1">
      <alignment wrapText="1"/>
    </xf>
    <xf numFmtId="0" fontId="31" fillId="0" borderId="0" xfId="6" applyFont="1" applyBorder="1" applyAlignment="1">
      <alignment vertical="top" wrapText="1"/>
    </xf>
    <xf numFmtId="198" fontId="31" fillId="0" borderId="0" xfId="6" applyNumberFormat="1" applyFont="1" applyBorder="1" applyAlignment="1">
      <alignment wrapText="1"/>
    </xf>
    <xf numFmtId="58" fontId="40" fillId="0" borderId="0" xfId="0" applyNumberFormat="1" applyFont="1" applyAlignment="1">
      <alignment horizontal="left" vertical="center" wrapText="1"/>
    </xf>
    <xf numFmtId="0" fontId="41" fillId="0" borderId="0" xfId="59" applyFont="1"/>
    <xf numFmtId="0" fontId="42" fillId="0" borderId="72" xfId="59" applyFont="1" applyBorder="1" applyAlignment="1">
      <alignment vertical="center" wrapText="1"/>
    </xf>
    <xf numFmtId="0" fontId="42" fillId="0" borderId="73" xfId="59" applyFont="1" applyBorder="1" applyAlignment="1">
      <alignment vertical="center" wrapText="1"/>
    </xf>
    <xf numFmtId="0" fontId="42" fillId="0" borderId="57" xfId="59" applyFont="1" applyBorder="1" applyAlignment="1">
      <alignment vertical="center" wrapText="1"/>
    </xf>
    <xf numFmtId="0" fontId="43" fillId="0" borderId="74" xfId="59" applyFont="1" applyBorder="1" applyAlignment="1">
      <alignment vertical="center" wrapText="1"/>
    </xf>
    <xf numFmtId="0" fontId="44" fillId="0" borderId="39" xfId="59" applyFont="1" applyBorder="1" applyAlignment="1">
      <alignment vertical="center" wrapText="1"/>
    </xf>
    <xf numFmtId="0" fontId="31" fillId="0" borderId="3" xfId="54" applyBorder="1"/>
    <xf numFmtId="0" fontId="45" fillId="0" borderId="39" xfId="59" applyFont="1" applyBorder="1"/>
    <xf numFmtId="0" fontId="46" fillId="0" borderId="39" xfId="54" applyFont="1" applyBorder="1" applyAlignment="1">
      <alignment vertical="center" wrapText="1"/>
    </xf>
    <xf numFmtId="0" fontId="47" fillId="0" borderId="44" xfId="59" applyFont="1" applyBorder="1" applyAlignment="1">
      <alignment vertical="center" wrapText="1"/>
    </xf>
    <xf numFmtId="0" fontId="44" fillId="0" borderId="48" xfId="59" applyFont="1" applyBorder="1" applyAlignment="1">
      <alignment vertical="center" wrapText="1"/>
    </xf>
    <xf numFmtId="0" fontId="41" fillId="0" borderId="75" xfId="59" applyFont="1" applyBorder="1"/>
    <xf numFmtId="0" fontId="31" fillId="0" borderId="48" xfId="54" applyBorder="1"/>
    <xf numFmtId="0" fontId="41" fillId="0" borderId="48" xfId="59" applyFont="1" applyBorder="1"/>
    <xf numFmtId="0" fontId="46" fillId="0" borderId="48" xfId="54" applyFont="1" applyBorder="1" applyAlignment="1">
      <alignment vertical="center" wrapText="1"/>
    </xf>
    <xf numFmtId="0" fontId="44" fillId="0" borderId="3" xfId="59" applyFont="1" applyBorder="1" applyAlignment="1">
      <alignment vertical="center" wrapText="1"/>
    </xf>
    <xf numFmtId="0" fontId="31" fillId="0" borderId="1" xfId="54" applyBorder="1"/>
    <xf numFmtId="0" fontId="45" fillId="0" borderId="3" xfId="59" applyFont="1" applyBorder="1"/>
    <xf numFmtId="0" fontId="46" fillId="0" borderId="1" xfId="54" applyFont="1" applyBorder="1" applyAlignment="1">
      <alignment vertical="center" wrapText="1"/>
    </xf>
    <xf numFmtId="0" fontId="47" fillId="0" borderId="74" xfId="59" applyFont="1" applyBorder="1" applyAlignment="1">
      <alignment vertical="center" wrapText="1"/>
    </xf>
    <xf numFmtId="0" fontId="41" fillId="0" borderId="3" xfId="59" applyFont="1" applyBorder="1"/>
    <xf numFmtId="0" fontId="43" fillId="0" borderId="1" xfId="59" applyFont="1" applyBorder="1" applyAlignment="1">
      <alignment vertical="center" wrapText="1"/>
    </xf>
    <xf numFmtId="0" fontId="44" fillId="0" borderId="1" xfId="59" applyFont="1" applyBorder="1" applyAlignment="1">
      <alignment vertical="center" wrapText="1"/>
    </xf>
    <xf numFmtId="0" fontId="41" fillId="0" borderId="26" xfId="59" applyFont="1" applyBorder="1"/>
    <xf numFmtId="0" fontId="45" fillId="0" borderId="1" xfId="59" applyFont="1" applyBorder="1"/>
    <xf numFmtId="0" fontId="47" fillId="0" borderId="48" xfId="59" applyFont="1" applyBorder="1" applyAlignment="1">
      <alignment vertical="center" wrapText="1"/>
    </xf>
    <xf numFmtId="0" fontId="43" fillId="23" borderId="74" xfId="59" applyFont="1" applyFill="1" applyBorder="1" applyAlignment="1">
      <alignment vertical="center" wrapText="1"/>
    </xf>
    <xf numFmtId="0" fontId="44" fillId="23" borderId="3" xfId="59" applyFont="1" applyFill="1" applyBorder="1" applyAlignment="1">
      <alignment vertical="center" wrapText="1"/>
    </xf>
    <xf numFmtId="0" fontId="41" fillId="2" borderId="0" xfId="59" applyFont="1" applyFill="1"/>
    <xf numFmtId="0" fontId="41" fillId="2" borderId="3" xfId="59" applyFont="1" applyFill="1" applyBorder="1"/>
    <xf numFmtId="0" fontId="41" fillId="2" borderId="6" xfId="59" applyFont="1" applyFill="1" applyBorder="1"/>
    <xf numFmtId="0" fontId="41" fillId="23" borderId="3" xfId="59" applyFont="1" applyFill="1" applyBorder="1" applyAlignment="1">
      <alignment vertical="center" wrapText="1"/>
    </xf>
    <xf numFmtId="0" fontId="42" fillId="23" borderId="6" xfId="59" applyFont="1" applyFill="1" applyBorder="1" applyAlignment="1">
      <alignment vertical="center" wrapText="1"/>
    </xf>
    <xf numFmtId="0" fontId="41" fillId="2" borderId="23" xfId="59" applyFont="1" applyFill="1" applyBorder="1"/>
    <xf numFmtId="0" fontId="41" fillId="2" borderId="1" xfId="59" applyFont="1" applyFill="1" applyBorder="1"/>
    <xf numFmtId="0" fontId="41" fillId="0" borderId="3" xfId="59" applyFont="1" applyBorder="1" applyAlignment="1">
      <alignment vertical="center" wrapText="1"/>
    </xf>
    <xf numFmtId="0" fontId="48" fillId="0" borderId="76" xfId="59" applyFont="1" applyBorder="1"/>
    <xf numFmtId="0" fontId="45" fillId="0" borderId="77" xfId="59" applyFont="1" applyBorder="1"/>
    <xf numFmtId="0" fontId="41" fillId="0" borderId="78" xfId="59" applyFont="1" applyBorder="1"/>
    <xf numFmtId="0" fontId="41" fillId="0" borderId="1" xfId="59" applyFont="1" applyBorder="1" applyAlignment="1">
      <alignment vertical="center" wrapText="1"/>
    </xf>
    <xf numFmtId="0" fontId="48" fillId="0" borderId="79" xfId="59" applyFont="1" applyBorder="1" applyAlignment="1">
      <alignment vertical="top"/>
    </xf>
    <xf numFmtId="0" fontId="48" fillId="0" borderId="80" xfId="59" applyFont="1" applyBorder="1"/>
    <xf numFmtId="0" fontId="41" fillId="0" borderId="81" xfId="59" applyFont="1" applyBorder="1"/>
    <xf numFmtId="0" fontId="41" fillId="24" borderId="26" xfId="59" applyFont="1" applyFill="1" applyBorder="1"/>
    <xf numFmtId="0" fontId="41" fillId="0" borderId="1" xfId="59" applyFont="1" applyBorder="1"/>
    <xf numFmtId="0" fontId="41" fillId="0" borderId="48" xfId="59" applyFont="1" applyBorder="1" applyAlignment="1">
      <alignment vertical="center" wrapText="1"/>
    </xf>
    <xf numFmtId="0" fontId="41" fillId="24" borderId="0" xfId="59" applyFont="1" applyFill="1"/>
    <xf numFmtId="0" fontId="48" fillId="0" borderId="1" xfId="59" applyFont="1" applyBorder="1"/>
    <xf numFmtId="0" fontId="48" fillId="0" borderId="48" xfId="59" applyFont="1" applyBorder="1"/>
    <xf numFmtId="0" fontId="42" fillId="0" borderId="82" xfId="59" applyFont="1" applyBorder="1" applyAlignment="1">
      <alignment vertical="center" wrapText="1"/>
    </xf>
    <xf numFmtId="49" fontId="42" fillId="0" borderId="82" xfId="59" applyNumberFormat="1" applyFont="1" applyBorder="1" applyAlignment="1">
      <alignment vertical="center" wrapText="1"/>
    </xf>
    <xf numFmtId="0" fontId="41" fillId="0" borderId="39" xfId="59" applyFont="1" applyBorder="1"/>
    <xf numFmtId="0" fontId="41" fillId="0" borderId="0" xfId="59" applyFont="1" applyAlignment="1">
      <alignment horizontal="center" vertical="center"/>
    </xf>
    <xf numFmtId="49" fontId="41" fillId="0" borderId="39" xfId="59" applyNumberFormat="1" applyFont="1" applyBorder="1"/>
    <xf numFmtId="0" fontId="41" fillId="0" borderId="49" xfId="59" applyFont="1" applyBorder="1"/>
    <xf numFmtId="49" fontId="41" fillId="0" borderId="48" xfId="59" applyNumberFormat="1" applyFont="1" applyBorder="1"/>
    <xf numFmtId="49" fontId="41" fillId="0" borderId="3" xfId="59" applyNumberFormat="1" applyFont="1" applyBorder="1"/>
    <xf numFmtId="0" fontId="41" fillId="0" borderId="3" xfId="59" applyFont="1" applyBorder="1" applyAlignment="1">
      <alignment horizontal="center" vertical="center"/>
    </xf>
    <xf numFmtId="49" fontId="41" fillId="0" borderId="3" xfId="59" applyNumberFormat="1" applyFont="1" applyBorder="1" applyAlignment="1">
      <alignment horizontal="center" vertical="center"/>
    </xf>
    <xf numFmtId="0" fontId="49" fillId="0" borderId="0" xfId="0" applyFont="1" applyAlignment="1">
      <alignment vertical="center" wrapText="1"/>
    </xf>
    <xf numFmtId="0" fontId="49" fillId="0" borderId="0" xfId="0" applyFont="1" applyAlignment="1">
      <alignment vertical="center"/>
    </xf>
    <xf numFmtId="0" fontId="50" fillId="0" borderId="0" xfId="0" applyFont="1" applyAlignment="1"/>
    <xf numFmtId="0" fontId="51" fillId="0" borderId="0" xfId="0" applyFont="1" applyAlignment="1"/>
    <xf numFmtId="0" fontId="49" fillId="0" borderId="0" xfId="0" applyFont="1">
      <alignment wrapText="1"/>
    </xf>
    <xf numFmtId="0" fontId="51" fillId="4" borderId="0" xfId="0" applyFont="1" applyFill="1" applyAlignment="1"/>
    <xf numFmtId="0" fontId="6" fillId="4" borderId="0" xfId="0" applyFont="1" applyFill="1">
      <alignment wrapText="1"/>
    </xf>
    <xf numFmtId="0" fontId="49" fillId="0" borderId="0" xfId="0" applyFont="1" applyAlignment="1"/>
    <xf numFmtId="0" fontId="51" fillId="0" borderId="0" xfId="0" applyFont="1" applyAlignment="1">
      <alignment vertical="center"/>
    </xf>
    <xf numFmtId="0" fontId="52" fillId="4" borderId="0" xfId="0" applyFont="1" applyFill="1" applyAlignment="1">
      <alignment horizontal="left" vertical="top" wrapText="1"/>
    </xf>
    <xf numFmtId="0" fontId="53" fillId="0" borderId="0" xfId="0" applyFont="1" applyAlignment="1"/>
    <xf numFmtId="0" fontId="54" fillId="4" borderId="0" xfId="0" applyFont="1" applyFill="1" applyAlignment="1"/>
    <xf numFmtId="0" fontId="55" fillId="25" borderId="7" xfId="0" applyFont="1" applyFill="1" applyBorder="1" applyAlignment="1">
      <alignment horizontal="center" vertical="center" wrapText="1"/>
    </xf>
    <xf numFmtId="0" fontId="23" fillId="0" borderId="7" xfId="0" applyFont="1" applyBorder="1" applyAlignment="1">
      <alignment horizontal="center" vertical="center" wrapText="1"/>
    </xf>
    <xf numFmtId="0" fontId="56" fillId="3" borderId="7" xfId="0" applyFont="1" applyFill="1" applyBorder="1" applyAlignment="1">
      <alignment horizontal="center" vertical="center" wrapText="1"/>
    </xf>
    <xf numFmtId="0" fontId="56" fillId="5" borderId="7" xfId="0" applyFont="1" applyFill="1" applyBorder="1" applyAlignment="1">
      <alignment horizontal="center" vertical="center" wrapText="1"/>
    </xf>
    <xf numFmtId="0" fontId="56" fillId="9" borderId="7" xfId="0" applyFont="1" applyFill="1" applyBorder="1" applyAlignment="1">
      <alignment horizontal="center" vertical="center" wrapText="1"/>
    </xf>
    <xf numFmtId="0" fontId="23" fillId="0" borderId="4" xfId="0" applyFont="1" applyBorder="1" applyAlignment="1">
      <alignment horizontal="center" vertical="center" wrapText="1"/>
    </xf>
    <xf numFmtId="0" fontId="56" fillId="3" borderId="4" xfId="0" applyFont="1" applyFill="1" applyBorder="1" applyAlignment="1">
      <alignment horizontal="center" vertical="center" wrapText="1"/>
    </xf>
    <xf numFmtId="0" fontId="56" fillId="5" borderId="4" xfId="0" applyFont="1" applyFill="1" applyBorder="1" applyAlignment="1">
      <alignment horizontal="center" vertical="center" wrapText="1"/>
    </xf>
    <xf numFmtId="0" fontId="56" fillId="9" borderId="4" xfId="0" applyFont="1" applyFill="1" applyBorder="1" applyAlignment="1">
      <alignment horizontal="center" vertical="center" wrapText="1"/>
    </xf>
    <xf numFmtId="0" fontId="57" fillId="4" borderId="0" xfId="0" applyFont="1" applyFill="1" applyAlignment="1"/>
    <xf numFmtId="0" fontId="58" fillId="25" borderId="6" xfId="0" applyFont="1" applyFill="1" applyBorder="1" applyAlignment="1">
      <alignment horizontal="center" vertical="center" wrapText="1"/>
    </xf>
    <xf numFmtId="0" fontId="23" fillId="0" borderId="6" xfId="0" applyFont="1" applyBorder="1" applyAlignment="1">
      <alignment horizontal="center" vertical="center" wrapText="1"/>
    </xf>
    <xf numFmtId="0" fontId="6" fillId="0" borderId="6" xfId="0" applyFont="1" applyBorder="1" applyAlignment="1">
      <alignment horizontal="center" vertical="center" wrapText="1"/>
    </xf>
    <xf numFmtId="0" fontId="59" fillId="0" borderId="6" xfId="0" applyFont="1" applyBorder="1" applyAlignment="1">
      <alignment horizontal="center" vertical="center" wrapText="1"/>
    </xf>
    <xf numFmtId="0" fontId="60" fillId="0" borderId="0" xfId="0" applyFont="1" applyAlignment="1">
      <alignment horizontal="center" vertical="center" wrapText="1"/>
    </xf>
    <xf numFmtId="0" fontId="60" fillId="0" borderId="0" xfId="0" applyFont="1" applyAlignment="1">
      <alignment horizontal="left" vertical="top" wrapText="1"/>
    </xf>
    <xf numFmtId="0" fontId="61" fillId="0" borderId="0" xfId="0" applyFont="1">
      <alignment wrapText="1"/>
    </xf>
    <xf numFmtId="0" fontId="58" fillId="25" borderId="7" xfId="0" applyFont="1" applyFill="1" applyBorder="1" applyAlignment="1">
      <alignment horizontal="center" vertical="center" wrapText="1"/>
    </xf>
    <xf numFmtId="0" fontId="55" fillId="25" borderId="1" xfId="0" applyFont="1" applyFill="1" applyBorder="1" applyAlignment="1">
      <alignment horizontal="center" vertical="center" wrapText="1"/>
    </xf>
    <xf numFmtId="0" fontId="56" fillId="24" borderId="7" xfId="0" applyFont="1" applyFill="1" applyBorder="1" applyAlignment="1">
      <alignment horizontal="center" vertical="center" wrapText="1"/>
    </xf>
    <xf numFmtId="0" fontId="56" fillId="0" borderId="1" xfId="0" applyFont="1" applyBorder="1" applyAlignment="1">
      <alignment horizontal="center" vertical="center" wrapText="1"/>
    </xf>
    <xf numFmtId="0" fontId="56" fillId="0" borderId="83" xfId="0" applyFont="1" applyBorder="1" applyAlignment="1">
      <alignment horizontal="center" vertical="center" wrapText="1"/>
    </xf>
    <xf numFmtId="0" fontId="0" fillId="3" borderId="6" xfId="0" applyFill="1" applyBorder="1" applyAlignment="1">
      <alignment horizontal="center" vertical="center" wrapText="1"/>
    </xf>
    <xf numFmtId="0" fontId="0" fillId="9" borderId="6" xfId="0" applyFill="1" applyBorder="1" applyAlignment="1">
      <alignment horizontal="center" vertical="center" wrapText="1"/>
    </xf>
    <xf numFmtId="0" fontId="0" fillId="24" borderId="6" xfId="0" applyFill="1" applyBorder="1" applyAlignment="1">
      <alignment horizontal="center" vertical="center" wrapText="1"/>
    </xf>
    <xf numFmtId="0" fontId="0" fillId="5" borderId="6" xfId="0" applyFill="1" applyBorder="1" applyAlignment="1">
      <alignment horizontal="center" vertical="center" wrapText="1"/>
    </xf>
    <xf numFmtId="0" fontId="56" fillId="24" borderId="4" xfId="0" applyFont="1" applyFill="1" applyBorder="1" applyAlignment="1">
      <alignment horizontal="center" vertical="center" wrapText="1"/>
    </xf>
    <xf numFmtId="0" fontId="56" fillId="0" borderId="84" xfId="0" applyFont="1" applyBorder="1" applyAlignment="1">
      <alignment horizontal="center" vertical="center" wrapText="1"/>
    </xf>
    <xf numFmtId="0" fontId="56" fillId="0" borderId="0" xfId="0" applyFont="1" applyAlignment="1">
      <alignment horizontal="center" vertical="center" wrapText="1"/>
    </xf>
    <xf numFmtId="0" fontId="6" fillId="12" borderId="6" xfId="0" applyFont="1" applyFill="1" applyBorder="1" applyAlignment="1">
      <alignment horizontal="center" vertical="center" wrapText="1"/>
    </xf>
    <xf numFmtId="0" fontId="60" fillId="0" borderId="0" xfId="0" applyFont="1">
      <alignment wrapText="1"/>
    </xf>
    <xf numFmtId="58" fontId="30" fillId="0" borderId="0" xfId="0" applyNumberFormat="1" applyFont="1" applyAlignment="1" quotePrefix="1">
      <alignment horizontal="left" vertical="center" wrapText="1"/>
    </xf>
    <xf numFmtId="2" fontId="22" fillId="0" borderId="0" xfId="55" applyNumberFormat="1" applyFont="1" applyAlignment="1" quotePrefix="1">
      <alignment horizontal="left" vertical="center" wrapText="1" indent="1"/>
    </xf>
  </cellXfs>
  <cellStyles count="65">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Comma 2" xfId="49"/>
    <cellStyle name="Currency 2" xfId="50"/>
    <cellStyle name="Currency 3" xfId="51"/>
    <cellStyle name="Date" xfId="52"/>
    <cellStyle name="Description" xfId="53"/>
    <cellStyle name="Hyperlink 2" xfId="54"/>
    <cellStyle name="Normal 2" xfId="55"/>
    <cellStyle name="Normal 2 2" xfId="56"/>
    <cellStyle name="Normal 2 3" xfId="57"/>
    <cellStyle name="Normal 3" xfId="58"/>
    <cellStyle name="Normal 4" xfId="59"/>
    <cellStyle name="Normal 5" xfId="60"/>
    <cellStyle name="Per cent 2" xfId="61"/>
    <cellStyle name="Phone" xfId="62"/>
    <cellStyle name="Right Aligned" xfId="63"/>
    <cellStyle name="Top Aligned" xfId="64"/>
  </cellStyles>
  <dxfs count="137">
    <dxf>
      <font>
        <name val="Avenir Book"/>
        <scheme val="none"/>
        <family val="2"/>
        <b val="0"/>
        <i val="0"/>
        <strike val="0"/>
        <u val="none"/>
        <sz val="12"/>
        <color theme="1"/>
      </font>
    </dxf>
    <dxf>
      <font>
        <name val="Avenir Book"/>
        <scheme val="none"/>
        <family val="2"/>
        <b val="0"/>
        <i val="0"/>
        <strike val="0"/>
        <u val="none"/>
        <sz val="10"/>
        <color theme="1"/>
      </font>
      <alignment vertical="center" wrapText="1"/>
      <border>
        <left style="thin">
          <color auto="1"/>
        </left>
        <right style="thin">
          <color auto="1"/>
        </right>
        <top/>
        <bottom/>
      </border>
    </dxf>
    <dxf>
      <font>
        <name val="Avenir Book"/>
        <scheme val="none"/>
        <family val="2"/>
        <b val="0"/>
        <i val="0"/>
        <strike val="0"/>
        <u val="none"/>
        <sz val="10"/>
        <color theme="1"/>
      </font>
      <alignment vertical="center" wrapText="1"/>
      <border>
        <left style="thin">
          <color auto="1"/>
        </left>
        <right style="thin">
          <color auto="1"/>
        </right>
        <top/>
        <bottom/>
      </border>
    </dxf>
    <dxf>
      <font>
        <name val="Avenir Book"/>
        <scheme val="none"/>
        <family val="2"/>
        <b val="0"/>
        <i val="0"/>
        <strike val="0"/>
        <u val="none"/>
        <sz val="12"/>
        <color theme="1"/>
      </font>
    </dxf>
    <dxf>
      <font>
        <name val="Avenir Book"/>
        <scheme val="none"/>
        <family val="2"/>
        <b val="0"/>
        <i val="0"/>
        <strike val="0"/>
        <u val="none"/>
        <sz val="12"/>
        <color theme="1"/>
      </font>
      <border>
        <left style="thin">
          <color auto="1"/>
        </left>
        <right style="thin">
          <color auto="1"/>
        </right>
        <top/>
        <bottom style="thin">
          <color auto="1"/>
        </bottom>
      </border>
    </dxf>
    <dxf>
      <font>
        <name val="Avenir Book"/>
        <scheme val="none"/>
        <family val="2"/>
        <b val="0"/>
        <i val="0"/>
        <strike val="0"/>
        <u val="none"/>
        <sz val="12"/>
        <color theme="1"/>
      </font>
    </dxf>
    <dxf>
      <font>
        <name val="Avenir Book"/>
        <scheme val="none"/>
        <family val="2"/>
        <b val="0"/>
        <i val="0"/>
        <strike val="0"/>
        <u val="none"/>
        <sz val="12"/>
        <color theme="1"/>
      </font>
    </dxf>
    <dxf>
      <font>
        <name val="Avenir Book"/>
        <scheme val="none"/>
        <family val="2"/>
        <b val="0"/>
        <i val="0"/>
        <strike val="0"/>
        <u val="none"/>
        <sz val="12"/>
        <color theme="1"/>
      </font>
    </dxf>
    <dxf>
      <font>
        <name val="Avenir Book"/>
        <scheme val="none"/>
        <family val="2"/>
        <b val="0"/>
        <i val="0"/>
        <strike val="0"/>
        <u val="none"/>
        <sz val="12"/>
        <color theme="1"/>
      </font>
    </dxf>
    <dxf>
      <font>
        <name val="Calibri"/>
        <scheme val="none"/>
        <family val="2"/>
        <strike val="0"/>
        <u val="none"/>
        <sz val="12"/>
        <color theme="1"/>
      </font>
      <alignment horizontal="left" vertical="center" wrapText="1"/>
    </dxf>
    <dxf>
      <font>
        <strike val="0"/>
        <u val="none"/>
        <sz val="12"/>
        <color theme="1"/>
      </font>
      <alignment horizontal="left" vertical="center"/>
    </dxf>
    <dxf>
      <font>
        <name val="Arial"/>
        <scheme val="none"/>
        <family val="2"/>
        <b val="0"/>
        <i val="0"/>
        <strike val="0"/>
        <u val="none"/>
        <sz val="12"/>
        <color theme="1"/>
      </font>
      <alignment horizontal="left" vertical="center"/>
    </dxf>
    <dxf>
      <font>
        <strike val="0"/>
        <u val="none"/>
        <sz val="12"/>
        <color theme="1"/>
      </font>
      <alignment horizontal="left" vertical="center"/>
    </dxf>
    <dxf>
      <font>
        <name val="Calibri"/>
        <scheme val="none"/>
        <family val="2"/>
        <strike val="0"/>
        <u val="none"/>
        <sz val="12"/>
        <color theme="1"/>
      </font>
      <alignment horizontal="left" vertical="center" wrapText="1"/>
    </dxf>
    <dxf>
      <font>
        <name val="Calibri"/>
        <scheme val="none"/>
        <family val="2"/>
        <strike val="0"/>
        <u val="none"/>
        <sz val="12"/>
        <color theme="1"/>
      </font>
      <alignment horizontal="left" vertical="center" wrapText="1"/>
    </dxf>
    <dxf>
      <font>
        <strike val="0"/>
        <u val="none"/>
        <sz val="12"/>
        <color theme="1"/>
      </font>
      <alignment horizontal="left" vertical="center"/>
    </dxf>
    <dxf>
      <font>
        <strike val="0"/>
        <u val="none"/>
        <sz val="12"/>
        <color theme="1"/>
      </font>
      <alignment horizontal="left" vertical="center"/>
    </dxf>
    <dxf>
      <font>
        <strike val="0"/>
        <u val="none"/>
        <sz val="12"/>
        <color theme="1"/>
      </font>
      <alignment horizontal="left" vertical="center"/>
    </dxf>
    <dxf>
      <font>
        <name val="Calibri"/>
        <scheme val="none"/>
        <family val="2"/>
        <strike val="0"/>
        <u val="none"/>
        <sz val="12"/>
        <color theme="1"/>
      </font>
      <numFmt numFmtId="1" formatCode="0"/>
      <alignment horizontal="center" vertical="center" wrapText="1"/>
    </dxf>
    <dxf>
      <font>
        <name val="Calibri"/>
        <scheme val="none"/>
        <family val="2"/>
        <b val="0"/>
        <i val="0"/>
        <strike val="0"/>
        <u val="none"/>
        <sz val="12"/>
        <color theme="1"/>
      </font>
      <numFmt numFmtId="181" formatCode="0.0%"/>
      <alignment horizontal="center" vertical="center" wrapText="1"/>
    </dxf>
    <dxf>
      <font>
        <strike val="0"/>
        <u val="none"/>
        <sz val="12"/>
        <color theme="1"/>
      </font>
      <numFmt numFmtId="191" formatCode="_(* #,##0.0_);_(* \(#,##0.0\);_(* &quot;-&quot;??_);_(@_)"/>
      <alignment horizontal="left" vertical="center"/>
    </dxf>
    <dxf>
      <font>
        <strike val="0"/>
        <u val="none"/>
        <sz val="12"/>
        <color theme="1"/>
      </font>
      <alignment horizontal="left" vertical="center"/>
    </dxf>
    <dxf>
      <font>
        <b val="1"/>
        <strike val="0"/>
        <u val="none"/>
        <sz val="12"/>
        <color theme="1"/>
      </font>
      <numFmt numFmtId="198" formatCode="0.0"/>
      <alignment horizontal="center" vertical="center"/>
    </dxf>
    <dxf>
      <font>
        <strike val="0"/>
        <u val="none"/>
        <sz val="12"/>
        <color theme="1"/>
      </font>
      <numFmt numFmtId="198" formatCode="0.0"/>
      <alignment horizontal="left" vertical="center"/>
    </dxf>
    <dxf>
      <font>
        <strike val="0"/>
        <u val="none"/>
        <sz val="12"/>
        <color theme="1"/>
      </font>
      <numFmt numFmtId="198" formatCode="0.0"/>
      <alignment horizontal="left" vertical="center"/>
    </dxf>
    <dxf>
      <font>
        <strike val="0"/>
        <u val="none"/>
        <sz val="12"/>
        <color theme="1"/>
      </font>
      <numFmt numFmtId="198" formatCode="0.0"/>
      <alignment horizontal="left" vertical="center"/>
    </dxf>
    <dxf>
      <font>
        <strike val="0"/>
        <u val="none"/>
        <sz val="12"/>
        <color theme="1"/>
      </font>
      <numFmt numFmtId="198" formatCode="0.0"/>
      <alignment horizontal="left" vertical="center"/>
    </dxf>
    <dxf>
      <font>
        <strike val="0"/>
        <u val="none"/>
        <sz val="12"/>
        <color theme="1"/>
      </font>
      <numFmt numFmtId="198" formatCode="0.0"/>
      <alignment horizontal="left" vertical="center"/>
    </dxf>
    <dxf>
      <font>
        <name val="Calibri"/>
        <scheme val="none"/>
        <family val="2"/>
        <strike val="0"/>
        <u val="none"/>
        <sz val="12"/>
        <color theme="1"/>
      </font>
      <numFmt numFmtId="198" formatCode="0.0"/>
      <alignment horizontal="left" vertical="center"/>
    </dxf>
    <dxf>
      <font>
        <strike val="0"/>
        <u val="none"/>
        <sz val="12"/>
        <color theme="1"/>
      </font>
      <numFmt numFmtId="49" formatCode="@"/>
      <alignment horizontal="left" vertical="center"/>
    </dxf>
    <dxf>
      <font>
        <strike val="0"/>
        <u val="single"/>
        <sz val="12"/>
        <color theme="10"/>
      </font>
      <numFmt numFmtId="198" formatCode="0.0"/>
      <alignment wrapText="1"/>
    </dxf>
    <dxf>
      <font>
        <strike val="0"/>
        <u val="none"/>
        <sz val="12"/>
        <color theme="1"/>
      </font>
      <numFmt numFmtId="198" formatCode="0.0"/>
      <alignment horizontal="left" vertical="center"/>
    </dxf>
    <dxf>
      <font>
        <name val="Calibri"/>
        <scheme val="none"/>
        <family val="2"/>
        <strike val="0"/>
        <u val="none"/>
        <sz val="12"/>
        <color theme="1"/>
      </font>
      <numFmt numFmtId="199" formatCode="d/mm/yyyy"/>
      <alignment horizontal="left" vertical="center" wrapText="1"/>
    </dxf>
    <dxf>
      <font>
        <strike val="0"/>
        <u val="none"/>
        <sz val="12"/>
        <color theme="1"/>
      </font>
      <numFmt numFmtId="200" formatCode="mm/dd/yy;@"/>
      <alignment horizontal="left" vertical="center"/>
    </dxf>
    <dxf>
      <font>
        <strike val="0"/>
        <u val="none"/>
        <sz val="12"/>
      </font>
      <alignment horizontal="left" vertical="center"/>
    </dxf>
    <dxf>
      <font>
        <color theme="0"/>
      </font>
      <fill>
        <patternFill patternType="solid"/>
      </fill>
    </dxf>
    <dxf>
      <font>
        <color rgb="FF9C0006"/>
      </font>
      <fill>
        <patternFill patternType="solid">
          <bgColor rgb="FFFFC7CE"/>
        </patternFill>
      </fill>
    </dxf>
    <dxf>
      <font>
        <name val="Calibri"/>
        <scheme val="none"/>
        <family val="2"/>
        <b val="0"/>
        <i val="0"/>
        <strike val="0"/>
        <u val="none"/>
        <sz val="14"/>
        <color theme="1"/>
      </font>
      <numFmt numFmtId="197" formatCode="_(* #,##0_);_(* \(#,##0\);_(* &quot;-&quot;_);_(@_)"/>
      <alignment horizontal="left" vertical="center" wrapText="1"/>
      <border>
        <left/>
        <right style="thin">
          <color auto="1"/>
        </right>
        <top style="thin">
          <color auto="1"/>
        </top>
        <bottom style="thin">
          <color auto="1"/>
        </bottom>
      </border>
    </dxf>
    <dxf>
      <font>
        <name val="Arial"/>
        <scheme val="none"/>
        <family val="2"/>
        <b val="0"/>
        <i val="0"/>
        <strike val="0"/>
        <u val="none"/>
        <sz val="14"/>
        <color theme="1"/>
      </font>
      <numFmt numFmtId="197" formatCode="_(* #,##0_);_(* \(#,##0\);_(* &quot;-&quot;_);_(@_)"/>
      <alignment horizontal="left" vertical="center"/>
      <border>
        <left style="thin">
          <color auto="1"/>
        </left>
        <right style="thin">
          <color auto="1"/>
        </right>
        <top style="thin">
          <color auto="1"/>
        </top>
        <bottom style="thin">
          <color auto="1"/>
        </bottom>
      </border>
    </dxf>
    <dxf>
      <font>
        <name val="Arial"/>
        <scheme val="none"/>
        <family val="2"/>
        <b val="0"/>
        <i val="0"/>
        <strike val="0"/>
        <u val="none"/>
        <sz val="14"/>
        <color rgb="FF222421"/>
      </font>
      <numFmt numFmtId="1" formatCode="0"/>
      <border>
        <left style="thin">
          <color auto="1"/>
        </left>
        <right style="thin">
          <color auto="1"/>
        </right>
        <top style="thin">
          <color auto="1"/>
        </top>
        <bottom style="thin">
          <color auto="1"/>
        </bottom>
      </border>
    </dxf>
    <dxf>
      <font>
        <strike val="0"/>
        <u val="none"/>
        <sz val="14"/>
      </font>
      <numFmt numFmtId="197" formatCode="_(* #,##0_);_(* \(#,##0\);_(* &quot;-&quot;_);_(@_)"/>
      <alignment horizontal="center" vertic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97" formatCode="_(* #,##0_);_(* \(#,##0\);_(* &quot;-&quot;_);_(@_)"/>
      <fill>
        <patternFill patternType="solid">
          <bgColor theme="7" tint="0.799981688894314"/>
        </patternFill>
      </fill>
      <alignment horizontal="center" vertical="center" wrapText="1"/>
      <border>
        <left style="thin">
          <color auto="1"/>
        </left>
        <right style="thin">
          <color auto="1"/>
        </right>
        <top style="thin">
          <color auto="1"/>
        </top>
        <bottom style="thin">
          <color auto="1"/>
        </bottom>
      </border>
    </dxf>
    <dxf>
      <font>
        <strike val="0"/>
        <u val="none"/>
        <sz val="14"/>
      </font>
      <numFmt numFmtId="197" formatCode="_(* #,##0_);_(* \(#,##0\);_(* &quot;-&quot;_);_(@_)"/>
      <alignment horizontal="center" vertical="center" wrapText="1"/>
      <border>
        <left style="thin">
          <color auto="1"/>
        </left>
        <right style="thin">
          <color auto="1"/>
        </right>
        <top style="thin">
          <color auto="1"/>
        </top>
        <bottom style="thin">
          <color auto="1"/>
        </bottom>
      </border>
    </dxf>
    <dxf>
      <font>
        <strike val="0"/>
        <u val="none"/>
        <sz val="14"/>
      </font>
      <numFmt numFmtId="197" formatCode="_(* #,##0_);_(* \(#,##0\);_(* &quot;-&quot;_);_(@_)"/>
      <alignment horizontal="center" vertic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97" formatCode="_(* #,##0_);_(* \(#,##0\);_(* &quot;-&quot;_);_(@_)"/>
      <fill>
        <patternFill patternType="solid">
          <bgColor theme="7" tint="0.799981688894314"/>
        </patternFill>
      </fill>
      <alignment horizontal="center" vertical="center" wrapText="1"/>
      <border>
        <left style="thin">
          <color auto="1"/>
        </left>
        <right style="thin">
          <color auto="1"/>
        </right>
        <top style="thin">
          <color auto="1"/>
        </top>
        <bottom style="thin">
          <color auto="1"/>
        </bottom>
      </border>
    </dxf>
    <dxf>
      <font>
        <strike val="0"/>
        <u val="none"/>
        <sz val="14"/>
        <color theme="1"/>
      </font>
      <numFmt numFmtId="197" formatCode="_(* #,##0_);_(* \(#,##0\);_(* &quot;-&quot;_);_(@_)"/>
      <fill>
        <patternFill patternType="solid">
          <bgColor theme="0" tint="-0.349986266670736"/>
        </patternFill>
      </fill>
      <alignment horizontal="center" vertical="center" wrapText="1"/>
      <border>
        <left style="thin">
          <color auto="1"/>
        </left>
        <right style="thin">
          <color auto="1"/>
        </right>
        <top style="thin">
          <color auto="1"/>
        </top>
        <bottom style="thin">
          <color auto="1"/>
        </bottom>
      </border>
    </dxf>
    <dxf>
      <numFmt numFmtId="197" formatCode="_(* #,##0_);_(* \(#,##0\);_(* &quot;-&quot;_);_(@_)"/>
    </dxf>
    <dxf>
      <font>
        <name val="Calibri"/>
        <scheme val="none"/>
        <family val="2"/>
        <b val="0"/>
        <i val="0"/>
        <strike val="0"/>
        <u val="none"/>
        <sz val="14"/>
        <color theme="1"/>
      </font>
      <alignment horizontal="left" vertical="center" wrapText="1"/>
      <border>
        <left/>
        <right style="thin">
          <color auto="1"/>
        </right>
        <top style="thin">
          <color auto="1"/>
        </top>
        <bottom style="thin">
          <color auto="1"/>
        </bottom>
      </border>
    </dxf>
    <dxf>
      <font>
        <name val="Arial"/>
        <scheme val="none"/>
        <family val="2"/>
        <b val="0"/>
        <i val="0"/>
        <strike val="0"/>
        <u val="none"/>
        <sz val="14"/>
        <color theme="1"/>
      </font>
      <alignment horizontal="left" vertical="center"/>
      <border>
        <left style="thin">
          <color auto="1"/>
        </left>
        <right style="thin">
          <color auto="1"/>
        </right>
        <top style="thin">
          <color auto="1"/>
        </top>
        <bottom style="thin">
          <color auto="1"/>
        </bottom>
      </border>
    </dxf>
    <dxf>
      <font>
        <name val="Arial"/>
        <scheme val="none"/>
        <family val="2"/>
        <b val="0"/>
        <i val="0"/>
        <strike val="0"/>
        <u val="none"/>
        <sz val="14"/>
        <color rgb="FF222421"/>
      </font>
      <border>
        <left style="thin">
          <color auto="1"/>
        </left>
        <right style="thin">
          <color auto="1"/>
        </right>
        <top style="thin">
          <color auto="1"/>
        </top>
        <bottom style="thin">
          <color auto="1"/>
        </bottom>
      </border>
    </dxf>
    <dxf>
      <font>
        <name val="Arial"/>
        <scheme val="none"/>
        <family val="2"/>
        <b val="0"/>
        <i val="0"/>
        <strike val="0"/>
        <u val="none"/>
        <sz val="14"/>
        <color auto="1"/>
      </font>
      <fill>
        <patternFill patternType="solid">
          <bgColor theme="6" tint="0.799981688894314"/>
        </patternFill>
      </fill>
      <border>
        <left style="thin">
          <color auto="1"/>
        </left>
        <right style="thin">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799981688894314"/>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auto="1"/>
      </font>
      <fill>
        <patternFill patternType="solid">
          <bgColor theme="6" tint="0.799981688894314"/>
        </patternFill>
      </fill>
      <border>
        <left style="thin">
          <color auto="1"/>
        </left>
        <right style="thin">
          <color auto="1"/>
        </right>
        <top style="thin">
          <color auto="1"/>
        </top>
        <bottom style="thin">
          <color auto="1"/>
        </bottom>
      </border>
    </dxf>
    <dxf>
      <font>
        <name val="Arial"/>
        <scheme val="none"/>
        <family val="2"/>
        <b val="0"/>
        <i val="0"/>
        <strike val="0"/>
        <u val="none"/>
        <sz val="14"/>
        <color auto="1"/>
      </font>
      <fill>
        <patternFill patternType="solid">
          <bgColor theme="6" tint="0.799981688894314"/>
        </patternFill>
      </fill>
      <border>
        <left style="thin">
          <color auto="1"/>
        </left>
        <right style="thin">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799981688894314"/>
        </patternFill>
      </fill>
      <alignment horizontal="center" wrapText="1"/>
      <border>
        <left style="thin">
          <color auto="1"/>
        </left>
        <right/>
        <top style="thin">
          <color auto="1"/>
        </top>
        <bottom style="thin">
          <color auto="1"/>
        </bottom>
      </border>
    </dxf>
    <dxf>
      <font>
        <name val="Arial"/>
        <scheme val="none"/>
        <family val="2"/>
        <b val="0"/>
        <i val="0"/>
        <strike val="0"/>
        <u val="none"/>
        <sz val="14"/>
        <color auto="1"/>
      </font>
      <fill>
        <patternFill patternType="solid">
          <bgColor theme="6" tint="0.799981688894314"/>
        </patternFill>
      </fill>
      <border>
        <left style="thin">
          <color auto="1"/>
        </left>
        <right style="thin">
          <color auto="1"/>
        </right>
        <top style="thin">
          <color auto="1"/>
        </top>
        <bottom style="thin">
          <color auto="1"/>
        </bottom>
      </border>
    </dxf>
    <dxf>
      <font>
        <name val="Arial"/>
        <scheme val="none"/>
        <family val="2"/>
        <b val="0"/>
        <i val="0"/>
        <strike val="0"/>
        <u val="none"/>
        <sz val="14"/>
        <color auto="1"/>
      </font>
      <fill>
        <patternFill patternType="solid">
          <bgColor theme="8" tint="0.799981688894314"/>
        </patternFill>
      </fill>
      <alignment horizontal="center"/>
    </dxf>
    <dxf>
      <font>
        <name val="Arial"/>
        <scheme val="none"/>
        <family val="2"/>
        <b val="0"/>
        <i val="0"/>
        <strike val="0"/>
        <u val="none"/>
        <sz val="14"/>
        <color theme="1"/>
      </font>
      <fill>
        <patternFill patternType="solid">
          <bgColor rgb="FFFF0000"/>
        </patternFill>
      </fill>
      <border>
        <left style="thin">
          <color auto="1"/>
        </left>
        <right style="dashed">
          <color auto="1"/>
        </right>
        <top style="dashed">
          <color auto="1"/>
        </top>
        <bottom style="thin">
          <color auto="1"/>
        </bottom>
      </border>
    </dxf>
    <dxf>
      <font>
        <name val="Arial"/>
        <scheme val="none"/>
        <family val="2"/>
        <b val="0"/>
        <i val="0"/>
        <strike val="0"/>
        <u val="none"/>
        <sz val="14"/>
        <color theme="1"/>
      </font>
      <numFmt numFmtId="0" formatCode="General"/>
      <fill>
        <patternFill patternType="solid">
          <bgColor rgb="FFFFFF00"/>
        </patternFill>
      </fill>
      <border>
        <left style="thin">
          <color auto="1"/>
        </left>
        <right style="thin">
          <color auto="1"/>
        </right>
        <top style="thin">
          <color auto="1"/>
        </top>
        <bottom style="thin">
          <color auto="1"/>
        </bottom>
      </border>
    </dxf>
    <dxf>
      <font>
        <name val="Arial"/>
        <scheme val="none"/>
        <family val="2"/>
        <b val="0"/>
        <i val="0"/>
        <strike val="0"/>
        <u val="none"/>
        <sz val="14"/>
        <color theme="1"/>
      </font>
      <numFmt numFmtId="0" formatCode="General"/>
      <fill>
        <patternFill patternType="solid">
          <bgColor rgb="FFFFFF00"/>
        </patternFill>
      </fill>
      <border>
        <left style="thin">
          <color auto="1"/>
        </left>
        <right style="thin">
          <color auto="1"/>
        </right>
        <top style="thin">
          <color auto="1"/>
        </top>
        <bottom style="thin">
          <color auto="1"/>
        </bottom>
      </border>
    </dxf>
    <dxf>
      <font>
        <name val="Arial"/>
        <scheme val="none"/>
        <family val="2"/>
        <b val="0"/>
        <i val="0"/>
        <strike val="0"/>
        <u val="none"/>
        <sz val="14"/>
        <color theme="1"/>
      </font>
      <numFmt numFmtId="0" formatCode="General"/>
      <fill>
        <patternFill patternType="solid">
          <bgColor rgb="FFFFFF00"/>
        </patternFill>
      </fill>
      <border>
        <left style="thin">
          <color auto="1"/>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981688894314"/>
        </patternFill>
      </fill>
      <alignment horizontal="center" vertical="center" wrapText="1"/>
      <border>
        <left style="medium">
          <color auto="1"/>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981688894314"/>
        </patternFill>
      </fill>
      <alignment horizontal="center" vertical="center" wrapText="1"/>
      <border>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981688894314"/>
        </patternFill>
      </fill>
      <alignment horizontal="center" vertical="center" wrapText="1"/>
      <border>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981688894314"/>
        </patternFill>
      </fill>
      <alignment horizontal="center" vertic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78" formatCode="_-&quot;$&quot;* #,##0.00_-;\-&quot;$&quot;* #,##0.00_-;_-&quot;$&quot;* &quot;-&quot;??_-;_-@_-"/>
      <fill>
        <patternFill patternType="solid">
          <bgColor theme="3" tint="0.799981688894314"/>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78" formatCode="_-&quot;$&quot;* #,##0.00_-;\-&quot;$&quot;* #,##0.00_-;_-&quot;$&quot;* &quot;-&quot;??_-;_-@_-"/>
      <fill>
        <patternFill patternType="solid">
          <bgColor theme="3" tint="0.799981688894314"/>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3" tint="0.799981688894314"/>
        </patternFill>
      </fill>
      <alignment horizontal="center" wrapText="1"/>
      <border>
        <left style="thin">
          <color auto="1"/>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981688894314"/>
        </patternFill>
      </fill>
      <alignment horizontal="center" vertical="center" wrapText="1"/>
      <border>
        <left style="thin">
          <color auto="1"/>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981688894314"/>
        </patternFill>
      </fill>
      <border>
        <left style="thin">
          <color auto="1"/>
        </left>
        <right/>
        <top style="thin">
          <color auto="1"/>
        </top>
        <bottom style="thin">
          <color auto="1"/>
        </bottom>
      </border>
    </dxf>
    <dxf>
      <font>
        <name val="Arial"/>
        <scheme val="none"/>
        <family val="2"/>
        <b val="0"/>
        <i val="0"/>
        <strike val="0"/>
        <u val="none"/>
        <sz val="14"/>
        <color theme="1"/>
      </font>
      <numFmt numFmtId="176" formatCode="_(* #,##0.00_);_(* \(#,##0.00\);_(* &quot;-&quot;??_);_(@_)"/>
      <fill>
        <patternFill patternType="solid">
          <bgColor theme="7" tint="0.799981688894314"/>
        </patternFill>
      </fill>
      <alignment horizontal="center" wrapText="1"/>
      <border>
        <left style="medium">
          <color auto="1"/>
        </left>
        <right style="thin">
          <color auto="1"/>
        </right>
        <top style="thin">
          <color auto="1"/>
        </top>
        <bottom style="thin">
          <color auto="1"/>
        </bottom>
      </border>
    </dxf>
    <dxf>
      <font>
        <name val="Arial"/>
        <scheme val="none"/>
        <family val="2"/>
        <b val="0"/>
        <i val="0"/>
        <strike val="0"/>
        <u val="none"/>
        <sz val="14"/>
        <color theme="1"/>
      </font>
      <numFmt numFmtId="176" formatCode="_(* #,##0.00_);_(* \(#,##0.00\);_(* &quot;-&quot;??_);_(@_)"/>
      <fill>
        <patternFill patternType="solid">
          <bgColor theme="7" tint="0.799981688894314"/>
        </patternFill>
      </fill>
      <alignment horizontal="center" wrapText="1"/>
      <border>
        <left style="thin">
          <color auto="1"/>
        </left>
        <right style="medium">
          <color auto="1"/>
        </right>
        <top style="thin">
          <color auto="1"/>
        </top>
        <bottom style="thin">
          <color auto="1"/>
        </bottom>
      </border>
    </dxf>
    <dxf>
      <font>
        <name val="Arial"/>
        <scheme val="none"/>
        <family val="2"/>
        <b val="0"/>
        <i val="0"/>
        <strike val="0"/>
        <u val="none"/>
        <sz val="14"/>
        <color theme="1"/>
      </font>
      <fill>
        <patternFill patternType="solid">
          <bgColor theme="7" tint="0.799981688894314"/>
        </patternFill>
      </fill>
      <alignment horizontal="center" wrapText="1"/>
      <border>
        <left style="medium">
          <color auto="1"/>
        </left>
        <right style="medium">
          <color auto="1"/>
        </right>
        <top style="thin">
          <color auto="1"/>
        </top>
        <bottom style="thin">
          <color auto="1"/>
        </bottom>
      </border>
    </dxf>
    <dxf>
      <font>
        <name val="Arial"/>
        <scheme val="none"/>
        <family val="2"/>
        <b val="0"/>
        <i val="0"/>
        <strike val="0"/>
        <u val="none"/>
        <sz val="14"/>
        <color theme="1"/>
      </font>
      <fill>
        <patternFill patternType="solid">
          <bgColor theme="7" tint="0.599993896298105"/>
        </patternFill>
      </fill>
      <alignment horizontal="center" wrapText="1"/>
      <border>
        <left/>
        <right style="thin">
          <color auto="1"/>
        </right>
        <top style="thin">
          <color auto="1"/>
        </top>
        <bottom style="thin">
          <color auto="1"/>
        </bottom>
      </border>
    </dxf>
    <dxf>
      <font>
        <name val="Arial"/>
        <scheme val="none"/>
        <family val="2"/>
        <b val="0"/>
        <i val="0"/>
        <strike val="0"/>
        <u val="none"/>
        <sz val="14"/>
        <color theme="1"/>
      </font>
      <fill>
        <patternFill patternType="solid">
          <bgColor theme="7" tint="0.599993896298105"/>
        </patternFill>
      </fill>
      <alignment horizontal="center" wrapText="1"/>
      <border>
        <left/>
        <right style="thin">
          <color auto="1"/>
        </right>
        <top style="thin">
          <color auto="1"/>
        </top>
        <bottom style="thin">
          <color auto="1"/>
        </bottom>
      </border>
    </dxf>
    <dxf>
      <font>
        <name val="Arial"/>
        <scheme val="none"/>
        <family val="2"/>
        <b val="0"/>
        <i val="0"/>
        <strike val="0"/>
        <u val="none"/>
        <sz val="14"/>
        <color theme="1"/>
      </font>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92" formatCode="#,##0.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81" formatCode="0.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92" formatCode="#,##0.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0" formatCode="0.00%"/>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176" formatCode="_(* #,##0.00_);_(* \(#,##0.00\);_(* &quot;-&quot;??_);_(@_)"/>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799981688894314"/>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177" formatCode="_(&quot;$&quot;* #,##0.00_);_(&quot;$&quot;* \(#,##0.00\);_(&quot;$&quot;* &quot;-&quot;??_);_(@_)"/>
      <fill>
        <patternFill patternType="solid">
          <bgColor theme="7" tint="0.799981688894314"/>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799981688894314"/>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77" formatCode="_(&quot;$&quot;* #,##0.00_);_(&quot;$&quot;* \(#,##0.00\);_(&quot;$&quot;* &quot;-&quot;??_);_(@_)"/>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77" formatCode="_(&quot;$&quot;* #,##0.00_);_(&quot;$&quot;* \(#,##0.00\);_(&quot;$&quot;* &quot;-&quot;??_);_(@_)"/>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auto="1"/>
      </font>
      <numFmt numFmtId="4" formatCode="#,##0.00"/>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186" formatCode="&quot;$&quot;#,##0.00"/>
      <fill>
        <patternFill patternType="solid">
          <bgColor theme="7" tint="0.599993896298105"/>
        </patternFill>
      </fill>
      <alignment horizontal="center" wrapText="1"/>
      <border>
        <left style="medium">
          <color auto="1"/>
        </left>
        <right style="medium">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799981688894314"/>
        </patternFill>
      </fill>
      <alignment horizontal="center" wrapText="1"/>
      <border>
        <left style="medium">
          <color auto="1"/>
        </left>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799981688894314"/>
        </patternFill>
      </fill>
      <alignment horizontal="center" wrapText="1"/>
      <border>
        <left style="thin">
          <color auto="1"/>
        </left>
        <right style="medium">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799981688894314"/>
        </patternFill>
      </fill>
      <alignment horizontal="center" wrapText="1"/>
      <border>
        <left style="medium">
          <color auto="1"/>
        </left>
        <right style="medium">
          <color auto="1"/>
        </right>
        <top style="thin">
          <color auto="1"/>
        </top>
        <bottom style="thin">
          <color auto="1"/>
        </bottom>
      </border>
    </dxf>
    <dxf>
      <font>
        <name val="Arial"/>
        <scheme val="none"/>
        <family val="2"/>
        <b val="0"/>
        <i val="0"/>
        <strike val="0"/>
        <u val="none"/>
        <sz val="14"/>
        <color theme="1"/>
      </font>
      <numFmt numFmtId="181" formatCode="0.0%"/>
      <fill>
        <patternFill patternType="solid">
          <bgColor theme="6" tint="0.799981688894314"/>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799981688894314"/>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799981688894314"/>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799981688894314"/>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799981688894314"/>
        </patternFill>
      </fill>
      <alignment horizontal="center" wrapText="1"/>
      <border>
        <left style="thin">
          <color auto="1"/>
        </left>
        <right/>
        <top/>
        <bottom style="thin">
          <color auto="1"/>
        </bottom>
      </border>
    </dxf>
    <dxf>
      <font>
        <name val="Arial"/>
        <scheme val="none"/>
        <family val="2"/>
        <b val="0"/>
        <i val="0"/>
        <strike val="0"/>
        <u val="none"/>
        <sz val="14"/>
        <color theme="1"/>
      </font>
      <numFmt numFmtId="4" formatCode="#,##0.00"/>
      <fill>
        <patternFill patternType="solid">
          <bgColor theme="6" tint="0.799981688894314"/>
        </patternFill>
      </fill>
      <alignment horizontal="center" wrapText="1"/>
      <border>
        <left style="thin">
          <color auto="1"/>
        </left>
        <right/>
        <top/>
        <bottom style="thin">
          <color auto="1"/>
        </bottom>
      </border>
    </dxf>
    <dxf>
      <font>
        <name val="Arial"/>
        <scheme val="none"/>
        <family val="2"/>
        <b val="0"/>
        <i val="0"/>
        <strike val="0"/>
        <u val="none"/>
        <sz val="14"/>
        <color theme="1"/>
      </font>
      <numFmt numFmtId="4" formatCode="#,##0.00"/>
      <fill>
        <patternFill patternType="solid">
          <bgColor theme="6" tint="0.799981688894314"/>
        </patternFill>
      </fill>
      <alignment horizontal="center" wrapText="1"/>
      <border>
        <left style="thin">
          <color auto="1"/>
        </left>
        <right/>
        <top/>
        <bottom style="thin">
          <color auto="1"/>
        </bottom>
      </border>
    </dxf>
    <dxf>
      <font>
        <name val="Arial"/>
        <scheme val="none"/>
        <family val="2"/>
        <b val="0"/>
        <i val="0"/>
        <strike val="0"/>
        <u val="none"/>
        <sz val="14"/>
        <color theme="1"/>
      </font>
      <numFmt numFmtId="195" formatCode="#,##0.00000"/>
      <fill>
        <patternFill patternType="solid">
          <bgColor theme="6" tint="0.799981688894314"/>
        </patternFill>
      </fill>
      <alignment horizontal="center" wrapText="1"/>
      <border>
        <left style="thin">
          <color auto="1"/>
        </left>
        <right/>
        <top/>
        <bottom style="thin">
          <color auto="1"/>
        </bottom>
      </border>
    </dxf>
    <dxf>
      <font>
        <name val="Arial"/>
        <scheme val="none"/>
        <family val="2"/>
        <b val="0"/>
        <i val="0"/>
        <strike val="0"/>
        <u val="none"/>
        <sz val="14"/>
        <color theme="1"/>
      </font>
      <numFmt numFmtId="4" formatCode="#,##0.00"/>
      <fill>
        <patternFill patternType="solid">
          <bgColor theme="6" tint="0.799981688894314"/>
        </patternFill>
      </fill>
      <alignment horizontal="center" wrapText="1"/>
      <border>
        <left style="thin">
          <color auto="1"/>
        </left>
        <right/>
        <top/>
        <bottom style="thin">
          <color auto="1"/>
        </bottom>
      </border>
    </dxf>
    <dxf>
      <font>
        <name val="Arial"/>
        <scheme val="none"/>
        <family val="2"/>
        <b val="0"/>
        <i val="0"/>
        <strike val="0"/>
        <u val="none"/>
        <sz val="14"/>
        <color theme="1"/>
      </font>
      <numFmt numFmtId="4" formatCode="#,##0.00"/>
      <fill>
        <patternFill patternType="solid">
          <bgColor theme="6" tint="0.799981688894314"/>
        </patternFill>
      </fill>
      <alignment horizontal="center" wrapText="1"/>
      <border>
        <left style="thin">
          <color auto="1"/>
        </left>
        <right/>
        <top/>
        <bottom style="thin">
          <color auto="1"/>
        </bottom>
      </border>
    </dxf>
    <dxf>
      <font>
        <name val="Arial"/>
        <scheme val="none"/>
        <family val="2"/>
        <b val="0"/>
        <i val="0"/>
        <strike val="0"/>
        <u val="none"/>
        <sz val="14"/>
        <color theme="1"/>
      </font>
      <numFmt numFmtId="4" formatCode="#,##0.00"/>
      <fill>
        <patternFill patternType="solid">
          <bgColor theme="6" tint="0.799981688894314"/>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599993896298105"/>
        </patternFill>
      </fill>
      <alignment horizontal="center" wrapText="1"/>
      <border>
        <left style="thin">
          <color auto="1"/>
        </left>
        <right/>
        <top/>
        <bottom style="medium">
          <color auto="1"/>
        </bottom>
      </border>
    </dxf>
    <dxf>
      <font>
        <name val="Arial"/>
        <scheme val="none"/>
        <family val="2"/>
        <b val="0"/>
        <i val="0"/>
        <strike val="0"/>
        <u val="none"/>
        <sz val="14"/>
        <color theme="1"/>
      </font>
      <numFmt numFmtId="4" formatCode="#,##0.00"/>
      <fill>
        <patternFill patternType="solid">
          <bgColor theme="6" tint="0.599993896298105"/>
        </patternFill>
      </fill>
      <alignment horizontal="center" wrapText="1"/>
      <border>
        <left/>
        <right/>
        <top/>
        <bottom style="thin">
          <color auto="1"/>
        </bottom>
      </border>
    </dxf>
    <dxf>
      <font>
        <name val="Arial"/>
        <scheme val="none"/>
        <family val="2"/>
        <b val="0"/>
        <i val="0"/>
        <strike val="0"/>
        <u val="none"/>
        <sz val="14"/>
        <color theme="1"/>
      </font>
      <numFmt numFmtId="177" formatCode="_(&quot;$&quot;* #,##0.00_);_(&quot;$&quot;* \(#,##0.00\);_(&quot;$&quot;* &quot;-&quot;??_);_(@_)"/>
      <fill>
        <patternFill patternType="solid">
          <bgColor theme="6" tint="0.599993896298105"/>
        </patternFill>
      </fill>
      <alignment horizontal="center" wrapText="1"/>
      <border>
        <left style="thin">
          <color auto="1"/>
        </left>
        <right/>
        <top/>
        <bottom style="thin">
          <color auto="1"/>
        </bottom>
      </border>
    </dxf>
    <dxf>
      <font>
        <name val="Arial"/>
        <scheme val="none"/>
        <family val="2"/>
        <b val="0"/>
        <i val="0"/>
        <strike val="0"/>
        <u val="none"/>
        <sz val="14"/>
        <color theme="1"/>
      </font>
      <numFmt numFmtId="195" formatCode="#,##0.00000"/>
      <fill>
        <patternFill patternType="solid">
          <bgColor theme="6" tint="0.599993896298105"/>
        </patternFill>
      </fill>
      <alignment horizontal="center" wrapText="1"/>
      <border>
        <left/>
        <right/>
        <top/>
        <bottom style="thin">
          <color auto="1"/>
        </bottom>
      </border>
    </dxf>
    <dxf>
      <font>
        <name val="Arial"/>
        <scheme val="none"/>
        <family val="2"/>
        <b val="0"/>
        <i val="0"/>
        <strike val="0"/>
        <u val="none"/>
        <sz val="14"/>
        <color theme="1"/>
      </font>
      <numFmt numFmtId="178" formatCode="_-&quot;$&quot;* #,##0.00_-;\-&quot;$&quot;* #,##0.00_-;_-&quot;$&quot;* &quot;-&quot;??_-;_-@_-"/>
      <fill>
        <patternFill patternType="solid">
          <bgColor theme="6" tint="0.599993896298105"/>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599993896298105"/>
        </patternFill>
      </fill>
      <alignment horizontal="center" wrapText="1"/>
      <border>
        <left/>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599993896298105"/>
        </patternFill>
      </fill>
      <alignment horizontal="center" wrapText="1"/>
      <border>
        <left/>
        <right/>
        <top style="thin">
          <color auto="1"/>
        </top>
        <bottom style="thin">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right style="thin">
          <color auto="1"/>
        </right>
        <top style="thin">
          <color auto="1"/>
        </top>
        <bottom style="medium">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style="thin">
          <color auto="1"/>
        </left>
        <right style="thin">
          <color auto="1"/>
        </right>
        <top style="thin">
          <color auto="1"/>
        </top>
        <bottom style="medium">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style="thin">
          <color auto="1"/>
        </left>
        <right style="thin">
          <color auto="1"/>
        </right>
        <top style="thin">
          <color auto="1"/>
        </top>
        <bottom style="medium">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style="thin">
          <color auto="1"/>
        </left>
        <right style="thin">
          <color auto="1"/>
        </right>
        <top style="thin">
          <color auto="1"/>
        </top>
        <bottom style="medium">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style="thin">
          <color auto="1"/>
        </left>
        <right/>
        <top style="thin">
          <color auto="1"/>
        </top>
        <bottom style="thin">
          <color auto="1"/>
        </bottom>
      </border>
    </dxf>
    <dxf>
      <font>
        <name val="Arial"/>
        <scheme val="none"/>
        <family val="2"/>
        <b val="1"/>
        <i val="0"/>
        <strike val="0"/>
        <u val="none"/>
        <sz val="14"/>
        <color theme="1"/>
      </font>
      <fill>
        <patternFill patternType="solid">
          <bgColor theme="9" tint="0.799981688894314"/>
        </patternFill>
      </fill>
      <border>
        <left style="medium">
          <color auto="1"/>
        </left>
        <right style="medium">
          <color auto="1"/>
        </right>
        <top style="thin">
          <color auto="1"/>
        </top>
        <bottom style="thin">
          <color auto="1"/>
        </bottom>
      </border>
    </dxf>
    <dxf>
      <font>
        <name val="Arial"/>
        <scheme val="none"/>
        <family val="2"/>
        <b val="0"/>
        <i val="0"/>
        <strike val="0"/>
        <u val="none"/>
        <sz val="14"/>
        <color auto="1"/>
      </font>
      <numFmt numFmtId="196" formatCode="d/mm/yy;@"/>
      <fill>
        <patternFill patternType="none"/>
      </fill>
      <alignment horizontal="left" indent="1"/>
    </dxf>
    <dxf>
      <font>
        <name val="Arial"/>
        <scheme val="none"/>
        <family val="2"/>
        <b val="0"/>
        <i val="0"/>
        <strike val="0"/>
        <u val="none"/>
        <sz val="14"/>
        <color auto="1"/>
      </font>
      <numFmt numFmtId="196" formatCode="d/mm/yy;@"/>
      <fill>
        <patternFill patternType="none"/>
      </fill>
      <alignment horizontal="left" indent="1"/>
      <border>
        <left/>
        <right style="medium">
          <color rgb="FF000000"/>
        </right>
        <top style="dashed">
          <color auto="1"/>
        </top>
        <bottom/>
      </border>
    </dxf>
    <dxf>
      <font>
        <color rgb="FF9C5700"/>
      </font>
      <fill>
        <patternFill patternType="solid">
          <bgColor rgb="FFFFEB9C"/>
        </patternFill>
      </fill>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color rgb="FF9C0006"/>
      </font>
    </dxf>
    <dxf>
      <font>
        <b val="0"/>
        <i val="0"/>
      </font>
      <fill>
        <patternFill patternType="solid">
          <bgColor theme="0" tint="-0.0499893185216834"/>
        </patternFill>
      </fill>
      <border>
        <left style="thin">
          <color auto="1"/>
        </left>
        <right style="thin">
          <color auto="1"/>
        </right>
        <top style="thin">
          <color auto="1"/>
        </top>
        <bottom style="thin">
          <color auto="1"/>
        </bottom>
      </border>
    </dxf>
    <dxf>
      <border>
        <left style="thin">
          <color auto="1"/>
        </left>
      </border>
    </dxf>
    <dxf>
      <border>
        <left style="thin">
          <color auto="1"/>
        </left>
      </border>
    </dxf>
    <dxf>
      <border>
        <left style="thin">
          <color auto="1"/>
        </left>
      </border>
    </dxf>
    <dxf>
      <font>
        <b val="1"/>
        <i val="0"/>
      </font>
      <border>
        <left/>
        <right/>
        <top style="thin">
          <color auto="1"/>
        </top>
        <bottom/>
        <vertical/>
        <horizontal/>
      </border>
    </dxf>
    <dxf>
      <font>
        <b val="1"/>
        <i val="0"/>
      </font>
      <fill>
        <patternFill patternType="solid">
          <bgColor theme="0" tint="-0.0499893185216834"/>
        </patternFill>
      </fill>
      <border>
        <left style="thin">
          <color auto="1"/>
        </left>
        <right style="thin">
          <color auto="1"/>
        </right>
        <top style="thin">
          <color auto="1"/>
        </top>
        <bottom style="thin">
          <color auto="1"/>
        </bottom>
        <vertical/>
      </border>
    </dxf>
    <dxf>
      <border>
        <left style="thin">
          <color auto="1"/>
        </left>
        <right style="thin">
          <color auto="1"/>
        </right>
        <top style="thin">
          <color auto="1"/>
        </top>
        <bottom style="thin">
          <color auto="1"/>
        </bottom>
        <horizontal style="thin">
          <color auto="1"/>
        </horizontal>
      </border>
    </dxf>
  </dxfs>
  <tableStyles count="1" defaultTableStyle="Invoice that calculates total" defaultPivotStyle="PivotStyleLight16">
    <tableStyle name="Invoice that calculates total" pivot="0" count="7" xr9:uid="{84804EDF-C26C-4E71-A2D6-F057007F921A}">
      <tableStyleElement type="wholeTable" dxfId="136"/>
      <tableStyleElement type="headerRow" dxfId="135"/>
      <tableStyleElement type="totalRow" dxfId="134"/>
      <tableStyleElement type="lastColumn" dxfId="133"/>
      <tableStyleElement type="secondColumnStripe" dxfId="132"/>
      <tableStyleElement type="lastHeaderCell" dxfId="131"/>
      <tableStyleElement type="lastTotalCell" dxfId="13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008EAADB"/>
      <color rgb="00A8D08D"/>
      <color rgb="00F39F33"/>
      <color rgb="00FCD965"/>
      <color rgb="00ED7165"/>
      <color rgb="00255F7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eetMetadata" Target="metadata.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customXml" Target="../customXml/item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tables/table1.xml><?xml version="1.0" encoding="utf-8"?>
<table xmlns="http://schemas.openxmlformats.org/spreadsheetml/2006/main" id="4" name="Rep_table" displayName="Rep_table" ref="A1:O24" totalsRowShown="0">
  <autoFilter xmlns:etc="http://www.wps.cn/officeDocument/2017/etCustomData" ref="A1:O24" etc:filterBottomFollowUsedRange="0"/>
  <tableColumns count="15">
    <tableColumn id="1" name="Cluster " dataDxfId="0"/>
    <tableColumn id="2" name="Strata company name"/>
    <tableColumn id="3" name="ABN" dataDxfId="1"/>
    <tableColumn id="4" name="Parcel Address" dataDxfId="2"/>
    <tableColumn id="5" name="Energy Representative"/>
    <tableColumn id="6" name="Energy Representative email"/>
    <tableColumn id="7" name="Strata Council Chair"/>
    <tableColumn id="8" name="Strata Council Email"/>
    <tableColumn id="9" name="Energy supply charge incl in strata fees"/>
    <tableColumn id="10" name="Cluster battery" dataDxfId="3"/>
    <tableColumn id="11" name="Invividual lot battery" dataDxfId="4"/>
    <tableColumn id="12" name="number of lots" dataDxfId="5"/>
    <tableColumn id="13" name="Account Name" dataDxfId="6"/>
    <tableColumn id="14" name="BSB" dataDxfId="7"/>
    <tableColumn id="15" name="Account #" dataDxfId="8"/>
  </tableColumns>
  <tableStyleInfo name="Invoice that calculates total" showFirstColumn="0" showLastColumn="0" showRowStripes="1" showColumnStripes="0"/>
</table>
</file>

<file path=xl/tables/table2.xml><?xml version="1.0" encoding="utf-8"?>
<table xmlns="http://schemas.openxmlformats.org/spreadsheetml/2006/main" id="26" name="Table_Household_Alloc" displayName="Table_Household_Alloc" ref="A1:Z193" totalsRowShown="0">
  <autoFilter xmlns:etc="http://www.wps.cn/officeDocument/2017/etCustomData" ref="A1:Z193" etc:filterBottomFollowUsedRange="0"/>
  <tableColumns count="26">
    <tableColumn id="1" name="Lot" dataDxfId="9"/>
    <tableColumn id="17" name="cluster" dataDxfId="10"/>
    <tableColumn id="32" name="Meter#" dataDxfId="11"/>
    <tableColumn id="3" name="Block Type" dataDxfId="12"/>
    <tableColumn id="13" name="Owner" dataDxfId="13"/>
    <tableColumn id="9" name="Street Address" dataDxfId="14"/>
    <tableColumn id="10" name="Suburb" dataDxfId="15"/>
    <tableColumn id="12" name="State" dataDxfId="16"/>
    <tableColumn id="11" name="Post Code" dataDxfId="17"/>
    <tableColumn id="8" name="Unit Entitlement" dataDxfId="18"/>
    <tableColumn id="21" name="UE % over Cluster" dataDxfId="19">
      <calculatedColumnFormula>Table_Household_Alloc[[#This Row],[Unit Entitlement]]/1000</calculatedColumnFormula>
    </tableColumn>
    <tableColumn id="4" name="Calculated Battery Allocation (kWh)" dataDxfId="20"/>
    <tableColumn id="5" name="Inverter Model" dataDxfId="21"/>
    <tableColumn id="16" name="Applied Battery Allocation (kWh)" dataDxfId="22">
      <calculatedColumnFormula>IF(Table_Household_Alloc[[#This Row],[PV Installed]]="Y",1,0)*Table_Household_Alloc[[#This Row],[Calculated Battery Allocation (kWh)]]</calculatedColumnFormula>
    </tableColumn>
    <tableColumn id="6" name="Export Capacity (kW)" dataDxfId="23"/>
    <tableColumn id="14" name="Energy Meter Installed" dataDxfId="24"/>
    <tableColumn id="2" name="PV Installed" dataDxfId="25"/>
    <tableColumn id="7" name="Functional Droplet" dataDxfId="26"/>
    <tableColumn id="18" name="Stage of Dev." dataDxfId="27"/>
    <tableColumn id="15" name="Phone 1" dataDxfId="28"/>
    <tableColumn id="19" name="Phone 2" dataDxfId="29"/>
    <tableColumn id="20" name="Email" dataDxfId="30"/>
    <tableColumn id="23" name="Meter Number " dataDxfId="31"/>
    <tableColumn id="24" name="Occupant 1 Start Date" dataDxfId="32"/>
    <tableColumn id="25" name="Occupant 1 End date" dataDxfId="33"/>
    <tableColumn id="26" name="Inverter start date" dataDxfId="34"/>
  </tableColumns>
  <tableStyleInfo name="TableStyleLight11" showFirstColumn="0" showLastColumn="0" showRowStripes="1" showColumnStripes="0"/>
</table>
</file>

<file path=xl/tables/table3.xml><?xml version="1.0" encoding="utf-8"?>
<table xmlns="http://schemas.openxmlformats.org/spreadsheetml/2006/main" id="25" name="Amanda_energy" displayName="Amanda_energy" ref="A1:J17" totalsRowShown="0">
  <autoFilter xmlns:etc="http://www.wps.cn/officeDocument/2017/etCustomData" ref="A1:J17" etc:filterBottomFollowUsedRange="0"/>
  <sortState ref="A1:J17">
    <sortCondition ref="D1:D10"/>
  </sortState>
  <tableColumns count="10">
    <tableColumn id="1" name="Cluster"/>
    <tableColumn id="2" name="Year"/>
    <tableColumn id="3" name="Month"/>
    <tableColumn id="4" name="Consumption_kWh"/>
    <tableColumn id="5" name="Export_kWh"/>
    <tableColumn id="6" name="Amanda_consumption_incl_GST"/>
    <tableColumn id="7" name="Amanda_export_buyback_incl_GST"/>
    <tableColumn id="8" name="Daily_Supply_incl_GST"/>
    <tableColumn id="9" name="Other_Fees_incl_GST"/>
    <tableColumn id="10" name="Total_incl_GST"/>
  </tableColumns>
  <tableStyleInfo name="Invoice that calculates total" showFirstColumn="0" showLastColumn="0" showRowStripes="1" showColumnStripes="0"/>
</table>
</file>

<file path=xl/tables/table4.xml><?xml version="1.0" encoding="utf-8"?>
<table xmlns="http://schemas.openxmlformats.org/spreadsheetml/2006/main" id="27" name="Reading_import" displayName="Reading_import" ref="A1:J191" totalsRowShown="0">
  <autoFilter xmlns:etc="http://www.wps.cn/officeDocument/2017/etCustomData" ref="A1:J191" etc:filterBottomFollowUsedRange="0"/>
  <tableColumns count="10">
    <tableColumn id="1" name="Lot" dataDxfId="37"/>
    <tableColumn id="2" name="cluster" dataDxfId="38"/>
    <tableColumn id="3" name="Meter#" dataDxfId="39"/>
    <tableColumn id="4" name="1/2/2024" dataDxfId="40"/>
    <tableColumn id="5" name="1/5/2024" dataDxfId="41"/>
    <tableColumn id="6" name="1/8/2024" dataDxfId="42"/>
    <tableColumn id="7" name="1/10/2024" dataDxfId="43"/>
    <tableColumn id="8" name="9/10/2024" dataDxfId="44"/>
    <tableColumn id="9" name="1/1/2025" dataDxfId="45"/>
    <tableColumn id="10" name="1/3/2025" dataDxfId="46"/>
  </tableColumns>
  <tableStyleInfo name="Invoice that calculates total" showFirstColumn="0" showLastColumn="0" showRowStripes="1" showColumnStripes="0"/>
</table>
</file>

<file path=xl/tables/table5.xml><?xml version="1.0" encoding="utf-8"?>
<table xmlns="http://schemas.openxmlformats.org/spreadsheetml/2006/main" id="28" name="Reading_export" displayName="Reading_export" ref="A1:J191" totalsRowShown="0">
  <autoFilter xmlns:etc="http://www.wps.cn/officeDocument/2017/etCustomData" ref="A1:J191" etc:filterBottomFollowUsedRange="0"/>
  <tableColumns count="10">
    <tableColumn id="1" name="Lot" dataDxfId="47"/>
    <tableColumn id="2" name="cluster" dataDxfId="48"/>
    <tableColumn id="3" name="Meter#" dataDxfId="49"/>
    <tableColumn id="4" name="1/2/2024" dataDxfId="50"/>
    <tableColumn id="5" name="1/5/2024" dataDxfId="51"/>
    <tableColumn id="6" name="1/8/2024" dataDxfId="52"/>
    <tableColumn id="7" name="1/10/2024" dataDxfId="53"/>
    <tableColumn id="8" name="9/10/2024" dataDxfId="54"/>
    <tableColumn id="9" name="1/1/2025" dataDxfId="55"/>
    <tableColumn id="10" name="1/3/2025"/>
  </tableColumns>
  <tableStyleInfo name="Invoice that calculates total" showFirstColumn="0" showLastColumn="0" showRowStripes="1" showColumnStripes="0"/>
</table>
</file>

<file path=xl/tables/table6.xml><?xml version="1.0" encoding="utf-8"?>
<table xmlns="http://schemas.openxmlformats.org/spreadsheetml/2006/main" id="1" name="Table1" displayName="Table1" ref="A4:BS31" totalsRowShown="0">
  <autoFilter xmlns:etc="http://www.wps.cn/officeDocument/2017/etCustomData" ref="A4:BS31" etc:filterBottomFollowUsedRange="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autoFilter>
  <tableColumns count="71">
    <tableColumn id="1" name="Lot" dataDxfId="56"/>
    <tableColumn id="2" name="Name" dataDxfId="57"/>
    <tableColumn id="3" name="Meter Numbers" dataDxfId="58">
      <calculatedColumnFormula array="1">INDEX(Reading_import[Meter'#],MATCH(1,(Table_Household_Alloc[Lot]=A5)*(Table_Household_Alloc[cluster]=$B$1),0))</calculatedColumnFormula>
    </tableColumn>
    <tableColumn id="19" name="Percentage of Unit Entitlement (%)" dataDxfId="59">
      <calculatedColumnFormula array="1">INDEX(Table_Household_Alloc[UE % over Cluster],MATCH(1,(Table_Household_Alloc[Lot]=A5)*(Table_Household_Alloc[cluster]=$B$1),0))</calculatedColumnFormula>
    </tableColumn>
    <tableColumn id="11" name="Stage of Dev." dataDxfId="60">
      <calculatedColumnFormula array="1">INDEX(Table_Household_Alloc[Stage of Dev.],MATCH(1,(Table_Household_Alloc[Lot]=A5)*(Table_Household_Alloc[cluster]=$B$1),0))</calculatedColumnFormula>
    </tableColumn>
    <tableColumn id="4" name="Amanda Energy Daily Supply Charge ($)" dataDxfId="61">
      <calculatedColumnFormula array="1">INDEX(Amanda_energy[Daily_Supply_incl_GST],MATCH(1,(Amanda_energy[Cluster]=$B$1)*(Amanda_energy[Month]=$F$2),0))/MAX($A:$A)</calculatedColumnFormula>
    </tableColumn>
    <tableColumn id="58" name="Amanda Energy Daily Supply Charge ($)2" dataDxfId="62"/>
    <tableColumn id="37" name="Amanda Energy Daily Supply Charge ($)3" dataDxfId="63">
      <calculatedColumnFormula array="1">INDEX(Amanda_energy[Daily_Supply_incl_GST],MATCH(1,(Amanda_energy[Cluster]=$B$1)*(Amanda_energy[Month]=$H$2),0))/MAX($A:$A)</calculatedColumnFormula>
    </tableColumn>
    <tableColumn id="33" name="Amanda Energy Other fees ($)" dataDxfId="64">
      <calculatedColumnFormula array="1">INDEX(Amanda_energy[Other_Fees_incl_GST],MATCH(1,(Amanda_energy[Cluster]=$B$1)*(Amanda_energy[Month]=$F$2),0))/MAX($A:$A)</calculatedColumnFormula>
    </tableColumn>
    <tableColumn id="7" name="SwitchdIn Cost Daily Supply Charge ($)" dataDxfId="65">
      <calculatedColumnFormula>'Tariff Rates'!$B$8*$J$3</calculatedColumnFormula>
    </tableColumn>
    <tableColumn id="8" name="Chargefox Daily Supply Charge ($)" dataDxfId="66">
      <calculatedColumnFormula>'Tariff Rates'!$C$8*Table1[[#This Row],[Percentage of Unit Entitlement (%)]]*'Energy billing Mastersheet'!$K$3</calculatedColumnFormula>
    </tableColumn>
    <tableColumn id="9" name="Element47 Embedded Network Daily Supply Charges" dataDxfId="67"/>
    <tableColumn id="10" name="Element47 Embedded Network Invoicing Fees" dataDxfId="68"/>
    <tableColumn id="12" name="Total supply" dataDxfId="69"/>
    <tableColumn id="13" name="1st day of reporting period: import" dataDxfId="70">
      <calculatedColumnFormula array="1">INDEX(Reading_import[1/1/2025],MATCH(1,(Reading_import[Lot]=A5)*(Reading_import[cluster]=$B$1),0))</calculatedColumnFormula>
    </tableColumn>
    <tableColumn id="14" name="Last day of reporting period: import" dataDxfId="71">
      <calculatedColumnFormula array="1">INDEX(Reading_import[1/3/2025],MATCH(1,(Reading_import[Lot]=A5)*(Reading_import[cluster]=$B$1),0))</calculatedColumnFormula>
    </tableColumn>
    <tableColumn id="15" name="Total Consumption Import  (kWh)" dataDxfId="72"/>
    <tableColumn id="16" name="Total Daily Average Consumptio for Billing Period (kWh)" dataDxfId="73"/>
    <tableColumn id="17" name="Percentage of Total Import for Billing Period (%)" dataDxfId="74"/>
    <tableColumn id="18" name="Daily Battery allowance based on UE% (kWh)" dataDxfId="75"/>
    <tableColumn id="20" name="Applicable Battery Allowance Daily Consumption (kWh)" dataDxfId="76"/>
    <tableColumn id="24" name="Unused Daily Allowance (kWh)" dataDxfId="77">
      <calculatedColumnFormula>Table1[[#This Row],[Daily Battery allowance based on UE% (kWh)]]-Table1[[#This Row],[Applicable Battery Allowance Daily Consumption (kWh)]]</calculatedColumnFormula>
    </tableColumn>
    <tableColumn id="25" name="Unused Daily Allowance %" dataDxfId="78">
      <calculatedColumnFormula>Table1[[#This Row],[Unused Daily Allowance (kWh)]]/$V$32</calculatedColumnFormula>
    </tableColumn>
    <tableColumn id="21" name="P2P Import Consumption within Battery Allowance(kWh)" dataDxfId="79"/>
    <tableColumn id="74" name="Energy Exceeding Battery Allowance (kWh)" dataDxfId="80"/>
    <tableColumn id="75" name="Energy Exceeding Battery Allowance %" dataDxfId="81"/>
    <tableColumn id="76" name="Total Cluster Energy Balance for P2P Trading (kWh)" dataDxfId="82">
      <calculatedColumnFormula>$Y$32-$E$40</calculatedColumnFormula>
    </tableColumn>
    <tableColumn id="65" name="P2P Import Consumption over Battery Allowance based on Energy Exceeding Allowance % (kWh)" dataDxfId="83"/>
    <tableColumn id="77" name="Total P2P import (kWh)" dataDxfId="84">
      <calculatedColumnFormula>Table1[[#This Row],[P2P Import Consumption within Battery Allowance(kWh)]]+Table1[[#This Row],[P2P Import Consumption over Battery Allowance based on Energy Exceeding Allowance % (kWh)]]</calculatedColumnFormula>
    </tableColumn>
    <tableColumn id="78" name="Energy Import from Grid (kWh)" dataDxfId="85">
      <calculatedColumnFormula>Table1[[#This Row],[Total Consumption Import  (kWh)]]-Table1[[#This Row],[Total P2P import (kWh)]]</calculatedColumnFormula>
    </tableColumn>
    <tableColumn id="73" name="P2P import%" dataDxfId="86"/>
    <tableColumn id="22" name="Cluster's Total Battery Loss (kWh)"/>
    <tableColumn id="23" name="Axillary Battery Losses based upon P2P import % (kWh)"/>
    <tableColumn id="55" name="Cluster's Total Common Services (kWh)" dataDxfId="87">
      <calculatedColumnFormula>SUM($Q$28:$Q$30)</calculatedColumnFormula>
    </tableColumn>
    <tableColumn id="56" name="Common Services based on Split per Unit Entitlement % to battery (kWh)" dataDxfId="88">
      <calculatedColumnFormula array="1">Table1[[#This Row],[Cluster''s Total Common Services (kWh)]]*INDEX(Table_Household_Alloc[UE % over Cluster],MATCH(1,(Table_Household_Alloc[Lot]=A5)*(Table_Household_Alloc[cluster]=$B$1),0))</calculatedColumnFormula>
    </tableColumn>
    <tableColumn id="79" name="Axillary Battery Loss Charges at P2P Rates based upon P2P import % ($)" dataDxfId="89"/>
    <tableColumn id="54" name="Common Services Cost Split per Unit Entitlement at P2P rate ($)" dataDxfId="90"/>
    <tableColumn id="64" name="P2P Import Cost ($)" dataDxfId="91">
      <calculatedColumnFormula>Table1[[#This Row],[Total P2P import (kWh)]]*IF(Table1[[#This Row],[Total Lot Export (kWh)]]=0,'Tariff Rates'!$B$3,'Tariff Rates'!$L$3)</calculatedColumnFormula>
    </tableColumn>
    <tableColumn id="5" name="Exceeding Battery Allowance P2P Fee ($)" dataDxfId="92">
      <calculatedColumnFormula>Table1[[#This Row],[P2P Import Consumption over Battery Allowance based on Energy Exceeding Allowance % (kWh)]]*0.05</calculatedColumnFormula>
    </tableColumn>
    <tableColumn id="27" name="Import From Grid Cost ($)" dataDxfId="93"/>
    <tableColumn id="28" name="Total Consumption Cost/Lot" dataDxfId="94"/>
    <tableColumn id="29" name="1st day of reporting period: export" dataDxfId="95">
      <calculatedColumnFormula array="1">INDEX(Reading_export[1/1/2025],MATCH(1,(Reading_export[Lot]=A5)*(Reading_export[cluster]=$B$1),0))</calculatedColumnFormula>
    </tableColumn>
    <tableColumn id="30" name="Last day of reporting period: export" dataDxfId="96">
      <calculatedColumnFormula array="1">INDEX(Reading_export[1/3/2025],MATCH(1,(Reading_export[Lot]=A5)*(Reading_export[cluster]=$B$1),0))</calculatedColumnFormula>
    </tableColumn>
    <tableColumn id="31" name="Total Lot Export (kWh)" dataDxfId="97"/>
    <tableColumn id="34" name="Percentage of Total export for Billing Period (%)" dataDxfId="98">
      <calculatedColumnFormula>AR5/#REF!</calculatedColumnFormula>
    </tableColumn>
    <tableColumn id="35" name="Total Energy Export P2P to battery (kWh)" dataDxfId="99">
      <calculatedColumnFormula>Table1[[#This Row],[Percentage of Total export for Billing Period (%)]]*$AC$32</calculatedColumnFormula>
    </tableColumn>
    <tableColumn id="26" name="Total Cluster Energy Balance for P2P Trading (kWh)2" dataDxfId="100"/>
    <tableColumn id="32" name="Borrowed Allowance Based on Unused Daily Allowance % (kWh)" dataDxfId="101">
      <calculatedColumnFormula>Table1[[#This Row],[Total Cluster Energy Balance for P2P Trading (kWh)2]]*Table1[[#This Row],[Unused Daily Allowance %]]</calculatedColumnFormula>
    </tableColumn>
    <tableColumn id="36" name="Axillary Battery Losses based upon Adjusted % total export (kWh)" dataDxfId="102"/>
    <tableColumn id="52" name="Common Service based upon % total export to battery (kWh)" dataDxfId="103">
      <calculatedColumnFormula>$Q$28*Table1[[#This Row],[Percentage of Total export for Billing Period (%)]]</calculatedColumnFormula>
    </tableColumn>
    <tableColumn id="39" name="EV Charger based upon % total export to battery (kWh)" dataDxfId="104">
      <calculatedColumnFormula>$Q$27*Table1[[#This Row],[Percentage of Total export for Billing Period (%)]]</calculatedColumnFormula>
    </tableColumn>
    <tableColumn id="53" name="Therotical Energy Export to Grid (kWh)" dataDxfId="105"/>
    <tableColumn id="60" name="Energy Losses When Export to Grid (kWh)" dataDxfId="106">
      <calculatedColumnFormula>$AZ$32-$F$40</calculatedColumnFormula>
    </tableColumn>
    <tableColumn id="62" name="Energy Losses When Export to Grid based up % total export (kWh)" dataDxfId="107">
      <calculatedColumnFormula>Table1[[#This Row],[Energy Losses When Export to Grid (kWh)]]*Table1[[#This Row],[Percentage of Total export for Billing Period (%)]]</calculatedColumnFormula>
    </tableColumn>
    <tableColumn id="63" name="Energy Export to Grid after Losses (kWh)" dataDxfId="108">
      <calculatedColumnFormula>Table1[[#This Row],[Total Lot Export (kWh)]]-Table1[[#This Row],[Axillary Battery Losses based upon Adjusted % total export (kWh)]]-Table1[[#This Row],[Common Service based upon % total export to battery (kWh)]]-Table1[[#This Row],[Energy Losses When Export to Grid based up % total export (kWh)]]</calculatedColumnFormula>
    </tableColumn>
    <tableColumn id="59" name="Axillary Battery Losses based upon % total export  ($)" dataDxfId="109"/>
    <tableColumn id="38" name="Common Service Earning based upon % total export to Load ($)" dataDxfId="110">
      <calculatedColumnFormula>$Q$28*'Tariff Rates'!$C$4*Table1[[#This Row],[Percentage of Total export for Billing Period (%)]]</calculatedColumnFormula>
    </tableColumn>
    <tableColumn id="57" name="EV Charger based upon % total export ($)" dataDxfId="111">
      <calculatedColumnFormula>Table1[[#This Row],[EV Charger based upon % total export to battery (kWh)]]*'Tariff Rates'!$C$3</calculatedColumnFormula>
    </tableColumn>
    <tableColumn id="40" name="P2P Export Earnings ($)" dataDxfId="112"/>
    <tableColumn id="6" name="Passive Compensation ($)" dataDxfId="113">
      <calculatedColumnFormula>Table1[[#This Row],[Borrowed Allowance Based on Unused Daily Allowance % (kWh)]]*-0.05</calculatedColumnFormula>
    </tableColumn>
    <tableColumn id="41" name="Grid Export Earnings ($)" dataDxfId="114"/>
    <tableColumn id="42" name="Total Export Earnings Per Lot After P2P Battery Energy Storage and Use ($)" dataDxfId="115"/>
    <tableColumn id="43" name="EV Charger Income from Sales Equitable Distribution on UE ($)" dataDxfId="116"/>
    <tableColumn id="44" name="Chargefox Commission on EV Charge Consumption Sales Cost Split by Unit Entitlement ($)" dataDxfId="117"/>
    <tableColumn id="45" name="EV Charger Cost of Electricity Supply at P2P Rates ($)" dataDxfId="118"/>
    <tableColumn id="46" name="Total EV Charger Operating Cost ($)" dataDxfId="119"/>
    <tableColumn id="47" name="Total EV Charger Revenue ($)" dataDxfId="120"/>
    <tableColumn id="48" name="EV Charger Profit per lot owner ($)" dataDxfId="121"/>
    <tableColumn id="49" name="Energy Invoice Total Charges or Revenue $" dataDxfId="122"/>
    <tableColumn id="50" name="Date issued" dataDxfId="123"/>
    <tableColumn id="51" name="Date Paid" dataDxfId="124"/>
  </tableColumns>
  <tableStyleInfo name="Invoice that calculates total" showFirstColumn="0" showLastColumn="0" showRowStripes="1" showColumnStripes="0"/>
</table>
</file>

<file path=xl/tables/table7.xml><?xml version="1.0" encoding="utf-8"?>
<table xmlns="http://schemas.openxmlformats.org/spreadsheetml/2006/main" id="2" name="Invoice3" displayName="Invoice3" ref="A15:E48" totalsRowShown="0">
  <autoFilter xmlns:etc="http://www.wps.cn/officeDocument/2017/etCustomData" ref="A15:E48" etc:filterBottomFollowUsedRange="0"/>
  <tableColumns count="5">
    <tableColumn id="1" name="Items" dataDxfId="126"/>
    <tableColumn id="2" name="Charge Rate ($ Inc. GST)" dataDxfId="127"/>
    <tableColumn id="4" name="Usage" dataDxfId="128"/>
    <tableColumn id="5" name=" "/>
    <tableColumn id="3" name="Amount due ($ Inc. GST)"/>
  </tableColumns>
  <tableStyleInfo name="Invoice that calculates total" showFirstColumn="0"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vertOverflow="clip" wrap="square" lIns="18288" tIns="0" rIns="0" bIns="0" upright="1"/>
      <a:lstStyle/>
    </a:lnDef>
  </a:objectDefaults>
</a:theme>
</file>

<file path=xl/worksheets/_rels/sheet2.xml.rels><?xml version="1.0" encoding="UTF-8" standalone="yes"?>
<Relationships xmlns="http://schemas.openxmlformats.org/package/2006/relationships"><Relationship Id="rId9" Type="http://schemas.openxmlformats.org/officeDocument/2006/relationships/hyperlink" Target="mailto:wevcluster3c@gmail.com" TargetMode="External"/><Relationship Id="rId8" Type="http://schemas.openxmlformats.org/officeDocument/2006/relationships/hyperlink" Target="mailto:wevcluster3b@gmail.com" TargetMode="External"/><Relationship Id="rId7" Type="http://schemas.openxmlformats.org/officeDocument/2006/relationships/hyperlink" Target="mailto:wevcluster3a@gmail.com" TargetMode="External"/><Relationship Id="rId6" Type="http://schemas.openxmlformats.org/officeDocument/2006/relationships/hyperlink" Target="mailto:wevcluster2b@gmail.com" TargetMode="External"/><Relationship Id="rId5" Type="http://schemas.openxmlformats.org/officeDocument/2006/relationships/hyperlink" Target="mailto:wevcluster2a@gmail.com" TargetMode="External"/><Relationship Id="rId4" Type="http://schemas.openxmlformats.org/officeDocument/2006/relationships/hyperlink" Target="mailto:wevcluster1c@gmail.com" TargetMode="External"/><Relationship Id="rId3" Type="http://schemas.openxmlformats.org/officeDocument/2006/relationships/hyperlink" Target="mailto:wevcluster1b@gmail.com" TargetMode="External"/><Relationship Id="rId22" Type="http://schemas.openxmlformats.org/officeDocument/2006/relationships/hyperlink" Target="mailto:mail2paul07@gmail.com" TargetMode="External"/><Relationship Id="rId21" Type="http://schemas.openxmlformats.org/officeDocument/2006/relationships/hyperlink" Target="mailto:logs1@iinet.net.au" TargetMode="External"/><Relationship Id="rId20" Type="http://schemas.openxmlformats.org/officeDocument/2006/relationships/hyperlink" Target="mailto:bouwe.hamersma@gmail.com" TargetMode="External"/><Relationship Id="rId2" Type="http://schemas.openxmlformats.org/officeDocument/2006/relationships/hyperlink" Target="mailto:wevcluster1a@gmail.com" TargetMode="External"/><Relationship Id="rId19" Type="http://schemas.openxmlformats.org/officeDocument/2006/relationships/hyperlink" Target="mailto:alisonaskew123@gmail.com" TargetMode="External"/><Relationship Id="rId18" Type="http://schemas.openxmlformats.org/officeDocument/2006/relationships/hyperlink" Target="mailto:elaineclocherty@gmail.com" TargetMode="External"/><Relationship Id="rId17" Type="http://schemas.openxmlformats.org/officeDocument/2006/relationships/hyperlink" Target="mailto:timjcthomson@gmail.com" TargetMode="External"/><Relationship Id="rId16" Type="http://schemas.openxmlformats.org/officeDocument/2006/relationships/hyperlink" Target="mailto:jasonmchattan@gmail.com" TargetMode="External"/><Relationship Id="rId15" Type="http://schemas.openxmlformats.org/officeDocument/2006/relationships/hyperlink" Target="mailto:jenny@challen.com.au" TargetMode="External"/><Relationship Id="rId14" Type="http://schemas.openxmlformats.org/officeDocument/2006/relationships/hyperlink" Target="mailto:carolinandmanuel@gmail.com" TargetMode="External"/><Relationship Id="rId13" Type="http://schemas.openxmlformats.org/officeDocument/2006/relationships/hyperlink" Target="mailto:mammoth@iinet.net.au" TargetMode="External"/><Relationship Id="rId12" Type="http://schemas.openxmlformats.org/officeDocument/2006/relationships/hyperlink" Target="mailto:froehlich.fp@gmail.com" TargetMode="External"/><Relationship Id="rId11" Type="http://schemas.openxmlformats.org/officeDocument/2006/relationships/hyperlink" Target="mailto:wevcluster4b@gmail.com" TargetMode="External"/><Relationship Id="rId10" Type="http://schemas.openxmlformats.org/officeDocument/2006/relationships/hyperlink" Target="mailto:wevcluster4a@" TargetMode="Externa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9" Type="http://schemas.openxmlformats.org/officeDocument/2006/relationships/hyperlink" Target="mailto:fiona_skoglund@hotmail.com" TargetMode="External"/><Relationship Id="rId8" Type="http://schemas.openxmlformats.org/officeDocument/2006/relationships/hyperlink" Target="mailto:jasonmchattan@gmail.com" TargetMode="External"/><Relationship Id="rId7" Type="http://schemas.openxmlformats.org/officeDocument/2006/relationships/hyperlink" Target="mailto:riverlcp@gmail.com" TargetMode="External"/><Relationship Id="rId6" Type="http://schemas.openxmlformats.org/officeDocument/2006/relationships/hyperlink" Target="mailto:meish.b98@gmail.com" TargetMode="External"/><Relationship Id="rId5" Type="http://schemas.openxmlformats.org/officeDocument/2006/relationships/hyperlink" Target="mailto:Chloe_lovelidge@hotmail.com" TargetMode="External"/><Relationship Id="rId41" Type="http://schemas.openxmlformats.org/officeDocument/2006/relationships/hyperlink" Target="mailto:nicholasjamesmead@gmail.co" TargetMode="External"/><Relationship Id="rId40" Type="http://schemas.openxmlformats.org/officeDocument/2006/relationships/hyperlink" Target="mailto:maroeck@gmail.com" TargetMode="External"/><Relationship Id="rId4" Type="http://schemas.openxmlformats.org/officeDocument/2006/relationships/hyperlink" Target="mailto:brunomartinangeli09@gmail.com" TargetMode="External"/><Relationship Id="rId39" Type="http://schemas.openxmlformats.org/officeDocument/2006/relationships/hyperlink" Target="mailto:emailalexhughes@gmail.com" TargetMode="External"/><Relationship Id="rId38" Type="http://schemas.openxmlformats.org/officeDocument/2006/relationships/hyperlink" Target="mailto:mulloway9@icloud.com" TargetMode="External"/><Relationship Id="rId37" Type="http://schemas.openxmlformats.org/officeDocument/2006/relationships/hyperlink" Target="mailto:mammoth@iinet.net.au" TargetMode="External"/><Relationship Id="rId36" Type="http://schemas.openxmlformats.org/officeDocument/2006/relationships/hyperlink" Target="mailto:tim.hewson@iinet.net.au" TargetMode="External"/><Relationship Id="rId35" Type="http://schemas.openxmlformats.org/officeDocument/2006/relationships/hyperlink" Target="mailto:alixward@gmail.com" TargetMode="External"/><Relationship Id="rId34" Type="http://schemas.openxmlformats.org/officeDocument/2006/relationships/hyperlink" Target="mailto:marcus@mishack.com.au" TargetMode="External"/><Relationship Id="rId33" Type="http://schemas.openxmlformats.org/officeDocument/2006/relationships/hyperlink" Target="mailto:jasmine_heah@hotmail.com" TargetMode="External"/><Relationship Id="rId32" Type="http://schemas.openxmlformats.org/officeDocument/2006/relationships/hyperlink" Target="mailto:pernille@designbutton.net.au" TargetMode="External"/><Relationship Id="rId31" Type="http://schemas.openxmlformats.org/officeDocument/2006/relationships/hyperlink" Target="mailto:levi.holden@optusnet.com.au" TargetMode="External"/><Relationship Id="rId30" Type="http://schemas.openxmlformats.org/officeDocument/2006/relationships/hyperlink" Target="mailto:shaw76@hotmail.co.uk" TargetMode="External"/><Relationship Id="rId3" Type="http://schemas.openxmlformats.org/officeDocument/2006/relationships/table" Target="../tables/table2.xml"/><Relationship Id="rId29" Type="http://schemas.openxmlformats.org/officeDocument/2006/relationships/hyperlink" Target="mailto:froehlich.fp@gmail.com" TargetMode="External"/><Relationship Id="rId28" Type="http://schemas.openxmlformats.org/officeDocument/2006/relationships/hyperlink" Target="mailto:diego.barneche@ymail.com" TargetMode="External"/><Relationship Id="rId27" Type="http://schemas.openxmlformats.org/officeDocument/2006/relationships/hyperlink" Target="mailto:je&#64256;.thierfelder@iinet.net.au" TargetMode="External"/><Relationship Id="rId26" Type="http://schemas.openxmlformats.org/officeDocument/2006/relationships/hyperlink" Target="mailto:libby@humanbells.com" TargetMode="External"/><Relationship Id="rId25" Type="http://schemas.openxmlformats.org/officeDocument/2006/relationships/hyperlink" Target="mailto:henryweldon90@gmail.com" TargetMode="External"/><Relationship Id="rId24" Type="http://schemas.openxmlformats.org/officeDocument/2006/relationships/hyperlink" Target="mailto:lizk@beyondergo.com.au" TargetMode="External"/><Relationship Id="rId23" Type="http://schemas.openxmlformats.org/officeDocument/2006/relationships/hyperlink" Target="mailto:lindyjdunlop@hotmail.com" TargetMode="External"/><Relationship Id="rId22" Type="http://schemas.openxmlformats.org/officeDocument/2006/relationships/hyperlink" Target="mailto:lightelke@gmail.com" TargetMode="External"/><Relationship Id="rId21" Type="http://schemas.openxmlformats.org/officeDocument/2006/relationships/hyperlink" Target="mailto:woodmandj55@gmail.com" TargetMode="External"/><Relationship Id="rId20" Type="http://schemas.openxmlformats.org/officeDocument/2006/relationships/hyperlink" Target="mailto:carrieandwarrick@gmail.com" TargetMode="External"/><Relationship Id="rId2" Type="http://schemas.openxmlformats.org/officeDocument/2006/relationships/vmlDrawing" Target="../drawings/vmlDrawing1.vml"/><Relationship Id="rId19" Type="http://schemas.openxmlformats.org/officeDocument/2006/relationships/hyperlink" Target="mailto:hogire1948@hotmail.com" TargetMode="External"/><Relationship Id="rId18" Type="http://schemas.openxmlformats.org/officeDocument/2006/relationships/hyperlink" Target="mailto:rosebunch5@gmail.com" TargetMode="External"/><Relationship Id="rId17" Type="http://schemas.openxmlformats.org/officeDocument/2006/relationships/hyperlink" Target="mailto:ggreenwell2@outlook.com" TargetMode="External"/><Relationship Id="rId16" Type="http://schemas.openxmlformats.org/officeDocument/2006/relationships/hyperlink" Target="mailto:sarahhewer@me.com" TargetMode="External"/><Relationship Id="rId15" Type="http://schemas.openxmlformats.org/officeDocument/2006/relationships/hyperlink" Target="mailto:bronwyn_edwards@yahoo.com.au" TargetMode="External"/><Relationship Id="rId14" Type="http://schemas.openxmlformats.org/officeDocument/2006/relationships/hyperlink" Target="mailto:hansendagmarvandiest@gmail.com" TargetMode="External"/><Relationship Id="rId13" Type="http://schemas.openxmlformats.org/officeDocument/2006/relationships/hyperlink" Target="mailto:karenkotze@outlook.com" TargetMode="External"/><Relationship Id="rId12" Type="http://schemas.openxmlformats.org/officeDocument/2006/relationships/hyperlink" Target="mailto:timjcthomson@gmail.com" TargetMode="External"/><Relationship Id="rId11" Type="http://schemas.openxmlformats.org/officeDocument/2006/relationships/hyperlink" Target="mailto:msannieawilson@gmail.com" TargetMode="External"/><Relationship Id="rId10" Type="http://schemas.openxmlformats.org/officeDocument/2006/relationships/hyperlink" Target="mailto:pamezdroz@protonmail.com" TargetMode="Externa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85"/>
  <sheetViews>
    <sheetView tabSelected="1" zoomScale="91" zoomScaleNormal="91" topLeftCell="A27" workbookViewId="0">
      <selection activeCell="H35" sqref="H35"/>
    </sheetView>
  </sheetViews>
  <sheetFormatPr defaultColWidth="11" defaultRowHeight="13.8"/>
  <cols>
    <col min="1" max="1" width="11.1666666666667" customWidth="1"/>
    <col min="2" max="2" width="49.5" customWidth="1"/>
    <col min="3" max="3" width="16.3333333333333" customWidth="1"/>
    <col min="4" max="4" width="24.8333333333333" customWidth="1"/>
    <col min="7" max="7" width="14.1666666666667" customWidth="1"/>
    <col min="10" max="10" width="20.1666666666667" customWidth="1"/>
  </cols>
  <sheetData>
    <row r="1" s="493" customFormat="1" ht="15.6" spans="1:2">
      <c r="A1" s="568" t="s">
        <v>0</v>
      </c>
      <c r="B1" s="569" t="s">
        <v>1</v>
      </c>
    </row>
    <row r="2" s="493" customFormat="1" ht="15.6" spans="1:2">
      <c r="A2" s="493" t="b">
        <v>0</v>
      </c>
      <c r="B2" s="570" t="s">
        <v>2</v>
      </c>
    </row>
    <row r="3" s="493" customFormat="1" ht="15" spans="1:2">
      <c r="A3" s="493" t="b">
        <v>0</v>
      </c>
      <c r="B3" s="571" t="s">
        <v>3</v>
      </c>
    </row>
    <row r="4" s="493" customFormat="1" ht="15" spans="1:2">
      <c r="A4" s="493" t="b">
        <v>0</v>
      </c>
      <c r="B4" s="571" t="s">
        <v>4</v>
      </c>
    </row>
    <row r="5" s="493" customFormat="1" ht="45" spans="1:5">
      <c r="A5" s="493" t="b">
        <v>0</v>
      </c>
      <c r="B5" s="571" t="s">
        <v>5</v>
      </c>
      <c r="C5" s="493" t="s">
        <v>6</v>
      </c>
      <c r="D5" s="572" t="s">
        <v>7</v>
      </c>
      <c r="E5" s="493" t="s">
        <v>8</v>
      </c>
    </row>
    <row r="6" s="493" customFormat="1" ht="45" spans="1:5">
      <c r="A6" s="493" t="b">
        <v>0</v>
      </c>
      <c r="B6" s="571" t="s">
        <v>9</v>
      </c>
      <c r="C6" s="493" t="s">
        <v>10</v>
      </c>
      <c r="D6" s="572" t="s">
        <v>11</v>
      </c>
      <c r="E6" s="493" t="s">
        <v>12</v>
      </c>
    </row>
    <row r="7" s="493" customFormat="1" ht="45" spans="1:19">
      <c r="A7" s="493" t="b">
        <v>0</v>
      </c>
      <c r="B7" s="571" t="s">
        <v>13</v>
      </c>
      <c r="C7" s="493" t="s">
        <v>14</v>
      </c>
      <c r="D7" s="493" t="s">
        <v>15</v>
      </c>
      <c r="E7" s="493" t="s">
        <v>16</v>
      </c>
      <c r="F7" s="493" t="s">
        <v>17</v>
      </c>
      <c r="G7" s="493" t="s">
        <v>18</v>
      </c>
      <c r="J7" s="596"/>
      <c r="L7"/>
      <c r="M7"/>
      <c r="N7"/>
      <c r="O7"/>
      <c r="P7"/>
      <c r="Q7"/>
      <c r="R7"/>
      <c r="S7"/>
    </row>
    <row r="8" s="493" customFormat="1" ht="15" spans="1:19">
      <c r="A8" s="493" t="b">
        <v>0</v>
      </c>
      <c r="B8" s="571" t="s">
        <v>19</v>
      </c>
      <c r="J8" s="596"/>
      <c r="L8"/>
      <c r="M8"/>
      <c r="N8"/>
      <c r="O8"/>
      <c r="P8"/>
      <c r="Q8"/>
      <c r="R8"/>
      <c r="S8"/>
    </row>
    <row r="9" s="493" customFormat="1" ht="15" spans="1:19">
      <c r="A9" s="493" t="b">
        <v>0</v>
      </c>
      <c r="B9" s="571" t="s">
        <v>20</v>
      </c>
      <c r="C9" s="573" t="s">
        <v>21</v>
      </c>
      <c r="D9" s="574"/>
      <c r="J9" s="596"/>
      <c r="L9"/>
      <c r="M9"/>
      <c r="N9"/>
      <c r="O9"/>
      <c r="P9"/>
      <c r="Q9"/>
      <c r="R9"/>
      <c r="S9"/>
    </row>
    <row r="10" s="493" customFormat="1" ht="15" spans="1:19">
      <c r="A10" s="493" t="b">
        <v>0</v>
      </c>
      <c r="B10" s="571" t="s">
        <v>22</v>
      </c>
      <c r="J10" s="596"/>
      <c r="L10"/>
      <c r="M10"/>
      <c r="N10"/>
      <c r="O10"/>
      <c r="P10"/>
      <c r="Q10"/>
      <c r="R10"/>
      <c r="S10"/>
    </row>
    <row r="11" s="493" customFormat="1" ht="15" spans="1:19">
      <c r="A11" s="493" t="b">
        <v>0</v>
      </c>
      <c r="B11" s="571" t="s">
        <v>23</v>
      </c>
      <c r="L11"/>
      <c r="M11"/>
      <c r="N11"/>
      <c r="O11"/>
      <c r="P11"/>
      <c r="Q11"/>
      <c r="R11"/>
      <c r="S11"/>
    </row>
    <row r="12" s="493" customFormat="1" ht="15" spans="1:2">
      <c r="A12" s="493" t="b">
        <v>0</v>
      </c>
      <c r="B12" s="571" t="s">
        <v>24</v>
      </c>
    </row>
    <row r="13" s="493" customFormat="1" ht="15" spans="2:2">
      <c r="B13" s="571"/>
    </row>
    <row r="14" s="493" customFormat="1" ht="15.6" spans="2:2">
      <c r="B14" s="575" t="s">
        <v>25</v>
      </c>
    </row>
    <row r="15" s="493" customFormat="1" ht="15" spans="1:2">
      <c r="A15" s="493" t="b">
        <v>0</v>
      </c>
      <c r="B15" s="571" t="s">
        <v>26</v>
      </c>
    </row>
    <row r="16" s="493" customFormat="1" ht="15" spans="1:2">
      <c r="A16" s="493" t="b">
        <v>0</v>
      </c>
      <c r="B16" s="571" t="s">
        <v>27</v>
      </c>
    </row>
    <row r="17" s="493" customFormat="1" ht="15" spans="1:2">
      <c r="A17" s="493" t="b">
        <v>0</v>
      </c>
      <c r="B17" s="571" t="s">
        <v>28</v>
      </c>
    </row>
    <row r="18" s="493" customFormat="1" ht="58" customHeight="1" spans="1:9">
      <c r="A18" s="493" t="b">
        <v>0</v>
      </c>
      <c r="B18" s="576" t="s">
        <v>29</v>
      </c>
      <c r="F18" s="577" t="s">
        <v>30</v>
      </c>
      <c r="G18" s="577"/>
      <c r="H18" s="577"/>
      <c r="I18" s="577"/>
    </row>
    <row r="19" s="493" customFormat="1" ht="15" spans="1:2">
      <c r="A19" s="493" t="b">
        <v>0</v>
      </c>
      <c r="B19" s="571" t="s">
        <v>31</v>
      </c>
    </row>
    <row r="20" s="493" customFormat="1" ht="15" spans="1:2">
      <c r="A20" s="493" t="b">
        <v>0</v>
      </c>
      <c r="B20" s="571" t="s">
        <v>32</v>
      </c>
    </row>
    <row r="21" ht="44.4" spans="2:2">
      <c r="B21" s="578"/>
    </row>
    <row r="22" ht="30" spans="2:2">
      <c r="B22" s="579" t="s">
        <v>33</v>
      </c>
    </row>
    <row r="23" ht="27.6" spans="2:13">
      <c r="B23" s="580" t="s">
        <v>34</v>
      </c>
      <c r="C23" s="580" t="s">
        <v>35</v>
      </c>
      <c r="D23" s="580" t="s">
        <v>36</v>
      </c>
      <c r="E23" s="580" t="s">
        <v>37</v>
      </c>
      <c r="F23" s="580" t="s">
        <v>38</v>
      </c>
      <c r="G23" s="580" t="s">
        <v>39</v>
      </c>
      <c r="H23" s="580" t="s">
        <v>40</v>
      </c>
      <c r="I23" s="580" t="s">
        <v>41</v>
      </c>
      <c r="J23" s="597" t="s">
        <v>42</v>
      </c>
      <c r="K23" s="598" t="s">
        <v>43</v>
      </c>
      <c r="L23" s="156"/>
      <c r="M23" s="156"/>
    </row>
    <row r="24" ht="15.6" spans="2:13">
      <c r="B24" s="581" t="s">
        <v>44</v>
      </c>
      <c r="C24" s="582">
        <v>1018</v>
      </c>
      <c r="D24" s="583" t="s">
        <v>45</v>
      </c>
      <c r="E24" s="583" t="s">
        <v>45</v>
      </c>
      <c r="F24" s="583" t="s">
        <v>45</v>
      </c>
      <c r="G24" s="582">
        <v>1077</v>
      </c>
      <c r="H24" s="584">
        <v>1091</v>
      </c>
      <c r="I24" s="581"/>
      <c r="J24" s="599" t="s">
        <v>46</v>
      </c>
      <c r="K24" s="600" t="s">
        <v>47</v>
      </c>
      <c r="L24" s="156"/>
      <c r="M24" s="156"/>
    </row>
    <row r="25" ht="15.6" spans="2:13">
      <c r="B25" s="581" t="s">
        <v>48</v>
      </c>
      <c r="C25" s="582">
        <v>1019</v>
      </c>
      <c r="D25" s="583" t="s">
        <v>45</v>
      </c>
      <c r="E25" s="583" t="s">
        <v>45</v>
      </c>
      <c r="F25" s="583" t="s">
        <v>45</v>
      </c>
      <c r="G25" s="582">
        <v>1069</v>
      </c>
      <c r="H25" s="584">
        <v>1092</v>
      </c>
      <c r="I25" s="581"/>
      <c r="J25" s="599" t="s">
        <v>49</v>
      </c>
      <c r="K25" s="601" t="s">
        <v>50</v>
      </c>
      <c r="L25" s="156"/>
      <c r="M25" s="602" t="s">
        <v>51</v>
      </c>
    </row>
    <row r="26" ht="15.6" spans="2:13">
      <c r="B26" s="581" t="s">
        <v>52</v>
      </c>
      <c r="C26" s="582">
        <v>1020</v>
      </c>
      <c r="D26" s="582">
        <v>1044</v>
      </c>
      <c r="E26" s="582">
        <v>1044</v>
      </c>
      <c r="F26" s="582">
        <v>1044</v>
      </c>
      <c r="G26" s="582">
        <v>1070</v>
      </c>
      <c r="H26" s="584">
        <v>1093</v>
      </c>
      <c r="I26" s="581"/>
      <c r="J26" s="581"/>
      <c r="K26" s="601" t="s">
        <v>47</v>
      </c>
      <c r="L26" s="156"/>
      <c r="M26" s="603" t="s">
        <v>53</v>
      </c>
    </row>
    <row r="27" ht="27.6" spans="2:13">
      <c r="B27" s="581" t="s">
        <v>54</v>
      </c>
      <c r="C27" s="582">
        <v>1021</v>
      </c>
      <c r="D27" s="583" t="s">
        <v>45</v>
      </c>
      <c r="E27" s="583" t="s">
        <v>45</v>
      </c>
      <c r="F27" s="583" t="s">
        <v>45</v>
      </c>
      <c r="G27" s="584">
        <v>1071</v>
      </c>
      <c r="H27" s="581"/>
      <c r="I27" s="581"/>
      <c r="J27" s="599" t="s">
        <v>55</v>
      </c>
      <c r="K27" s="601" t="s">
        <v>56</v>
      </c>
      <c r="L27" s="156"/>
      <c r="M27" s="604" t="s">
        <v>57</v>
      </c>
    </row>
    <row r="28" ht="15.6" spans="2:13">
      <c r="B28" s="581" t="s">
        <v>58</v>
      </c>
      <c r="C28" s="582">
        <v>1022</v>
      </c>
      <c r="D28" s="583" t="s">
        <v>45</v>
      </c>
      <c r="E28" s="582">
        <v>1046</v>
      </c>
      <c r="F28" s="582">
        <v>1046</v>
      </c>
      <c r="G28" s="582">
        <v>1082</v>
      </c>
      <c r="H28" s="584">
        <v>1094</v>
      </c>
      <c r="I28" s="581"/>
      <c r="J28" s="581"/>
      <c r="K28" s="601" t="s">
        <v>50</v>
      </c>
      <c r="L28" s="156"/>
      <c r="M28" s="605" t="s">
        <v>45</v>
      </c>
    </row>
    <row r="29" ht="15.6" spans="2:13">
      <c r="B29" s="581" t="s">
        <v>59</v>
      </c>
      <c r="C29" s="582">
        <v>1023</v>
      </c>
      <c r="D29" s="582" t="s">
        <v>45</v>
      </c>
      <c r="E29" s="582">
        <v>1047</v>
      </c>
      <c r="F29" s="582">
        <v>1047</v>
      </c>
      <c r="G29" s="582">
        <v>1081</v>
      </c>
      <c r="H29" s="581"/>
      <c r="I29" s="581"/>
      <c r="J29" s="581"/>
      <c r="K29" s="601" t="s">
        <v>50</v>
      </c>
      <c r="L29" s="156"/>
      <c r="M29" s="156"/>
    </row>
    <row r="30" ht="27.6" spans="2:13">
      <c r="B30" s="585" t="s">
        <v>60</v>
      </c>
      <c r="C30" s="586">
        <v>1024</v>
      </c>
      <c r="D30" s="587" t="s">
        <v>45</v>
      </c>
      <c r="E30" s="588">
        <v>1083</v>
      </c>
      <c r="F30" s="588">
        <v>1083</v>
      </c>
      <c r="G30" s="588">
        <v>1083</v>
      </c>
      <c r="H30" s="588">
        <v>1095</v>
      </c>
      <c r="I30" s="585"/>
      <c r="J30" s="606" t="s">
        <v>61</v>
      </c>
      <c r="K30" s="607" t="s">
        <v>62</v>
      </c>
      <c r="L30" s="156"/>
      <c r="M30" s="156"/>
    </row>
    <row r="31" spans="11:13">
      <c r="K31" s="608"/>
      <c r="L31" s="156"/>
      <c r="M31" s="156"/>
    </row>
    <row r="32" ht="27.6" spans="2:2">
      <c r="B32" s="589" t="s">
        <v>63</v>
      </c>
    </row>
    <row r="33" ht="93" customHeight="1" spans="2:12">
      <c r="B33" s="590" t="s">
        <v>34</v>
      </c>
      <c r="C33" s="590" t="s">
        <v>64</v>
      </c>
      <c r="D33" s="590" t="s">
        <v>65</v>
      </c>
      <c r="E33" s="590" t="s">
        <v>66</v>
      </c>
      <c r="F33" s="590" t="s">
        <v>67</v>
      </c>
      <c r="G33" s="590" t="s">
        <v>68</v>
      </c>
      <c r="H33" s="590" t="s">
        <v>69</v>
      </c>
      <c r="I33" s="590" t="s">
        <v>70</v>
      </c>
      <c r="J33" s="590" t="s">
        <v>71</v>
      </c>
      <c r="K33" s="590" t="s">
        <v>72</v>
      </c>
      <c r="L33" s="590" t="s">
        <v>73</v>
      </c>
    </row>
    <row r="34" ht="30" spans="2:12">
      <c r="B34" s="591" t="s">
        <v>44</v>
      </c>
      <c r="C34" s="592" t="s">
        <v>74</v>
      </c>
      <c r="D34" s="593" t="s">
        <v>75</v>
      </c>
      <c r="E34" s="593" t="s">
        <v>76</v>
      </c>
      <c r="F34" s="592" t="s">
        <v>74</v>
      </c>
      <c r="G34" s="592" t="s">
        <v>77</v>
      </c>
      <c r="H34" s="592" t="s">
        <v>78</v>
      </c>
      <c r="I34" s="609" t="s">
        <v>79</v>
      </c>
      <c r="J34" s="592" t="s">
        <v>80</v>
      </c>
      <c r="K34" s="592" t="s">
        <v>81</v>
      </c>
      <c r="L34" s="592">
        <v>2</v>
      </c>
    </row>
    <row r="35" ht="75" spans="2:12">
      <c r="B35" s="591" t="s">
        <v>48</v>
      </c>
      <c r="C35" s="592" t="s">
        <v>74</v>
      </c>
      <c r="D35" s="593" t="s">
        <v>82</v>
      </c>
      <c r="E35" s="593" t="s">
        <v>76</v>
      </c>
      <c r="F35" s="592" t="s">
        <v>83</v>
      </c>
      <c r="G35" s="592" t="s">
        <v>77</v>
      </c>
      <c r="H35" s="592" t="s">
        <v>77</v>
      </c>
      <c r="I35" s="609" t="s">
        <v>79</v>
      </c>
      <c r="J35" s="592" t="s">
        <v>80</v>
      </c>
      <c r="K35" s="592" t="s">
        <v>81</v>
      </c>
      <c r="L35" s="592">
        <v>2</v>
      </c>
    </row>
    <row r="36" ht="15.6" spans="2:12">
      <c r="B36" s="591" t="s">
        <v>52</v>
      </c>
      <c r="C36" s="592" t="s">
        <v>74</v>
      </c>
      <c r="D36" s="592" t="s">
        <v>74</v>
      </c>
      <c r="E36" s="592" t="s">
        <v>74</v>
      </c>
      <c r="F36" s="592" t="s">
        <v>74</v>
      </c>
      <c r="G36" s="592" t="s">
        <v>77</v>
      </c>
      <c r="H36" s="592" t="s">
        <v>77</v>
      </c>
      <c r="I36" s="609"/>
      <c r="J36" s="592" t="s">
        <v>80</v>
      </c>
      <c r="K36" s="592" t="s">
        <v>81</v>
      </c>
      <c r="L36" s="592">
        <v>2</v>
      </c>
    </row>
    <row r="37" ht="30" spans="2:12">
      <c r="B37" s="591" t="s">
        <v>54</v>
      </c>
      <c r="C37" s="592" t="s">
        <v>74</v>
      </c>
      <c r="D37" s="593" t="s">
        <v>75</v>
      </c>
      <c r="E37" s="593" t="s">
        <v>76</v>
      </c>
      <c r="F37" s="592"/>
      <c r="G37" s="592" t="s">
        <v>77</v>
      </c>
      <c r="H37" s="592" t="s">
        <v>77</v>
      </c>
      <c r="I37" s="609" t="s">
        <v>79</v>
      </c>
      <c r="J37" s="592" t="s">
        <v>80</v>
      </c>
      <c r="K37" s="592" t="s">
        <v>81</v>
      </c>
      <c r="L37" s="592">
        <v>2</v>
      </c>
    </row>
    <row r="38" ht="30" spans="2:12">
      <c r="B38" s="591" t="s">
        <v>58</v>
      </c>
      <c r="C38" s="592" t="s">
        <v>74</v>
      </c>
      <c r="D38" s="592" t="s">
        <v>74</v>
      </c>
      <c r="E38" s="593" t="s">
        <v>76</v>
      </c>
      <c r="F38" s="592"/>
      <c r="G38" s="592" t="s">
        <v>77</v>
      </c>
      <c r="H38" s="592" t="s">
        <v>77</v>
      </c>
      <c r="I38" s="609" t="s">
        <v>79</v>
      </c>
      <c r="J38" s="592" t="s">
        <v>80</v>
      </c>
      <c r="K38" s="592" t="s">
        <v>81</v>
      </c>
      <c r="L38" s="592">
        <v>2</v>
      </c>
    </row>
    <row r="39" ht="30" spans="2:12">
      <c r="B39" s="591" t="s">
        <v>59</v>
      </c>
      <c r="C39" s="593" t="s">
        <v>75</v>
      </c>
      <c r="D39" s="593" t="s">
        <v>75</v>
      </c>
      <c r="E39" s="593" t="s">
        <v>76</v>
      </c>
      <c r="F39" s="592"/>
      <c r="G39" s="592" t="s">
        <v>77</v>
      </c>
      <c r="H39" s="592" t="s">
        <v>77</v>
      </c>
      <c r="I39" s="609" t="s">
        <v>79</v>
      </c>
      <c r="J39" s="592" t="s">
        <v>80</v>
      </c>
      <c r="K39" s="592" t="s">
        <v>81</v>
      </c>
      <c r="L39" s="592">
        <v>0</v>
      </c>
    </row>
    <row r="40" ht="30" spans="2:12">
      <c r="B40" s="591" t="s">
        <v>60</v>
      </c>
      <c r="C40" s="593" t="s">
        <v>75</v>
      </c>
      <c r="D40" s="593" t="s">
        <v>75</v>
      </c>
      <c r="E40" s="593" t="s">
        <v>75</v>
      </c>
      <c r="F40" s="592"/>
      <c r="G40" s="592" t="s">
        <v>77</v>
      </c>
      <c r="H40" s="592" t="s">
        <v>77</v>
      </c>
      <c r="I40" s="609" t="s">
        <v>79</v>
      </c>
      <c r="J40" s="592" t="s">
        <v>80</v>
      </c>
      <c r="K40" s="592" t="s">
        <v>81</v>
      </c>
      <c r="L40" s="592">
        <v>0</v>
      </c>
    </row>
    <row r="41" ht="25" customHeight="1" spans="2:12">
      <c r="B41" s="594" t="b">
        <v>0</v>
      </c>
      <c r="C41" s="74" t="b">
        <v>0</v>
      </c>
      <c r="D41" s="74" t="b">
        <v>0</v>
      </c>
      <c r="E41" s="74" t="b">
        <v>0</v>
      </c>
      <c r="F41" s="74" t="b">
        <v>0</v>
      </c>
      <c r="G41" s="74" t="b">
        <v>0</v>
      </c>
      <c r="H41" s="74" t="b">
        <v>0</v>
      </c>
      <c r="I41" s="74" t="b">
        <v>0</v>
      </c>
      <c r="J41" s="74" t="b">
        <v>0</v>
      </c>
      <c r="K41" s="74" t="b">
        <v>0</v>
      </c>
      <c r="L41" s="74" t="b">
        <v>0</v>
      </c>
    </row>
    <row r="42" ht="14" customHeight="1" spans="2:2">
      <c r="B42" s="595"/>
    </row>
    <row r="43" ht="14" customHeight="1" spans="2:2">
      <c r="B43" s="595"/>
    </row>
    <row r="44" ht="14" customHeight="1" spans="2:2">
      <c r="B44" s="595"/>
    </row>
    <row r="45" ht="14" customHeight="1" spans="2:2">
      <c r="B45" s="595"/>
    </row>
    <row r="46" ht="14" customHeight="1" spans="2:2">
      <c r="B46" s="595"/>
    </row>
    <row r="47" ht="14" customHeight="1" spans="2:2">
      <c r="B47" s="595"/>
    </row>
    <row r="48" ht="14" customHeight="1" spans="2:2">
      <c r="B48" s="595"/>
    </row>
    <row r="49" ht="14" customHeight="1" spans="2:2">
      <c r="B49" s="595"/>
    </row>
    <row r="50" ht="14" customHeight="1" spans="2:2">
      <c r="B50" s="595"/>
    </row>
    <row r="51" ht="14" customHeight="1" spans="2:2">
      <c r="B51" s="595"/>
    </row>
    <row r="52" ht="14" customHeight="1" spans="2:2">
      <c r="B52" s="595"/>
    </row>
    <row r="53" ht="14" customHeight="1" spans="2:2">
      <c r="B53" s="595"/>
    </row>
    <row r="54" ht="14" customHeight="1" spans="2:2">
      <c r="B54" s="595"/>
    </row>
    <row r="55" ht="14" customHeight="1" spans="2:2">
      <c r="B55" s="595"/>
    </row>
    <row r="56" ht="14" customHeight="1" spans="2:2">
      <c r="B56" s="595"/>
    </row>
    <row r="57" ht="14" customHeight="1" spans="2:2">
      <c r="B57" s="595"/>
    </row>
    <row r="58" ht="14" customHeight="1" spans="2:2">
      <c r="B58" s="595"/>
    </row>
    <row r="59" ht="14" customHeight="1" spans="2:2">
      <c r="B59" s="595"/>
    </row>
    <row r="60" ht="14" customHeight="1" spans="2:2">
      <c r="B60" s="595"/>
    </row>
    <row r="61" ht="14" customHeight="1" spans="2:2">
      <c r="B61" s="595"/>
    </row>
    <row r="62" ht="14" customHeight="1" spans="2:2">
      <c r="B62" s="595"/>
    </row>
    <row r="63" ht="14" customHeight="1" spans="2:2">
      <c r="B63" s="595"/>
    </row>
    <row r="64" ht="14" customHeight="1" spans="2:2">
      <c r="B64" s="595"/>
    </row>
    <row r="65" ht="14" customHeight="1" spans="2:2">
      <c r="B65" s="595"/>
    </row>
    <row r="66" ht="14" customHeight="1" spans="2:2">
      <c r="B66" s="595"/>
    </row>
    <row r="67" ht="14" customHeight="1" spans="2:2">
      <c r="B67" s="595"/>
    </row>
    <row r="68" ht="14" customHeight="1" spans="2:2">
      <c r="B68" s="595"/>
    </row>
    <row r="69" ht="14" customHeight="1" spans="2:2">
      <c r="B69" s="595"/>
    </row>
    <row r="70" ht="14" customHeight="1" spans="2:2">
      <c r="B70" s="595"/>
    </row>
    <row r="71" ht="14" customHeight="1" spans="2:2">
      <c r="B71" s="595"/>
    </row>
    <row r="72" ht="16.8" spans="2:2">
      <c r="B72" s="610"/>
    </row>
    <row r="73" ht="16.8" spans="2:2">
      <c r="B73" s="610"/>
    </row>
    <row r="74" ht="16.8" spans="2:2">
      <c r="B74" s="610"/>
    </row>
    <row r="75" ht="16.8" spans="2:2">
      <c r="B75" s="610"/>
    </row>
    <row r="76" ht="16.8" spans="2:2">
      <c r="B76" s="610"/>
    </row>
    <row r="77" ht="16.8" spans="2:2">
      <c r="B77" s="610"/>
    </row>
    <row r="78" ht="16.8" spans="2:2">
      <c r="B78" s="610"/>
    </row>
    <row r="79" ht="16.8" spans="2:2">
      <c r="B79" s="610"/>
    </row>
    <row r="80" ht="16.8" spans="2:2">
      <c r="B80" s="610"/>
    </row>
    <row r="85" ht="16.8" spans="2:2">
      <c r="B85" s="610"/>
    </row>
  </sheetData>
  <mergeCells count="1">
    <mergeCell ref="F18:I18"/>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O24"/>
  <sheetViews>
    <sheetView zoomScale="167" zoomScaleNormal="167" workbookViewId="0">
      <selection activeCell="B11" sqref="B11"/>
    </sheetView>
  </sheetViews>
  <sheetFormatPr defaultColWidth="10.8333333333333" defaultRowHeight="15"/>
  <cols>
    <col min="1" max="1" width="10.8333333333333" style="509"/>
    <col min="2" max="2" width="34" style="509" customWidth="1"/>
    <col min="3" max="3" width="19.3333333333333" style="509" customWidth="1"/>
    <col min="4" max="4" width="22.5" style="509" customWidth="1"/>
    <col min="5" max="5" width="27.8333333333333" style="509" customWidth="1"/>
    <col min="6" max="6" width="30.3333333333333" style="509" customWidth="1"/>
    <col min="7" max="7" width="25.6666666666667" style="509" customWidth="1"/>
    <col min="8" max="8" width="28" style="509" customWidth="1"/>
    <col min="9" max="9" width="37.8333333333333" style="509" customWidth="1"/>
    <col min="10" max="10" width="16.3333333333333" style="509" customWidth="1"/>
    <col min="11" max="11" width="21.5" style="509" customWidth="1"/>
    <col min="12" max="12" width="16.3333333333333" style="509" customWidth="1"/>
    <col min="13" max="13" width="35.1666666666667" style="509" customWidth="1"/>
    <col min="14" max="14" width="8.83333333333333" style="509" customWidth="1"/>
    <col min="15" max="15" width="19" style="509" customWidth="1"/>
    <col min="16" max="16384" width="10.8333333333333" style="509"/>
  </cols>
  <sheetData>
    <row r="1" ht="48" customHeight="1" spans="1:15">
      <c r="A1" s="510" t="s">
        <v>84</v>
      </c>
      <c r="B1" s="510" t="s">
        <v>85</v>
      </c>
      <c r="C1" s="511" t="s">
        <v>86</v>
      </c>
      <c r="D1" s="512" t="s">
        <v>87</v>
      </c>
      <c r="E1" s="511" t="s">
        <v>88</v>
      </c>
      <c r="F1" s="511" t="s">
        <v>89</v>
      </c>
      <c r="G1" s="511" t="s">
        <v>90</v>
      </c>
      <c r="H1" s="511" t="s">
        <v>91</v>
      </c>
      <c r="I1" s="511" t="s">
        <v>92</v>
      </c>
      <c r="J1" s="511" t="s">
        <v>93</v>
      </c>
      <c r="K1" s="558" t="s">
        <v>94</v>
      </c>
      <c r="L1" s="558" t="s">
        <v>95</v>
      </c>
      <c r="M1" s="559" t="s">
        <v>96</v>
      </c>
      <c r="N1" s="559" t="s">
        <v>97</v>
      </c>
      <c r="O1" s="559" t="s">
        <v>98</v>
      </c>
    </row>
    <row r="2" ht="26.4" spans="1:15">
      <c r="A2" s="513" t="s">
        <v>44</v>
      </c>
      <c r="B2" s="513" t="s">
        <v>99</v>
      </c>
      <c r="C2" s="514" t="s">
        <v>100</v>
      </c>
      <c r="D2" s="514" t="s">
        <v>101</v>
      </c>
      <c r="E2" s="509" t="s">
        <v>102</v>
      </c>
      <c r="F2" s="515" t="s">
        <v>103</v>
      </c>
      <c r="G2" s="516" t="s">
        <v>104</v>
      </c>
      <c r="H2" s="517" t="s">
        <v>105</v>
      </c>
      <c r="I2" s="560"/>
      <c r="J2" s="561" t="s">
        <v>106</v>
      </c>
      <c r="K2" s="560"/>
      <c r="L2" s="560"/>
      <c r="M2" s="562" t="s">
        <v>107</v>
      </c>
      <c r="N2" s="562" t="s">
        <v>108</v>
      </c>
      <c r="O2" s="562" t="s">
        <v>109</v>
      </c>
    </row>
    <row r="3" spans="1:15">
      <c r="A3" s="518"/>
      <c r="B3" s="518" t="s">
        <v>110</v>
      </c>
      <c r="C3" s="519"/>
      <c r="D3" s="519"/>
      <c r="E3" s="520" t="s">
        <v>111</v>
      </c>
      <c r="F3" s="521" t="s">
        <v>112</v>
      </c>
      <c r="G3" s="522"/>
      <c r="H3" s="523"/>
      <c r="I3" s="522"/>
      <c r="J3" s="563"/>
      <c r="K3" s="522"/>
      <c r="L3" s="522">
        <v>24</v>
      </c>
      <c r="M3" s="564"/>
      <c r="N3" s="564"/>
      <c r="O3" s="564"/>
    </row>
    <row r="4" ht="26.4" spans="1:15">
      <c r="A4" s="513" t="s">
        <v>48</v>
      </c>
      <c r="B4" s="513" t="s">
        <v>113</v>
      </c>
      <c r="C4" s="524" t="s">
        <v>114</v>
      </c>
      <c r="D4" s="524" t="s">
        <v>115</v>
      </c>
      <c r="E4" s="509" t="s">
        <v>116</v>
      </c>
      <c r="F4" s="525" t="s">
        <v>117</v>
      </c>
      <c r="G4" s="526" t="s">
        <v>104</v>
      </c>
      <c r="H4" s="527" t="s">
        <v>118</v>
      </c>
      <c r="I4" s="529"/>
      <c r="J4" s="561" t="s">
        <v>106</v>
      </c>
      <c r="K4" s="529"/>
      <c r="L4" s="529"/>
      <c r="M4" s="565" t="s">
        <v>119</v>
      </c>
      <c r="N4" s="565">
        <v>633000</v>
      </c>
      <c r="O4" s="565" t="s">
        <v>120</v>
      </c>
    </row>
    <row r="5" spans="1:15">
      <c r="A5" s="528"/>
      <c r="B5" s="528" t="s">
        <v>121</v>
      </c>
      <c r="C5" s="524"/>
      <c r="D5" s="524"/>
      <c r="F5" s="529"/>
      <c r="G5" s="529"/>
      <c r="H5" s="523"/>
      <c r="I5" s="522"/>
      <c r="J5" s="563"/>
      <c r="K5" s="522"/>
      <c r="L5" s="522">
        <v>21</v>
      </c>
      <c r="M5" s="564"/>
      <c r="N5" s="564"/>
      <c r="O5" s="564"/>
    </row>
    <row r="6" ht="26.4" spans="1:15">
      <c r="A6" s="530" t="s">
        <v>52</v>
      </c>
      <c r="B6" s="530" t="s">
        <v>122</v>
      </c>
      <c r="C6" s="531" t="s">
        <v>123</v>
      </c>
      <c r="D6" s="531" t="s">
        <v>124</v>
      </c>
      <c r="E6" s="532" t="s">
        <v>125</v>
      </c>
      <c r="F6" s="525" t="s">
        <v>126</v>
      </c>
      <c r="G6" s="533" t="s">
        <v>104</v>
      </c>
      <c r="H6" s="527" t="s">
        <v>127</v>
      </c>
      <c r="I6" s="529"/>
      <c r="J6" s="561" t="s">
        <v>106</v>
      </c>
      <c r="K6" s="529"/>
      <c r="L6" s="529"/>
      <c r="M6" s="565" t="s">
        <v>128</v>
      </c>
      <c r="N6" s="565" t="s">
        <v>129</v>
      </c>
      <c r="O6" s="565" t="s">
        <v>130</v>
      </c>
    </row>
    <row r="7" spans="1:15">
      <c r="A7" s="534"/>
      <c r="B7" s="534" t="s">
        <v>131</v>
      </c>
      <c r="C7" s="519"/>
      <c r="D7" s="519"/>
      <c r="E7" s="520"/>
      <c r="F7" s="522"/>
      <c r="G7" s="522"/>
      <c r="H7" s="523"/>
      <c r="I7" s="522"/>
      <c r="J7" s="563"/>
      <c r="K7" s="522"/>
      <c r="L7" s="522">
        <v>19</v>
      </c>
      <c r="M7" s="564"/>
      <c r="N7" s="564"/>
      <c r="O7" s="564"/>
    </row>
    <row r="8" spans="1:15">
      <c r="A8" s="535"/>
      <c r="B8" s="535"/>
      <c r="C8" s="536"/>
      <c r="D8" s="536"/>
      <c r="E8" s="537"/>
      <c r="F8" s="538"/>
      <c r="G8" s="539"/>
      <c r="H8" s="540"/>
      <c r="I8" s="539"/>
      <c r="J8" s="563"/>
      <c r="K8" s="522"/>
      <c r="L8" s="522"/>
      <c r="M8" s="564"/>
      <c r="N8" s="564"/>
      <c r="O8" s="564"/>
    </row>
    <row r="9" ht="26.4" spans="1:15">
      <c r="A9" s="530" t="s">
        <v>54</v>
      </c>
      <c r="B9" s="530" t="s">
        <v>132</v>
      </c>
      <c r="C9" s="531" t="s">
        <v>133</v>
      </c>
      <c r="D9" s="531" t="s">
        <v>134</v>
      </c>
      <c r="E9" s="532" t="s">
        <v>135</v>
      </c>
      <c r="F9" s="525" t="s">
        <v>136</v>
      </c>
      <c r="G9" s="526" t="s">
        <v>104</v>
      </c>
      <c r="H9" s="527" t="s">
        <v>137</v>
      </c>
      <c r="I9" s="529"/>
      <c r="J9" s="561" t="s">
        <v>106</v>
      </c>
      <c r="K9" s="529"/>
      <c r="L9" s="529"/>
      <c r="M9" s="565" t="s">
        <v>138</v>
      </c>
      <c r="N9" s="565" t="s">
        <v>139</v>
      </c>
      <c r="O9" s="565">
        <v>352588</v>
      </c>
    </row>
    <row r="10" spans="1:15">
      <c r="A10" s="534"/>
      <c r="B10" s="534" t="s">
        <v>140</v>
      </c>
      <c r="C10" s="519"/>
      <c r="D10" s="519"/>
      <c r="E10" s="520"/>
      <c r="F10" s="522"/>
      <c r="G10" s="522"/>
      <c r="H10" s="523"/>
      <c r="I10" s="522"/>
      <c r="J10" s="563"/>
      <c r="K10" s="522"/>
      <c r="L10" s="522">
        <v>23</v>
      </c>
      <c r="M10" s="564"/>
      <c r="N10" s="564"/>
      <c r="O10" s="564"/>
    </row>
    <row r="11" ht="26.4" spans="1:15">
      <c r="A11" s="513" t="s">
        <v>58</v>
      </c>
      <c r="B11" s="513" t="s">
        <v>141</v>
      </c>
      <c r="C11" s="524" t="s">
        <v>142</v>
      </c>
      <c r="D11" s="524" t="s">
        <v>143</v>
      </c>
      <c r="E11" s="509" t="s">
        <v>144</v>
      </c>
      <c r="F11" s="525" t="s">
        <v>145</v>
      </c>
      <c r="G11" s="526" t="s">
        <v>104</v>
      </c>
      <c r="H11" s="527" t="s">
        <v>146</v>
      </c>
      <c r="I11" s="529"/>
      <c r="J11" s="561" t="s">
        <v>106</v>
      </c>
      <c r="K11" s="529"/>
      <c r="L11" s="529"/>
      <c r="M11" s="565" t="s">
        <v>147</v>
      </c>
      <c r="N11" s="565">
        <v>633000</v>
      </c>
      <c r="O11" s="565" t="s">
        <v>148</v>
      </c>
    </row>
    <row r="12" spans="1:15">
      <c r="A12" s="528"/>
      <c r="B12" s="528" t="s">
        <v>149</v>
      </c>
      <c r="C12" s="524"/>
      <c r="D12" s="524"/>
      <c r="F12" s="522"/>
      <c r="G12" s="529"/>
      <c r="H12" s="523"/>
      <c r="I12" s="522"/>
      <c r="J12" s="563"/>
      <c r="K12" s="522"/>
      <c r="L12" s="522">
        <v>22</v>
      </c>
      <c r="M12" s="564"/>
      <c r="N12" s="564"/>
      <c r="O12" s="564"/>
    </row>
    <row r="13" ht="15.6" spans="1:15">
      <c r="A13" s="541"/>
      <c r="B13" s="541"/>
      <c r="C13" s="541"/>
      <c r="D13" s="541"/>
      <c r="E13" s="542"/>
      <c r="F13" s="539"/>
      <c r="G13" s="543"/>
      <c r="H13" s="541"/>
      <c r="I13" s="539"/>
      <c r="J13" s="563"/>
      <c r="K13" s="522"/>
      <c r="L13" s="522"/>
      <c r="M13" s="564"/>
      <c r="N13" s="564"/>
      <c r="O13" s="564"/>
    </row>
    <row r="14" ht="32" customHeight="1" spans="1:15">
      <c r="A14" s="513" t="s">
        <v>59</v>
      </c>
      <c r="B14" s="513" t="s">
        <v>150</v>
      </c>
      <c r="C14" s="544" t="s">
        <v>151</v>
      </c>
      <c r="D14" s="524" t="s">
        <v>152</v>
      </c>
      <c r="E14" s="509" t="s">
        <v>153</v>
      </c>
      <c r="F14" s="545" t="s">
        <v>154</v>
      </c>
      <c r="G14" s="546" t="s">
        <v>104</v>
      </c>
      <c r="H14" s="527" t="s">
        <v>155</v>
      </c>
      <c r="I14" s="566" t="s">
        <v>106</v>
      </c>
      <c r="J14" s="561" t="s">
        <v>106</v>
      </c>
      <c r="K14" s="529"/>
      <c r="L14" s="529"/>
      <c r="M14" s="565" t="s">
        <v>156</v>
      </c>
      <c r="N14" s="565" t="s">
        <v>129</v>
      </c>
      <c r="O14" s="565" t="s">
        <v>157</v>
      </c>
    </row>
    <row r="15" spans="1:15">
      <c r="A15" s="528"/>
      <c r="B15" s="528" t="s">
        <v>158</v>
      </c>
      <c r="C15" s="544"/>
      <c r="D15" s="544"/>
      <c r="F15" s="547"/>
      <c r="G15" s="522"/>
      <c r="H15" s="523"/>
      <c r="I15" s="522"/>
      <c r="J15" s="563"/>
      <c r="K15" s="522"/>
      <c r="L15" s="522">
        <v>27</v>
      </c>
      <c r="M15" s="564"/>
      <c r="N15" s="564"/>
      <c r="O15" s="564"/>
    </row>
    <row r="16" ht="32" customHeight="1" spans="1:15">
      <c r="A16" s="530" t="s">
        <v>60</v>
      </c>
      <c r="B16" s="530" t="s">
        <v>159</v>
      </c>
      <c r="C16" s="548" t="s">
        <v>160</v>
      </c>
      <c r="D16" s="531" t="s">
        <v>161</v>
      </c>
      <c r="E16" s="532" t="s">
        <v>162</v>
      </c>
      <c r="F16" s="549" t="s">
        <v>163</v>
      </c>
      <c r="G16" s="526" t="s">
        <v>104</v>
      </c>
      <c r="H16" s="527" t="s">
        <v>164</v>
      </c>
      <c r="I16" s="566" t="s">
        <v>106</v>
      </c>
      <c r="J16" s="561" t="s">
        <v>106</v>
      </c>
      <c r="K16" s="529"/>
      <c r="L16" s="529"/>
      <c r="M16" s="565" t="s">
        <v>165</v>
      </c>
      <c r="N16" s="565" t="s">
        <v>166</v>
      </c>
      <c r="O16" s="565" t="s">
        <v>167</v>
      </c>
    </row>
    <row r="17" ht="15.6" spans="1:15">
      <c r="A17" s="528"/>
      <c r="B17" s="528" t="s">
        <v>131</v>
      </c>
      <c r="C17" s="544"/>
      <c r="D17" s="544"/>
      <c r="E17" s="509" t="s">
        <v>168</v>
      </c>
      <c r="F17" s="550" t="s">
        <v>169</v>
      </c>
      <c r="G17" s="551"/>
      <c r="H17" s="523"/>
      <c r="I17" s="522"/>
      <c r="J17" s="563"/>
      <c r="K17" s="522"/>
      <c r="L17" s="522">
        <v>19</v>
      </c>
      <c r="M17" s="564"/>
      <c r="N17" s="564"/>
      <c r="O17" s="564"/>
    </row>
    <row r="18" ht="32" customHeight="1" spans="1:15">
      <c r="A18" s="530"/>
      <c r="B18" s="530" t="s">
        <v>170</v>
      </c>
      <c r="C18" s="548" t="s">
        <v>171</v>
      </c>
      <c r="D18" s="531" t="s">
        <v>172</v>
      </c>
      <c r="E18" s="552" t="s">
        <v>173</v>
      </c>
      <c r="F18" s="553"/>
      <c r="G18" s="526" t="s">
        <v>104</v>
      </c>
      <c r="H18" s="527" t="s">
        <v>174</v>
      </c>
      <c r="I18" s="566" t="s">
        <v>106</v>
      </c>
      <c r="K18" s="566" t="s">
        <v>106</v>
      </c>
      <c r="L18" s="566"/>
      <c r="M18" s="567"/>
      <c r="N18" s="567"/>
      <c r="O18" s="567"/>
    </row>
    <row r="19" spans="1:15">
      <c r="A19" s="528"/>
      <c r="B19" s="528" t="s">
        <v>175</v>
      </c>
      <c r="C19" s="554"/>
      <c r="D19" s="554"/>
      <c r="E19" s="520"/>
      <c r="F19" s="522"/>
      <c r="G19" s="522"/>
      <c r="H19" s="523"/>
      <c r="I19" s="529"/>
      <c r="J19" s="563"/>
      <c r="K19" s="522"/>
      <c r="L19" s="522">
        <v>15</v>
      </c>
      <c r="M19" s="522"/>
      <c r="N19" s="522"/>
      <c r="O19" s="522"/>
    </row>
    <row r="20" ht="15.6" spans="1:11">
      <c r="A20" s="541"/>
      <c r="B20" s="541"/>
      <c r="C20" s="541"/>
      <c r="D20" s="541"/>
      <c r="E20" s="542"/>
      <c r="F20" s="539"/>
      <c r="G20" s="539"/>
      <c r="H20" s="541"/>
      <c r="I20" s="539"/>
      <c r="J20" s="563"/>
      <c r="K20" s="522"/>
    </row>
    <row r="21" ht="32" customHeight="1" spans="2:11">
      <c r="B21" s="513" t="s">
        <v>176</v>
      </c>
      <c r="C21" s="524" t="s">
        <v>177</v>
      </c>
      <c r="D21" s="524" t="s">
        <v>178</v>
      </c>
      <c r="E21" s="555" t="s">
        <v>173</v>
      </c>
      <c r="F21" s="529"/>
      <c r="G21" s="532" t="s">
        <v>179</v>
      </c>
      <c r="H21" s="527" t="s">
        <v>180</v>
      </c>
      <c r="I21" s="566" t="s">
        <v>106</v>
      </c>
      <c r="K21" s="566" t="s">
        <v>106</v>
      </c>
    </row>
    <row r="22" spans="2:12">
      <c r="B22" s="528" t="s">
        <v>181</v>
      </c>
      <c r="C22" s="524"/>
      <c r="D22" s="524"/>
      <c r="F22" s="529"/>
      <c r="G22" s="522"/>
      <c r="H22" s="523"/>
      <c r="I22" s="522"/>
      <c r="J22" s="520"/>
      <c r="K22" s="522"/>
      <c r="L22" s="509">
        <v>26</v>
      </c>
    </row>
    <row r="23" ht="32" customHeight="1" spans="2:11">
      <c r="B23" s="530" t="s">
        <v>182</v>
      </c>
      <c r="C23" s="531" t="s">
        <v>183</v>
      </c>
      <c r="D23" s="531" t="s">
        <v>184</v>
      </c>
      <c r="E23" s="532" t="s">
        <v>185</v>
      </c>
      <c r="F23" s="556" t="s">
        <v>186</v>
      </c>
      <c r="G23" s="553" t="s">
        <v>187</v>
      </c>
      <c r="H23" s="527" t="s">
        <v>188</v>
      </c>
      <c r="I23" s="566" t="s">
        <v>106</v>
      </c>
      <c r="K23" s="566" t="s">
        <v>106</v>
      </c>
    </row>
    <row r="24" ht="15.6" spans="2:12">
      <c r="B24" s="534" t="s">
        <v>189</v>
      </c>
      <c r="C24" s="519"/>
      <c r="D24" s="519"/>
      <c r="E24" s="520" t="s">
        <v>187</v>
      </c>
      <c r="F24" s="557" t="s">
        <v>190</v>
      </c>
      <c r="G24" s="522"/>
      <c r="H24" s="523"/>
      <c r="I24" s="522"/>
      <c r="J24" s="522"/>
      <c r="K24" s="522"/>
      <c r="L24" s="509">
        <v>20</v>
      </c>
    </row>
  </sheetData>
  <hyperlinks>
    <hyperlink ref="H2" r:id="rId2" display="wevcluster1a@gmail.com"/>
    <hyperlink ref="H4" r:id="rId3" display="wevcluster1b@gmail.com"/>
    <hyperlink ref="H6" r:id="rId4" display="wevcluster1c@gmail.com"/>
    <hyperlink ref="H9" r:id="rId5" display="wevcluster2a@gmail.com"/>
    <hyperlink ref="H11" r:id="rId6" display="wevcluster2b@gmail.com"/>
    <hyperlink ref="H14" r:id="rId7" display="wevcluster3a@gmail.com "/>
    <hyperlink ref="H16" r:id="rId8" display="wevcluster3b@gmail.com "/>
    <hyperlink ref="H18" r:id="rId9" display="wevcluster3c@gmail.com "/>
    <hyperlink ref="H21" r:id="rId10" display="wevcluster4a@gmail.com"/>
    <hyperlink ref="H23" r:id="rId11" display="wevcluster4b@gmail.com "/>
    <hyperlink ref="F2" r:id="rId12" display="froehlich.fp@gmail.com"/>
    <hyperlink ref="F3" r:id="rId13" display="lindyjdunlop@hotmail.com"/>
    <hyperlink ref="F23" r:id="rId14" display="carolinandmanuel@gmail.com"/>
    <hyperlink ref="F24" r:id="rId15" display="jenny@challen.com.au"/>
    <hyperlink ref="F16" r:id="rId16" display="jasonmchattan@gmail.com"/>
    <hyperlink ref="F17" r:id="rId17" display="timjcthomson@gmail.com"/>
    <hyperlink ref="F14" r:id="rId18" display="elaineclocherty@gmail.com"/>
    <hyperlink ref="F11" r:id="rId19" display="alisonaskew123@gmail.com "/>
    <hyperlink ref="F9" r:id="rId20" display="bouwe.hamersma@gmail.com "/>
    <hyperlink ref="F6" r:id="rId21" display="logs1@iinet.net.au"/>
    <hyperlink ref="F4" r:id="rId22" display="mail2paul07@gmail.com "/>
  </hyperlinks>
  <pageMargins left="0.7" right="0.7" top="0.75" bottom="0.75" header="0.3" footer="0.3"/>
  <pageSetup paperSize="9" orientation="portrait"/>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dimension ref="A1:AD193"/>
  <sheetViews>
    <sheetView zoomScale="104" zoomScaleNormal="104" topLeftCell="A107" workbookViewId="0">
      <pane xSplit="1" topLeftCell="B1" activePane="topRight" state="frozen"/>
      <selection/>
      <selection pane="topRight" activeCell="F133" sqref="F133"/>
    </sheetView>
  </sheetViews>
  <sheetFormatPr defaultColWidth="10.8333333333333" defaultRowHeight="15.6"/>
  <cols>
    <col min="1" max="1" width="5.5" style="433" customWidth="1"/>
    <col min="2" max="2" width="10.8333333333333" style="434"/>
    <col min="3" max="3" width="14.5" style="434" customWidth="1"/>
    <col min="4" max="4" width="10.8333333333333" style="434"/>
    <col min="5" max="5" width="39.6666666666667" style="433" customWidth="1"/>
    <col min="6" max="6" width="29.8333333333333" style="433" customWidth="1"/>
    <col min="7" max="9" width="10.8333333333333" style="434"/>
    <col min="10" max="10" width="13" style="435" customWidth="1"/>
    <col min="11" max="11" width="13" style="436" customWidth="1"/>
    <col min="12" max="12" width="13" style="437" customWidth="1"/>
    <col min="13" max="13" width="10.8333333333333" style="434"/>
    <col min="14" max="14" width="10.8333333333333" style="438"/>
    <col min="15" max="19" width="10.8333333333333" style="432"/>
    <col min="20" max="20" width="17.8333333333333" style="439" customWidth="1"/>
    <col min="21" max="21" width="14.3333333333333" style="440" customWidth="1"/>
    <col min="22" max="22" width="29.6666666666667" style="441" customWidth="1"/>
    <col min="23" max="23" width="12" style="432" customWidth="1"/>
    <col min="24" max="24" width="11.8333333333333" style="442" customWidth="1"/>
    <col min="25" max="25" width="13.6666666666667" style="443" customWidth="1"/>
    <col min="26" max="27" width="10.8333333333333" style="432"/>
    <col min="28" max="28" width="29.1666666666667" style="432" customWidth="1"/>
    <col min="29" max="30" width="10.8333333333333" style="432"/>
    <col min="31" max="31" width="16.3333333333333" style="434" customWidth="1"/>
    <col min="32" max="16384" width="10.8333333333333" style="434"/>
  </cols>
  <sheetData>
    <row r="1" s="431" customFormat="1" ht="62.4" spans="1:26">
      <c r="A1" s="431" t="s">
        <v>191</v>
      </c>
      <c r="B1" s="431" t="s">
        <v>192</v>
      </c>
      <c r="C1" s="431" t="s">
        <v>193</v>
      </c>
      <c r="D1" s="431" t="s">
        <v>194</v>
      </c>
      <c r="E1" s="434" t="s">
        <v>195</v>
      </c>
      <c r="F1" s="431" t="s">
        <v>196</v>
      </c>
      <c r="G1" s="431" t="s">
        <v>197</v>
      </c>
      <c r="H1" s="431" t="s">
        <v>198</v>
      </c>
      <c r="I1" s="431" t="s">
        <v>199</v>
      </c>
      <c r="J1" s="431" t="s">
        <v>200</v>
      </c>
      <c r="K1" s="450" t="s">
        <v>201</v>
      </c>
      <c r="L1" s="451" t="s">
        <v>202</v>
      </c>
      <c r="M1" s="431" t="s">
        <v>203</v>
      </c>
      <c r="N1" s="451" t="s">
        <v>204</v>
      </c>
      <c r="O1" s="431" t="s">
        <v>205</v>
      </c>
      <c r="P1" s="431" t="s">
        <v>206</v>
      </c>
      <c r="Q1" s="431" t="s">
        <v>207</v>
      </c>
      <c r="R1" s="431" t="s">
        <v>208</v>
      </c>
      <c r="S1" s="431" t="s">
        <v>209</v>
      </c>
      <c r="T1" s="466" t="s">
        <v>210</v>
      </c>
      <c r="U1" s="466" t="s">
        <v>211</v>
      </c>
      <c r="V1" s="466" t="s">
        <v>212</v>
      </c>
      <c r="W1" s="431" t="s">
        <v>213</v>
      </c>
      <c r="X1" s="467" t="s">
        <v>214</v>
      </c>
      <c r="Y1" s="431" t="s">
        <v>215</v>
      </c>
      <c r="Z1" s="431" t="s">
        <v>216</v>
      </c>
    </row>
    <row r="2" s="432" customFormat="1" ht="17.4" spans="1:27">
      <c r="A2" s="349">
        <v>1</v>
      </c>
      <c r="B2" s="350" t="s">
        <v>44</v>
      </c>
      <c r="C2" s="354"/>
      <c r="D2" s="444" t="s">
        <v>217</v>
      </c>
      <c r="E2" s="434" t="s">
        <v>218</v>
      </c>
      <c r="F2" s="444" t="s">
        <v>219</v>
      </c>
      <c r="G2" s="434" t="s">
        <v>220</v>
      </c>
      <c r="H2" s="434" t="s">
        <v>221</v>
      </c>
      <c r="I2" s="434">
        <v>6286</v>
      </c>
      <c r="J2" s="452">
        <v>36</v>
      </c>
      <c r="K2" s="453">
        <v>0.036</v>
      </c>
      <c r="L2" s="437">
        <v>8.352</v>
      </c>
      <c r="M2" s="454"/>
      <c r="N2" s="432">
        <v>0</v>
      </c>
      <c r="P2" s="444" t="s">
        <v>222</v>
      </c>
      <c r="Q2" s="444" t="s">
        <v>223</v>
      </c>
      <c r="R2" s="468" t="s">
        <v>223</v>
      </c>
      <c r="S2" s="469" t="s">
        <v>224</v>
      </c>
      <c r="T2" s="432">
        <v>0</v>
      </c>
      <c r="U2" s="440">
        <v>0.72</v>
      </c>
      <c r="V2" s="432" t="s">
        <v>225</v>
      </c>
      <c r="W2" s="432" t="s">
        <v>226</v>
      </c>
      <c r="X2" s="470" t="s">
        <v>227</v>
      </c>
      <c r="Y2" s="443"/>
      <c r="Z2" s="432">
        <v>45292</v>
      </c>
      <c r="AA2" s="432" t="s">
        <v>228</v>
      </c>
    </row>
    <row r="3" s="432" customFormat="1" ht="17.4" spans="1:27">
      <c r="A3" s="349">
        <v>2</v>
      </c>
      <c r="B3" s="350" t="s">
        <v>44</v>
      </c>
      <c r="C3" s="354"/>
      <c r="D3" s="444" t="s">
        <v>217</v>
      </c>
      <c r="E3" s="434" t="s">
        <v>229</v>
      </c>
      <c r="F3" s="444" t="s">
        <v>230</v>
      </c>
      <c r="G3" s="434" t="s">
        <v>220</v>
      </c>
      <c r="H3" s="434" t="s">
        <v>221</v>
      </c>
      <c r="I3" s="434">
        <v>6286</v>
      </c>
      <c r="J3" s="452">
        <v>36</v>
      </c>
      <c r="K3" s="453">
        <v>0.036</v>
      </c>
      <c r="L3" s="437">
        <v>8.352</v>
      </c>
      <c r="M3" s="454"/>
      <c r="N3" s="438">
        <v>0</v>
      </c>
      <c r="P3" s="444" t="s">
        <v>222</v>
      </c>
      <c r="Q3" s="444" t="s">
        <v>223</v>
      </c>
      <c r="R3" s="468" t="s">
        <v>223</v>
      </c>
      <c r="S3" s="469" t="s">
        <v>224</v>
      </c>
      <c r="T3" s="432">
        <v>0</v>
      </c>
      <c r="U3" s="440">
        <v>0.72</v>
      </c>
      <c r="V3" s="432" t="s">
        <v>231</v>
      </c>
      <c r="X3" s="470" t="s">
        <v>232</v>
      </c>
      <c r="Y3" s="443"/>
      <c r="Z3" s="432">
        <v>45292</v>
      </c>
      <c r="AA3" s="432" t="s">
        <v>228</v>
      </c>
    </row>
    <row r="4" s="432" customFormat="1" ht="17.4" spans="1:27">
      <c r="A4" s="349">
        <v>3</v>
      </c>
      <c r="B4" s="350" t="s">
        <v>44</v>
      </c>
      <c r="C4" s="351">
        <v>50002872</v>
      </c>
      <c r="D4" s="444" t="s">
        <v>217</v>
      </c>
      <c r="E4" s="434" t="s">
        <v>233</v>
      </c>
      <c r="F4" s="444" t="s">
        <v>234</v>
      </c>
      <c r="G4" s="434" t="s">
        <v>220</v>
      </c>
      <c r="H4" s="434" t="s">
        <v>221</v>
      </c>
      <c r="I4" s="434">
        <v>6286</v>
      </c>
      <c r="J4" s="452">
        <v>37</v>
      </c>
      <c r="K4" s="453">
        <v>0.037</v>
      </c>
      <c r="L4" s="437">
        <v>8.584</v>
      </c>
      <c r="M4" s="454"/>
      <c r="N4" s="438">
        <v>0</v>
      </c>
      <c r="P4" s="444" t="s">
        <v>222</v>
      </c>
      <c r="Q4" s="444" t="s">
        <v>223</v>
      </c>
      <c r="R4" s="468" t="s">
        <v>223</v>
      </c>
      <c r="S4" s="469" t="s">
        <v>235</v>
      </c>
      <c r="T4" s="432">
        <v>0</v>
      </c>
      <c r="U4" s="440">
        <v>0.72</v>
      </c>
      <c r="V4" s="432" t="s">
        <v>236</v>
      </c>
      <c r="X4" s="470" t="s">
        <v>237</v>
      </c>
      <c r="Y4" s="443"/>
      <c r="Z4" s="432">
        <v>45292</v>
      </c>
      <c r="AA4" s="432" t="s">
        <v>228</v>
      </c>
    </row>
    <row r="5" s="432" customFormat="1" ht="17.4" spans="1:27">
      <c r="A5" s="349">
        <v>4</v>
      </c>
      <c r="B5" s="350" t="s">
        <v>44</v>
      </c>
      <c r="C5" s="351">
        <v>50002869</v>
      </c>
      <c r="D5" s="444" t="s">
        <v>217</v>
      </c>
      <c r="E5" s="434" t="s">
        <v>238</v>
      </c>
      <c r="F5" s="444" t="s">
        <v>239</v>
      </c>
      <c r="G5" s="434" t="s">
        <v>220</v>
      </c>
      <c r="H5" s="434" t="s">
        <v>221</v>
      </c>
      <c r="I5" s="434">
        <v>6286</v>
      </c>
      <c r="J5" s="452">
        <v>38</v>
      </c>
      <c r="K5" s="453">
        <v>0.038</v>
      </c>
      <c r="L5" s="437">
        <v>8.816</v>
      </c>
      <c r="M5" s="454" t="s">
        <v>240</v>
      </c>
      <c r="N5" s="438">
        <v>8.816</v>
      </c>
      <c r="O5" s="454">
        <v>6.64</v>
      </c>
      <c r="P5" s="444" t="s">
        <v>222</v>
      </c>
      <c r="Q5" s="444" t="s">
        <v>222</v>
      </c>
      <c r="R5" s="468" t="s">
        <v>222</v>
      </c>
      <c r="S5" s="469" t="s">
        <v>235</v>
      </c>
      <c r="T5" s="432">
        <v>4.7808</v>
      </c>
      <c r="U5" s="440">
        <v>0.72</v>
      </c>
      <c r="V5" s="432" t="s">
        <v>241</v>
      </c>
      <c r="W5" s="432" t="s">
        <v>242</v>
      </c>
      <c r="X5" s="470" t="s">
        <v>243</v>
      </c>
      <c r="Y5" s="443"/>
      <c r="Z5" s="432">
        <v>45292</v>
      </c>
      <c r="AA5" s="432" t="s">
        <v>228</v>
      </c>
    </row>
    <row r="6" s="432" customFormat="1" ht="17.4" spans="1:27">
      <c r="A6" s="349">
        <v>5</v>
      </c>
      <c r="B6" s="350" t="s">
        <v>44</v>
      </c>
      <c r="C6" s="351">
        <v>50002879</v>
      </c>
      <c r="D6" s="444" t="s">
        <v>217</v>
      </c>
      <c r="E6" s="434" t="s">
        <v>244</v>
      </c>
      <c r="F6" s="444" t="s">
        <v>245</v>
      </c>
      <c r="G6" s="434" t="s">
        <v>220</v>
      </c>
      <c r="H6" s="434" t="s">
        <v>221</v>
      </c>
      <c r="I6" s="434">
        <v>6286</v>
      </c>
      <c r="J6" s="452">
        <v>39</v>
      </c>
      <c r="K6" s="453">
        <v>0.039</v>
      </c>
      <c r="L6" s="437">
        <v>9.048</v>
      </c>
      <c r="M6" s="454" t="s">
        <v>240</v>
      </c>
      <c r="N6" s="438">
        <v>9.048</v>
      </c>
      <c r="O6" s="454">
        <v>6.4</v>
      </c>
      <c r="P6" s="444" t="s">
        <v>222</v>
      </c>
      <c r="Q6" s="444" t="s">
        <v>222</v>
      </c>
      <c r="R6" s="468" t="s">
        <v>222</v>
      </c>
      <c r="S6" s="469" t="s">
        <v>235</v>
      </c>
      <c r="T6" s="432">
        <v>4.608</v>
      </c>
      <c r="U6" s="440">
        <v>0.72</v>
      </c>
      <c r="V6" s="432" t="s">
        <v>246</v>
      </c>
      <c r="W6" s="432" t="s">
        <v>247</v>
      </c>
      <c r="X6" s="470" t="s">
        <v>248</v>
      </c>
      <c r="Y6" s="443"/>
      <c r="Z6" s="432">
        <v>45292</v>
      </c>
      <c r="AA6" s="432" t="s">
        <v>228</v>
      </c>
    </row>
    <row r="7" s="432" customFormat="1" ht="17.4" spans="1:27">
      <c r="A7" s="349">
        <v>6</v>
      </c>
      <c r="B7" s="350" t="s">
        <v>44</v>
      </c>
      <c r="C7" s="351">
        <v>50002865</v>
      </c>
      <c r="D7" s="444" t="s">
        <v>217</v>
      </c>
      <c r="E7" s="434" t="s">
        <v>249</v>
      </c>
      <c r="F7" s="444" t="s">
        <v>250</v>
      </c>
      <c r="G7" s="434" t="s">
        <v>220</v>
      </c>
      <c r="H7" s="434" t="s">
        <v>221</v>
      </c>
      <c r="I7" s="434">
        <v>6286</v>
      </c>
      <c r="J7" s="452">
        <v>39</v>
      </c>
      <c r="K7" s="453">
        <v>0.039</v>
      </c>
      <c r="L7" s="437">
        <v>9.048</v>
      </c>
      <c r="M7" s="454" t="s">
        <v>251</v>
      </c>
      <c r="N7" s="438">
        <v>9.048</v>
      </c>
      <c r="O7" s="454">
        <v>10.88</v>
      </c>
      <c r="P7" s="444" t="s">
        <v>222</v>
      </c>
      <c r="Q7" s="444" t="s">
        <v>222</v>
      </c>
      <c r="R7" s="468" t="s">
        <v>222</v>
      </c>
      <c r="S7" s="469" t="s">
        <v>235</v>
      </c>
      <c r="T7" s="432">
        <v>7.8336</v>
      </c>
      <c r="U7" s="440">
        <v>0.72</v>
      </c>
      <c r="V7" s="432" t="s">
        <v>252</v>
      </c>
      <c r="W7" s="432" t="s">
        <v>253</v>
      </c>
      <c r="X7" s="470" t="s">
        <v>254</v>
      </c>
      <c r="Y7" s="443"/>
      <c r="Z7" s="432">
        <v>45292</v>
      </c>
      <c r="AA7" s="432" t="s">
        <v>228</v>
      </c>
    </row>
    <row r="8" s="432" customFormat="1" ht="17.4" spans="1:27">
      <c r="A8" s="349">
        <v>7</v>
      </c>
      <c r="B8" s="350" t="s">
        <v>44</v>
      </c>
      <c r="C8" s="354"/>
      <c r="D8" s="444" t="s">
        <v>217</v>
      </c>
      <c r="E8" s="434" t="s">
        <v>255</v>
      </c>
      <c r="F8" s="444" t="s">
        <v>256</v>
      </c>
      <c r="G8" s="434" t="s">
        <v>220</v>
      </c>
      <c r="H8" s="434" t="s">
        <v>221</v>
      </c>
      <c r="I8" s="434">
        <v>6286</v>
      </c>
      <c r="J8" s="452">
        <v>37</v>
      </c>
      <c r="K8" s="453">
        <v>0.037</v>
      </c>
      <c r="L8" s="437">
        <v>8.584</v>
      </c>
      <c r="M8" s="454"/>
      <c r="N8" s="438">
        <v>0</v>
      </c>
      <c r="O8" s="454"/>
      <c r="P8" s="444" t="s">
        <v>222</v>
      </c>
      <c r="Q8" s="444" t="s">
        <v>223</v>
      </c>
      <c r="R8" s="468" t="s">
        <v>223</v>
      </c>
      <c r="S8" s="469" t="s">
        <v>235</v>
      </c>
      <c r="T8" s="432">
        <v>0</v>
      </c>
      <c r="U8" s="440">
        <v>0.72</v>
      </c>
      <c r="V8" s="432" t="s">
        <v>257</v>
      </c>
      <c r="X8" s="470" t="s">
        <v>258</v>
      </c>
      <c r="Y8" s="443"/>
      <c r="Z8" s="432">
        <v>45292</v>
      </c>
      <c r="AA8" s="432" t="s">
        <v>228</v>
      </c>
    </row>
    <row r="9" s="432" customFormat="1" ht="17.4" spans="1:27">
      <c r="A9" s="349">
        <v>8</v>
      </c>
      <c r="B9" s="350" t="s">
        <v>44</v>
      </c>
      <c r="C9" s="351">
        <v>50002846</v>
      </c>
      <c r="D9" s="444" t="s">
        <v>217</v>
      </c>
      <c r="E9" s="434" t="s">
        <v>259</v>
      </c>
      <c r="F9" s="444" t="s">
        <v>260</v>
      </c>
      <c r="G9" s="434" t="s">
        <v>220</v>
      </c>
      <c r="H9" s="434" t="s">
        <v>221</v>
      </c>
      <c r="I9" s="434">
        <v>6286</v>
      </c>
      <c r="J9" s="452">
        <v>36</v>
      </c>
      <c r="K9" s="453">
        <v>0.036</v>
      </c>
      <c r="L9" s="437">
        <v>8.352</v>
      </c>
      <c r="M9" s="454" t="s">
        <v>240</v>
      </c>
      <c r="N9" s="438">
        <v>8.352</v>
      </c>
      <c r="O9" s="454">
        <v>6.6</v>
      </c>
      <c r="P9" s="444" t="s">
        <v>222</v>
      </c>
      <c r="Q9" s="444" t="s">
        <v>222</v>
      </c>
      <c r="R9" s="468" t="s">
        <v>222</v>
      </c>
      <c r="S9" s="469" t="s">
        <v>235</v>
      </c>
      <c r="T9" s="432">
        <v>4.752</v>
      </c>
      <c r="U9" s="440">
        <v>0.72</v>
      </c>
      <c r="V9" s="432" t="s">
        <v>261</v>
      </c>
      <c r="W9" s="432" t="s">
        <v>262</v>
      </c>
      <c r="X9" s="470" t="s">
        <v>263</v>
      </c>
      <c r="Y9" s="443"/>
      <c r="Z9" s="432">
        <v>45292</v>
      </c>
      <c r="AA9" s="432" t="s">
        <v>228</v>
      </c>
    </row>
    <row r="10" s="432" customFormat="1" ht="17.4" spans="1:27">
      <c r="A10" s="349">
        <v>9</v>
      </c>
      <c r="B10" s="350" t="s">
        <v>44</v>
      </c>
      <c r="C10" s="354"/>
      <c r="D10" s="444" t="s">
        <v>217</v>
      </c>
      <c r="E10" s="434" t="s">
        <v>264</v>
      </c>
      <c r="F10" s="444" t="s">
        <v>265</v>
      </c>
      <c r="G10" s="434" t="s">
        <v>220</v>
      </c>
      <c r="H10" s="434" t="s">
        <v>221</v>
      </c>
      <c r="I10" s="434">
        <v>6286</v>
      </c>
      <c r="J10" s="452">
        <v>36</v>
      </c>
      <c r="K10" s="453">
        <v>0.036</v>
      </c>
      <c r="L10" s="437">
        <v>8.352</v>
      </c>
      <c r="M10" s="454"/>
      <c r="N10" s="438">
        <v>0</v>
      </c>
      <c r="O10" s="454"/>
      <c r="P10" s="444" t="s">
        <v>222</v>
      </c>
      <c r="Q10" s="444" t="s">
        <v>223</v>
      </c>
      <c r="R10" s="468" t="s">
        <v>223</v>
      </c>
      <c r="S10" s="469" t="s">
        <v>235</v>
      </c>
      <c r="T10" s="432">
        <v>0</v>
      </c>
      <c r="U10" s="440">
        <v>0.72</v>
      </c>
      <c r="V10" s="432" t="s">
        <v>266</v>
      </c>
      <c r="X10" s="470" t="s">
        <v>267</v>
      </c>
      <c r="Y10" s="443"/>
      <c r="Z10" s="432">
        <v>45292</v>
      </c>
      <c r="AA10" s="432" t="s">
        <v>228</v>
      </c>
    </row>
    <row r="11" s="432" customFormat="1" ht="17.4" spans="1:27">
      <c r="A11" s="349">
        <v>10</v>
      </c>
      <c r="B11" s="350" t="s">
        <v>44</v>
      </c>
      <c r="C11" s="354"/>
      <c r="D11" s="444" t="s">
        <v>268</v>
      </c>
      <c r="E11" s="434" t="s">
        <v>269</v>
      </c>
      <c r="F11" s="444" t="s">
        <v>270</v>
      </c>
      <c r="G11" s="434" t="s">
        <v>220</v>
      </c>
      <c r="H11" s="434" t="s">
        <v>221</v>
      </c>
      <c r="I11" s="434">
        <v>6286</v>
      </c>
      <c r="J11" s="452">
        <v>53</v>
      </c>
      <c r="K11" s="453">
        <v>0.053</v>
      </c>
      <c r="L11" s="437">
        <v>12.296</v>
      </c>
      <c r="M11" s="454" t="s">
        <v>240</v>
      </c>
      <c r="N11" s="438">
        <v>12.296</v>
      </c>
      <c r="O11" s="454">
        <v>6.4</v>
      </c>
      <c r="P11" s="444" t="s">
        <v>222</v>
      </c>
      <c r="Q11" s="444" t="s">
        <v>222</v>
      </c>
      <c r="R11" s="468" t="s">
        <v>222</v>
      </c>
      <c r="S11" s="469" t="s">
        <v>235</v>
      </c>
      <c r="T11" s="432">
        <v>4.608</v>
      </c>
      <c r="U11" s="440">
        <v>0.72</v>
      </c>
      <c r="V11" s="432" t="s">
        <v>271</v>
      </c>
      <c r="X11" s="470" t="s">
        <v>272</v>
      </c>
      <c r="Y11" s="443"/>
      <c r="Z11" s="432">
        <v>45292</v>
      </c>
      <c r="AA11" s="432" t="s">
        <v>228</v>
      </c>
    </row>
    <row r="12" s="432" customFormat="1" ht="17.4" spans="1:27">
      <c r="A12" s="349">
        <v>11</v>
      </c>
      <c r="B12" s="350" t="s">
        <v>44</v>
      </c>
      <c r="C12" s="351">
        <v>50002848</v>
      </c>
      <c r="D12" s="444" t="s">
        <v>268</v>
      </c>
      <c r="E12" s="434" t="s">
        <v>273</v>
      </c>
      <c r="F12" s="444" t="s">
        <v>274</v>
      </c>
      <c r="G12" s="434" t="s">
        <v>220</v>
      </c>
      <c r="H12" s="434" t="s">
        <v>221</v>
      </c>
      <c r="I12" s="434">
        <v>6286</v>
      </c>
      <c r="J12" s="452">
        <v>52</v>
      </c>
      <c r="K12" s="453">
        <v>0.052</v>
      </c>
      <c r="L12" s="437">
        <v>12.064</v>
      </c>
      <c r="M12" s="454" t="s">
        <v>240</v>
      </c>
      <c r="N12" s="438">
        <v>12.064</v>
      </c>
      <c r="O12" s="454">
        <v>6.4</v>
      </c>
      <c r="P12" s="444" t="s">
        <v>222</v>
      </c>
      <c r="Q12" s="444" t="s">
        <v>222</v>
      </c>
      <c r="R12" s="468" t="s">
        <v>222</v>
      </c>
      <c r="S12" s="469" t="s">
        <v>235</v>
      </c>
      <c r="T12" s="432">
        <v>4.608</v>
      </c>
      <c r="U12" s="440">
        <v>0.72</v>
      </c>
      <c r="V12" s="432" t="s">
        <v>275</v>
      </c>
      <c r="X12" s="470" t="s">
        <v>276</v>
      </c>
      <c r="Y12" s="443"/>
      <c r="Z12" s="432">
        <v>45292</v>
      </c>
      <c r="AA12" s="432" t="s">
        <v>228</v>
      </c>
    </row>
    <row r="13" s="432" customFormat="1" ht="17.4" spans="1:27">
      <c r="A13" s="349">
        <v>12</v>
      </c>
      <c r="B13" s="350" t="s">
        <v>44</v>
      </c>
      <c r="C13" s="354"/>
      <c r="D13" s="444" t="s">
        <v>268</v>
      </c>
      <c r="E13" s="434" t="s">
        <v>277</v>
      </c>
      <c r="F13" s="444" t="s">
        <v>278</v>
      </c>
      <c r="G13" s="434" t="s">
        <v>220</v>
      </c>
      <c r="H13" s="434" t="s">
        <v>221</v>
      </c>
      <c r="I13" s="434">
        <v>6286</v>
      </c>
      <c r="J13" s="452">
        <v>52</v>
      </c>
      <c r="K13" s="453">
        <v>0.052</v>
      </c>
      <c r="L13" s="437">
        <v>12.064</v>
      </c>
      <c r="M13" s="454"/>
      <c r="N13" s="438">
        <v>0</v>
      </c>
      <c r="O13" s="454"/>
      <c r="P13" s="444" t="s">
        <v>222</v>
      </c>
      <c r="Q13" s="444" t="s">
        <v>223</v>
      </c>
      <c r="R13" s="468" t="s">
        <v>223</v>
      </c>
      <c r="S13" s="469" t="s">
        <v>224</v>
      </c>
      <c r="T13" s="432">
        <v>0</v>
      </c>
      <c r="U13" s="440">
        <v>0.72</v>
      </c>
      <c r="V13" s="432" t="s">
        <v>279</v>
      </c>
      <c r="W13" s="432" t="s">
        <v>280</v>
      </c>
      <c r="X13" s="470" t="s">
        <v>281</v>
      </c>
      <c r="Y13" s="443"/>
      <c r="Z13" s="432">
        <v>45292</v>
      </c>
      <c r="AA13" s="432" t="s">
        <v>228</v>
      </c>
    </row>
    <row r="14" s="432" customFormat="1" ht="17.4" spans="1:27">
      <c r="A14" s="349">
        <v>13</v>
      </c>
      <c r="B14" s="350" t="s">
        <v>44</v>
      </c>
      <c r="C14" s="351">
        <v>50002739</v>
      </c>
      <c r="D14" s="444" t="s">
        <v>268</v>
      </c>
      <c r="E14" s="434" t="s">
        <v>282</v>
      </c>
      <c r="F14" s="444" t="s">
        <v>283</v>
      </c>
      <c r="G14" s="434" t="s">
        <v>220</v>
      </c>
      <c r="H14" s="434" t="s">
        <v>221</v>
      </c>
      <c r="I14" s="434">
        <v>6286</v>
      </c>
      <c r="J14" s="452">
        <v>52</v>
      </c>
      <c r="K14" s="453">
        <v>0.052</v>
      </c>
      <c r="L14" s="437">
        <v>12.064</v>
      </c>
      <c r="M14" s="454" t="s">
        <v>284</v>
      </c>
      <c r="N14" s="438">
        <v>12.064</v>
      </c>
      <c r="O14" s="454">
        <v>12.8</v>
      </c>
      <c r="P14" s="444" t="s">
        <v>222</v>
      </c>
      <c r="Q14" s="444" t="s">
        <v>222</v>
      </c>
      <c r="R14" s="468" t="s">
        <v>222</v>
      </c>
      <c r="S14" s="469" t="s">
        <v>235</v>
      </c>
      <c r="T14" s="432">
        <v>9.216</v>
      </c>
      <c r="U14" s="440">
        <v>0.72</v>
      </c>
      <c r="V14" s="432" t="s">
        <v>285</v>
      </c>
      <c r="W14" s="432" t="s">
        <v>286</v>
      </c>
      <c r="X14" s="470" t="s">
        <v>103</v>
      </c>
      <c r="Y14" s="443"/>
      <c r="Z14" s="432">
        <v>45292</v>
      </c>
      <c r="AA14" s="432" t="s">
        <v>228</v>
      </c>
    </row>
    <row r="15" s="432" customFormat="1" ht="17.4" spans="1:27">
      <c r="A15" s="349">
        <v>14</v>
      </c>
      <c r="B15" s="350" t="s">
        <v>44</v>
      </c>
      <c r="C15" s="354"/>
      <c r="D15" s="444" t="s">
        <v>268</v>
      </c>
      <c r="E15" s="434" t="s">
        <v>287</v>
      </c>
      <c r="F15" s="444" t="s">
        <v>288</v>
      </c>
      <c r="G15" s="434" t="s">
        <v>220</v>
      </c>
      <c r="H15" s="434" t="s">
        <v>221</v>
      </c>
      <c r="I15" s="434">
        <v>6286</v>
      </c>
      <c r="J15" s="452">
        <v>52</v>
      </c>
      <c r="K15" s="453">
        <v>0.052</v>
      </c>
      <c r="L15" s="437">
        <v>12.064</v>
      </c>
      <c r="M15" s="454" t="s">
        <v>284</v>
      </c>
      <c r="N15" s="438">
        <v>12.064</v>
      </c>
      <c r="O15" s="454">
        <v>13.2</v>
      </c>
      <c r="P15" s="444" t="s">
        <v>222</v>
      </c>
      <c r="Q15" s="444" t="s">
        <v>222</v>
      </c>
      <c r="R15" s="468" t="s">
        <v>223</v>
      </c>
      <c r="S15" s="469" t="s">
        <v>224</v>
      </c>
      <c r="T15" s="432">
        <v>9.504</v>
      </c>
      <c r="U15" s="440">
        <v>0.72</v>
      </c>
      <c r="V15" s="432" t="s">
        <v>289</v>
      </c>
      <c r="W15" s="432" t="s">
        <v>290</v>
      </c>
      <c r="X15" s="470" t="s">
        <v>291</v>
      </c>
      <c r="Y15" s="443"/>
      <c r="Z15" s="432">
        <v>45292</v>
      </c>
      <c r="AA15" s="432" t="s">
        <v>228</v>
      </c>
    </row>
    <row r="16" s="432" customFormat="1" ht="17.4" spans="1:27">
      <c r="A16" s="349">
        <v>15</v>
      </c>
      <c r="B16" s="350" t="s">
        <v>44</v>
      </c>
      <c r="C16" s="376"/>
      <c r="D16" s="444" t="s">
        <v>268</v>
      </c>
      <c r="E16" s="434" t="s">
        <v>292</v>
      </c>
      <c r="F16" s="444" t="s">
        <v>293</v>
      </c>
      <c r="G16" s="434" t="s">
        <v>220</v>
      </c>
      <c r="H16" s="434" t="s">
        <v>221</v>
      </c>
      <c r="I16" s="434">
        <v>6286</v>
      </c>
      <c r="J16" s="452">
        <v>53</v>
      </c>
      <c r="K16" s="453">
        <v>0.053</v>
      </c>
      <c r="L16" s="437">
        <v>12.296</v>
      </c>
      <c r="M16" s="454"/>
      <c r="N16" s="438">
        <v>0</v>
      </c>
      <c r="O16" s="454"/>
      <c r="P16" s="444" t="s">
        <v>222</v>
      </c>
      <c r="Q16" s="444" t="s">
        <v>223</v>
      </c>
      <c r="R16" s="468" t="s">
        <v>223</v>
      </c>
      <c r="S16" s="469" t="s">
        <v>224</v>
      </c>
      <c r="T16" s="432">
        <v>0</v>
      </c>
      <c r="U16" s="440">
        <v>0.72</v>
      </c>
      <c r="V16" s="432" t="s">
        <v>294</v>
      </c>
      <c r="W16" s="432" t="s">
        <v>295</v>
      </c>
      <c r="X16" s="470" t="s">
        <v>296</v>
      </c>
      <c r="Y16" s="443"/>
      <c r="Z16" s="432">
        <v>45292</v>
      </c>
      <c r="AA16" s="432" t="s">
        <v>228</v>
      </c>
    </row>
    <row r="17" s="432" customFormat="1" ht="17.4" spans="1:27">
      <c r="A17" s="349">
        <v>16</v>
      </c>
      <c r="B17" s="350" t="s">
        <v>44</v>
      </c>
      <c r="C17" s="351">
        <v>50002855</v>
      </c>
      <c r="D17" s="444" t="s">
        <v>268</v>
      </c>
      <c r="E17" s="434" t="s">
        <v>297</v>
      </c>
      <c r="F17" s="444" t="s">
        <v>298</v>
      </c>
      <c r="G17" s="434" t="s">
        <v>220</v>
      </c>
      <c r="H17" s="434" t="s">
        <v>221</v>
      </c>
      <c r="I17" s="434">
        <v>6286</v>
      </c>
      <c r="J17" s="452">
        <v>55</v>
      </c>
      <c r="K17" s="453">
        <v>0.055</v>
      </c>
      <c r="L17" s="437">
        <v>12.76</v>
      </c>
      <c r="M17" s="454" t="s">
        <v>240</v>
      </c>
      <c r="N17" s="438">
        <v>12.76</v>
      </c>
      <c r="O17" s="454">
        <v>6.6</v>
      </c>
      <c r="P17" s="444" t="s">
        <v>222</v>
      </c>
      <c r="Q17" s="444" t="s">
        <v>222</v>
      </c>
      <c r="R17" s="468" t="s">
        <v>222</v>
      </c>
      <c r="S17" s="469" t="s">
        <v>235</v>
      </c>
      <c r="T17" s="432">
        <v>4.752</v>
      </c>
      <c r="U17" s="440">
        <v>0.72</v>
      </c>
      <c r="V17" s="432" t="s">
        <v>299</v>
      </c>
      <c r="X17" s="470" t="s">
        <v>300</v>
      </c>
      <c r="Y17" s="443"/>
      <c r="Z17" s="432">
        <v>45292</v>
      </c>
      <c r="AA17" s="432" t="s">
        <v>228</v>
      </c>
    </row>
    <row r="18" s="432" customFormat="1" ht="17.4" spans="1:27">
      <c r="A18" s="349">
        <v>17</v>
      </c>
      <c r="B18" s="350" t="s">
        <v>44</v>
      </c>
      <c r="C18" s="351">
        <v>50002877</v>
      </c>
      <c r="D18" s="444" t="s">
        <v>268</v>
      </c>
      <c r="E18" s="434" t="s">
        <v>301</v>
      </c>
      <c r="F18" s="444" t="s">
        <v>302</v>
      </c>
      <c r="G18" s="434" t="s">
        <v>220</v>
      </c>
      <c r="H18" s="434" t="s">
        <v>221</v>
      </c>
      <c r="I18" s="434">
        <v>6286</v>
      </c>
      <c r="J18" s="452">
        <v>55</v>
      </c>
      <c r="K18" s="453">
        <v>0.055</v>
      </c>
      <c r="L18" s="437">
        <v>12.76</v>
      </c>
      <c r="M18" s="454" t="s">
        <v>251</v>
      </c>
      <c r="N18" s="438">
        <v>12.76</v>
      </c>
      <c r="O18" s="454">
        <v>10.9</v>
      </c>
      <c r="P18" s="444" t="s">
        <v>222</v>
      </c>
      <c r="Q18" s="444" t="s">
        <v>222</v>
      </c>
      <c r="R18" s="468" t="s">
        <v>222</v>
      </c>
      <c r="S18" s="469" t="s">
        <v>235</v>
      </c>
      <c r="T18" s="432">
        <v>7.848</v>
      </c>
      <c r="U18" s="440">
        <v>0.72</v>
      </c>
      <c r="V18" s="432" t="s">
        <v>303</v>
      </c>
      <c r="W18" s="432" t="s">
        <v>304</v>
      </c>
      <c r="X18" s="470" t="s">
        <v>305</v>
      </c>
      <c r="Y18" s="443"/>
      <c r="Z18" s="432">
        <v>45292</v>
      </c>
      <c r="AA18" s="432" t="s">
        <v>228</v>
      </c>
    </row>
    <row r="19" s="432" customFormat="1" ht="17.4" spans="1:27">
      <c r="A19" s="349">
        <v>18</v>
      </c>
      <c r="B19" s="350" t="s">
        <v>44</v>
      </c>
      <c r="C19" s="354"/>
      <c r="D19" s="444" t="s">
        <v>268</v>
      </c>
      <c r="E19" s="434" t="s">
        <v>306</v>
      </c>
      <c r="F19" s="444" t="s">
        <v>307</v>
      </c>
      <c r="G19" s="434" t="s">
        <v>220</v>
      </c>
      <c r="H19" s="434" t="s">
        <v>221</v>
      </c>
      <c r="I19" s="434">
        <v>6286</v>
      </c>
      <c r="J19" s="452">
        <v>55</v>
      </c>
      <c r="K19" s="453">
        <v>0.055</v>
      </c>
      <c r="L19" s="437">
        <v>12.76</v>
      </c>
      <c r="M19" s="454"/>
      <c r="N19" s="438">
        <v>0</v>
      </c>
      <c r="O19" s="454"/>
      <c r="P19" s="444"/>
      <c r="Q19" s="444" t="s">
        <v>223</v>
      </c>
      <c r="R19" s="468" t="s">
        <v>223</v>
      </c>
      <c r="S19" s="469" t="s">
        <v>308</v>
      </c>
      <c r="T19" s="432">
        <v>0</v>
      </c>
      <c r="U19" s="440">
        <v>0.72</v>
      </c>
      <c r="V19" s="432" t="s">
        <v>309</v>
      </c>
      <c r="X19" s="470" t="s">
        <v>310</v>
      </c>
      <c r="Y19" s="443"/>
      <c r="Z19" s="432">
        <v>45292</v>
      </c>
      <c r="AA19" s="432" t="s">
        <v>228</v>
      </c>
    </row>
    <row r="20" s="432" customFormat="1" ht="17.4" spans="1:27">
      <c r="A20" s="349">
        <v>19</v>
      </c>
      <c r="B20" s="350" t="s">
        <v>44</v>
      </c>
      <c r="C20" s="351">
        <v>50002864</v>
      </c>
      <c r="D20" s="444" t="s">
        <v>268</v>
      </c>
      <c r="E20" s="434" t="s">
        <v>111</v>
      </c>
      <c r="F20" s="444" t="s">
        <v>311</v>
      </c>
      <c r="G20" s="434" t="s">
        <v>220</v>
      </c>
      <c r="H20" s="434" t="s">
        <v>221</v>
      </c>
      <c r="I20" s="434">
        <v>6286</v>
      </c>
      <c r="J20" s="452">
        <v>55</v>
      </c>
      <c r="K20" s="453">
        <v>0.055</v>
      </c>
      <c r="L20" s="437">
        <v>12.76</v>
      </c>
      <c r="M20" s="454" t="s">
        <v>284</v>
      </c>
      <c r="N20" s="438">
        <v>12.76</v>
      </c>
      <c r="O20" s="454">
        <v>12.8</v>
      </c>
      <c r="P20" s="444" t="s">
        <v>222</v>
      </c>
      <c r="Q20" s="444" t="s">
        <v>222</v>
      </c>
      <c r="R20" s="468" t="s">
        <v>222</v>
      </c>
      <c r="S20" s="469" t="s">
        <v>235</v>
      </c>
      <c r="T20" s="432">
        <v>9.216</v>
      </c>
      <c r="U20" s="440">
        <v>0.72</v>
      </c>
      <c r="V20" s="432" t="s">
        <v>312</v>
      </c>
      <c r="X20" s="470" t="s">
        <v>112</v>
      </c>
      <c r="Y20" s="443"/>
      <c r="Z20" s="432">
        <v>45292</v>
      </c>
      <c r="AA20" s="432" t="s">
        <v>228</v>
      </c>
    </row>
    <row r="21" s="432" customFormat="1" ht="17.4" spans="1:27">
      <c r="A21" s="349">
        <v>20</v>
      </c>
      <c r="B21" s="350" t="s">
        <v>44</v>
      </c>
      <c r="C21" s="351">
        <v>50002710</v>
      </c>
      <c r="D21" s="444" t="s">
        <v>313</v>
      </c>
      <c r="E21" s="434" t="s">
        <v>314</v>
      </c>
      <c r="F21" s="444" t="s">
        <v>315</v>
      </c>
      <c r="G21" s="434" t="s">
        <v>220</v>
      </c>
      <c r="H21" s="434" t="s">
        <v>221</v>
      </c>
      <c r="I21" s="434">
        <v>6286</v>
      </c>
      <c r="J21" s="452">
        <v>26</v>
      </c>
      <c r="K21" s="453">
        <v>0.026</v>
      </c>
      <c r="L21" s="437">
        <v>6.032</v>
      </c>
      <c r="M21" s="454" t="s">
        <v>240</v>
      </c>
      <c r="N21" s="438">
        <v>6.032</v>
      </c>
      <c r="O21" s="454">
        <v>6.4</v>
      </c>
      <c r="P21" s="444" t="s">
        <v>222</v>
      </c>
      <c r="Q21" s="444" t="s">
        <v>222</v>
      </c>
      <c r="R21" s="468" t="s">
        <v>222</v>
      </c>
      <c r="S21" s="469" t="s">
        <v>235</v>
      </c>
      <c r="T21" s="432">
        <v>4.608</v>
      </c>
      <c r="U21" s="440">
        <v>0.72</v>
      </c>
      <c r="V21" s="432" t="s">
        <v>316</v>
      </c>
      <c r="X21" s="470" t="s">
        <v>317</v>
      </c>
      <c r="Y21" s="443"/>
      <c r="Z21" s="432">
        <v>45292</v>
      </c>
      <c r="AA21" s="432" t="s">
        <v>228</v>
      </c>
    </row>
    <row r="22" s="432" customFormat="1" ht="17.4" spans="1:27">
      <c r="A22" s="349">
        <v>21</v>
      </c>
      <c r="B22" s="350" t="s">
        <v>44</v>
      </c>
      <c r="C22" s="351">
        <v>50002719</v>
      </c>
      <c r="D22" s="444" t="s">
        <v>313</v>
      </c>
      <c r="E22" s="434" t="s">
        <v>318</v>
      </c>
      <c r="F22" s="444" t="s">
        <v>319</v>
      </c>
      <c r="G22" s="434" t="s">
        <v>220</v>
      </c>
      <c r="H22" s="434" t="s">
        <v>221</v>
      </c>
      <c r="I22" s="434">
        <v>6286</v>
      </c>
      <c r="J22" s="452">
        <v>26</v>
      </c>
      <c r="K22" s="453">
        <v>0.026</v>
      </c>
      <c r="L22" s="437">
        <v>6.032</v>
      </c>
      <c r="M22" s="454" t="s">
        <v>240</v>
      </c>
      <c r="N22" s="438">
        <v>6.032</v>
      </c>
      <c r="O22" s="454">
        <v>6.4</v>
      </c>
      <c r="P22" s="444" t="s">
        <v>222</v>
      </c>
      <c r="Q22" s="444" t="s">
        <v>222</v>
      </c>
      <c r="R22" s="468" t="s">
        <v>222</v>
      </c>
      <c r="S22" s="469" t="s">
        <v>235</v>
      </c>
      <c r="T22" s="432">
        <v>4.608</v>
      </c>
      <c r="U22" s="440">
        <v>0.72</v>
      </c>
      <c r="V22" s="432" t="s">
        <v>320</v>
      </c>
      <c r="X22" s="470" t="s">
        <v>321</v>
      </c>
      <c r="Y22" s="443"/>
      <c r="Z22" s="432">
        <v>45292</v>
      </c>
      <c r="AA22" s="432" t="s">
        <v>228</v>
      </c>
    </row>
    <row r="23" s="432" customFormat="1" ht="17.4" spans="1:27">
      <c r="A23" s="349">
        <v>22</v>
      </c>
      <c r="B23" s="350" t="s">
        <v>44</v>
      </c>
      <c r="C23" s="351">
        <v>50002876</v>
      </c>
      <c r="D23" s="444" t="s">
        <v>313</v>
      </c>
      <c r="E23" s="434" t="s">
        <v>322</v>
      </c>
      <c r="F23" s="444" t="s">
        <v>323</v>
      </c>
      <c r="G23" s="434" t="s">
        <v>220</v>
      </c>
      <c r="H23" s="434" t="s">
        <v>221</v>
      </c>
      <c r="I23" s="434">
        <v>6286</v>
      </c>
      <c r="J23" s="452">
        <v>26</v>
      </c>
      <c r="K23" s="453">
        <v>0.026</v>
      </c>
      <c r="L23" s="437">
        <v>6.032</v>
      </c>
      <c r="M23" s="454" t="s">
        <v>240</v>
      </c>
      <c r="N23" s="438">
        <v>6.032</v>
      </c>
      <c r="O23" s="454">
        <v>6.4</v>
      </c>
      <c r="P23" s="444" t="s">
        <v>222</v>
      </c>
      <c r="Q23" s="444" t="s">
        <v>222</v>
      </c>
      <c r="R23" s="468" t="s">
        <v>222</v>
      </c>
      <c r="S23" s="469" t="s">
        <v>235</v>
      </c>
      <c r="T23" s="432">
        <v>4.608</v>
      </c>
      <c r="U23" s="440">
        <v>0.72</v>
      </c>
      <c r="V23" s="432" t="s">
        <v>324</v>
      </c>
      <c r="W23" s="432" t="s">
        <v>325</v>
      </c>
      <c r="X23" s="470" t="s">
        <v>326</v>
      </c>
      <c r="Y23" s="443"/>
      <c r="Z23" s="432">
        <v>45292</v>
      </c>
      <c r="AA23" s="432" t="s">
        <v>228</v>
      </c>
    </row>
    <row r="24" s="432" customFormat="1" ht="17.4" spans="1:27">
      <c r="A24" s="349">
        <v>23</v>
      </c>
      <c r="B24" s="350" t="s">
        <v>44</v>
      </c>
      <c r="C24" s="351">
        <v>50002860</v>
      </c>
      <c r="D24" s="444" t="s">
        <v>313</v>
      </c>
      <c r="E24" s="434" t="s">
        <v>327</v>
      </c>
      <c r="F24" s="444" t="s">
        <v>328</v>
      </c>
      <c r="G24" s="434" t="s">
        <v>220</v>
      </c>
      <c r="H24" s="434" t="s">
        <v>221</v>
      </c>
      <c r="I24" s="434">
        <v>6286</v>
      </c>
      <c r="J24" s="452">
        <v>26</v>
      </c>
      <c r="K24" s="453">
        <v>0.026</v>
      </c>
      <c r="L24" s="437">
        <v>6.032</v>
      </c>
      <c r="M24" s="454" t="s">
        <v>240</v>
      </c>
      <c r="N24" s="438">
        <v>6.032</v>
      </c>
      <c r="O24" s="454">
        <v>6.4</v>
      </c>
      <c r="P24" s="444" t="s">
        <v>222</v>
      </c>
      <c r="Q24" s="444" t="s">
        <v>222</v>
      </c>
      <c r="R24" s="468" t="s">
        <v>222</v>
      </c>
      <c r="S24" s="469" t="s">
        <v>235</v>
      </c>
      <c r="T24" s="432">
        <v>4.608</v>
      </c>
      <c r="U24" s="440">
        <v>0.72</v>
      </c>
      <c r="V24" s="432" t="s">
        <v>329</v>
      </c>
      <c r="X24" s="470" t="s">
        <v>330</v>
      </c>
      <c r="Y24" s="443"/>
      <c r="Z24" s="432">
        <v>45292</v>
      </c>
      <c r="AA24" s="432" t="s">
        <v>228</v>
      </c>
    </row>
    <row r="25" s="432" customFormat="1" ht="17.4" spans="1:27">
      <c r="A25" s="349">
        <v>24</v>
      </c>
      <c r="B25" s="350" t="s">
        <v>44</v>
      </c>
      <c r="C25" s="354"/>
      <c r="D25" s="444" t="s">
        <v>313</v>
      </c>
      <c r="E25" s="434" t="s">
        <v>331</v>
      </c>
      <c r="F25" s="444" t="s">
        <v>332</v>
      </c>
      <c r="G25" s="434" t="s">
        <v>220</v>
      </c>
      <c r="H25" s="434" t="s">
        <v>221</v>
      </c>
      <c r="I25" s="434">
        <v>6286</v>
      </c>
      <c r="J25" s="452">
        <v>28</v>
      </c>
      <c r="K25" s="453">
        <v>0.028</v>
      </c>
      <c r="L25" s="437">
        <v>6.496</v>
      </c>
      <c r="M25" s="454"/>
      <c r="N25" s="438">
        <v>0</v>
      </c>
      <c r="P25" s="444" t="s">
        <v>222</v>
      </c>
      <c r="Q25" s="444" t="s">
        <v>223</v>
      </c>
      <c r="R25" s="468" t="s">
        <v>223</v>
      </c>
      <c r="S25" s="469" t="s">
        <v>224</v>
      </c>
      <c r="T25" s="432">
        <v>0</v>
      </c>
      <c r="U25" s="440">
        <v>0.72</v>
      </c>
      <c r="V25" s="432" t="s">
        <v>333</v>
      </c>
      <c r="X25" s="470" t="s">
        <v>334</v>
      </c>
      <c r="Y25" s="443"/>
      <c r="Z25" s="432">
        <v>45292</v>
      </c>
      <c r="AA25" s="432" t="s">
        <v>228</v>
      </c>
    </row>
    <row r="26" s="432" customFormat="1" ht="18" spans="1:25">
      <c r="A26" s="357" t="s">
        <v>335</v>
      </c>
      <c r="B26" s="350" t="s">
        <v>44</v>
      </c>
      <c r="C26" s="354">
        <v>40002686</v>
      </c>
      <c r="D26" s="434"/>
      <c r="E26" s="433" t="s">
        <v>336</v>
      </c>
      <c r="F26" s="445"/>
      <c r="G26" s="434"/>
      <c r="H26" s="434"/>
      <c r="I26" s="434"/>
      <c r="J26" s="455">
        <v>1000</v>
      </c>
      <c r="K26" s="436">
        <v>1</v>
      </c>
      <c r="L26" s="437"/>
      <c r="M26" s="434"/>
      <c r="N26" s="438">
        <v>0</v>
      </c>
      <c r="T26" s="439">
        <v>0</v>
      </c>
      <c r="U26" s="440">
        <v>0.72</v>
      </c>
      <c r="V26" s="441"/>
      <c r="X26" s="442"/>
      <c r="Y26" s="443"/>
    </row>
    <row r="27" s="432" customFormat="1" ht="17.4" spans="1:25">
      <c r="A27" s="349" t="s">
        <v>337</v>
      </c>
      <c r="B27" s="350" t="s">
        <v>44</v>
      </c>
      <c r="C27" s="354">
        <v>40002693</v>
      </c>
      <c r="D27" s="434" t="s">
        <v>338</v>
      </c>
      <c r="E27" s="434" t="s">
        <v>339</v>
      </c>
      <c r="F27" s="434"/>
      <c r="G27" s="434" t="s">
        <v>220</v>
      </c>
      <c r="H27" s="434" t="s">
        <v>221</v>
      </c>
      <c r="I27" s="434">
        <v>6286</v>
      </c>
      <c r="J27" s="452"/>
      <c r="K27" s="453">
        <v>0</v>
      </c>
      <c r="L27" s="437">
        <v>0</v>
      </c>
      <c r="M27" s="434"/>
      <c r="N27" s="438">
        <v>0</v>
      </c>
      <c r="P27" s="444" t="s">
        <v>222</v>
      </c>
      <c r="Q27" s="444" t="s">
        <v>223</v>
      </c>
      <c r="R27" s="434" t="s">
        <v>222</v>
      </c>
      <c r="S27" s="434"/>
      <c r="T27" s="432">
        <v>0</v>
      </c>
      <c r="U27" s="440">
        <v>0.72</v>
      </c>
      <c r="X27" s="470"/>
      <c r="Y27" s="443"/>
    </row>
    <row r="28" s="432" customFormat="1" ht="17.4" spans="1:25">
      <c r="A28" s="349" t="s">
        <v>340</v>
      </c>
      <c r="B28" s="350" t="s">
        <v>44</v>
      </c>
      <c r="C28" s="354"/>
      <c r="D28" s="434" t="s">
        <v>338</v>
      </c>
      <c r="E28" s="434" t="s">
        <v>341</v>
      </c>
      <c r="F28" s="434"/>
      <c r="G28" s="434" t="s">
        <v>220</v>
      </c>
      <c r="H28" s="434" t="s">
        <v>221</v>
      </c>
      <c r="I28" s="434">
        <v>6286</v>
      </c>
      <c r="J28" s="456"/>
      <c r="K28" s="457">
        <v>0</v>
      </c>
      <c r="L28" s="437">
        <v>0</v>
      </c>
      <c r="M28" s="434"/>
      <c r="N28" s="438">
        <v>0</v>
      </c>
      <c r="P28" s="444" t="s">
        <v>222</v>
      </c>
      <c r="Q28" s="444" t="s">
        <v>223</v>
      </c>
      <c r="R28" s="434" t="s">
        <v>222</v>
      </c>
      <c r="S28" s="434"/>
      <c r="T28" s="432">
        <v>0</v>
      </c>
      <c r="U28" s="440">
        <v>0.72</v>
      </c>
      <c r="X28" s="470"/>
      <c r="Y28" s="443"/>
    </row>
    <row r="29" s="432" customFormat="1" ht="18" spans="1:25">
      <c r="A29" s="362" t="s">
        <v>342</v>
      </c>
      <c r="B29" s="350" t="s">
        <v>44</v>
      </c>
      <c r="C29" s="377"/>
      <c r="D29" s="434"/>
      <c r="E29" s="433"/>
      <c r="F29" s="433"/>
      <c r="G29" s="434"/>
      <c r="H29" s="434"/>
      <c r="I29" s="434"/>
      <c r="J29" s="435"/>
      <c r="K29" s="436">
        <v>0</v>
      </c>
      <c r="L29" s="437"/>
      <c r="M29" s="434"/>
      <c r="N29" s="438">
        <v>0</v>
      </c>
      <c r="T29" s="439">
        <v>0</v>
      </c>
      <c r="U29" s="440"/>
      <c r="V29" s="441"/>
      <c r="X29" s="442"/>
      <c r="Y29" s="443"/>
    </row>
    <row r="30" s="432" customFormat="1" ht="18" spans="1:25">
      <c r="A30" s="363" t="s">
        <v>343</v>
      </c>
      <c r="B30" s="350" t="s">
        <v>44</v>
      </c>
      <c r="C30" s="377"/>
      <c r="D30" s="434"/>
      <c r="E30" s="433"/>
      <c r="F30" s="433"/>
      <c r="G30" s="434"/>
      <c r="H30" s="434"/>
      <c r="I30" s="434"/>
      <c r="J30" s="435"/>
      <c r="K30" s="436">
        <v>0</v>
      </c>
      <c r="L30" s="437"/>
      <c r="M30" s="434"/>
      <c r="N30" s="438">
        <v>0</v>
      </c>
      <c r="T30" s="439">
        <v>0</v>
      </c>
      <c r="U30" s="440"/>
      <c r="V30" s="441"/>
      <c r="X30" s="442"/>
      <c r="Y30" s="443"/>
    </row>
    <row r="31" s="432" customFormat="1" ht="17.4" spans="1:25">
      <c r="A31" s="349">
        <v>1</v>
      </c>
      <c r="B31" s="350" t="s">
        <v>48</v>
      </c>
      <c r="C31" s="364">
        <v>50003409</v>
      </c>
      <c r="D31" s="434" t="s">
        <v>217</v>
      </c>
      <c r="E31" s="434" t="s">
        <v>344</v>
      </c>
      <c r="F31" s="434" t="s">
        <v>345</v>
      </c>
      <c r="G31" s="434" t="s">
        <v>220</v>
      </c>
      <c r="H31" s="434" t="s">
        <v>221</v>
      </c>
      <c r="I31" s="434">
        <v>6286</v>
      </c>
      <c r="J31" s="452">
        <v>42</v>
      </c>
      <c r="K31" s="453">
        <f>Table_Household_Alloc[[#This Row],[Unit Entitlement]]/1000</f>
        <v>0.042</v>
      </c>
      <c r="L31" s="437">
        <f t="shared" ref="L31:L54" si="0">(J31/1000)*232</f>
        <v>9.744</v>
      </c>
      <c r="M31" s="458" t="s">
        <v>240</v>
      </c>
      <c r="N31" s="438">
        <f>IF(Table_Household_Alloc[[#This Row],[PV Installed]]="Y",1,0)*Table_Household_Alloc[[#This Row],[Calculated Battery Allocation (kWh)]]</f>
        <v>9.744</v>
      </c>
      <c r="O31" s="432">
        <v>5</v>
      </c>
      <c r="P31" s="432" t="s">
        <v>222</v>
      </c>
      <c r="Q31" s="432" t="s">
        <v>222</v>
      </c>
      <c r="R31" s="432" t="s">
        <v>222</v>
      </c>
      <c r="S31" s="432" t="s">
        <v>235</v>
      </c>
      <c r="U31" s="440"/>
      <c r="X31" s="470"/>
      <c r="Y31" s="443"/>
    </row>
    <row r="32" s="432" customFormat="1" ht="17.4" spans="1:25">
      <c r="A32" s="349">
        <v>2</v>
      </c>
      <c r="B32" s="350" t="s">
        <v>48</v>
      </c>
      <c r="C32" s="364">
        <v>50003436</v>
      </c>
      <c r="D32" s="434" t="s">
        <v>217</v>
      </c>
      <c r="E32" s="434" t="s">
        <v>346</v>
      </c>
      <c r="F32" s="434" t="s">
        <v>347</v>
      </c>
      <c r="G32" s="434" t="s">
        <v>220</v>
      </c>
      <c r="H32" s="434" t="s">
        <v>221</v>
      </c>
      <c r="I32" s="434">
        <v>6286</v>
      </c>
      <c r="J32" s="452">
        <v>43</v>
      </c>
      <c r="K32" s="453">
        <f>Table_Household_Alloc[[#This Row],[Unit Entitlement]]/1000</f>
        <v>0.043</v>
      </c>
      <c r="L32" s="437">
        <f t="shared" si="0"/>
        <v>9.976</v>
      </c>
      <c r="M32" s="458" t="s">
        <v>251</v>
      </c>
      <c r="N32" s="438">
        <f>IF(Table_Household_Alloc[[#This Row],[PV Installed]]="Y",1,0)*Table_Household_Alloc[[#This Row],[Calculated Battery Allocation (kWh)]]</f>
        <v>9.976</v>
      </c>
      <c r="O32" s="432">
        <v>8.2</v>
      </c>
      <c r="P32" s="432" t="s">
        <v>222</v>
      </c>
      <c r="Q32" s="432" t="s">
        <v>222</v>
      </c>
      <c r="R32" s="432" t="s">
        <v>222</v>
      </c>
      <c r="S32" s="432" t="s">
        <v>235</v>
      </c>
      <c r="U32" s="440"/>
      <c r="X32" s="470"/>
      <c r="Y32" s="443"/>
    </row>
    <row r="33" s="432" customFormat="1" ht="17.4" spans="1:25">
      <c r="A33" s="349">
        <v>3</v>
      </c>
      <c r="B33" s="350" t="s">
        <v>48</v>
      </c>
      <c r="C33" s="364">
        <v>50004064</v>
      </c>
      <c r="D33" s="434" t="s">
        <v>217</v>
      </c>
      <c r="E33" s="434" t="s">
        <v>348</v>
      </c>
      <c r="F33" s="434" t="s">
        <v>349</v>
      </c>
      <c r="G33" s="434" t="s">
        <v>220</v>
      </c>
      <c r="H33" s="434" t="s">
        <v>221</v>
      </c>
      <c r="I33" s="434">
        <v>6286</v>
      </c>
      <c r="J33" s="452">
        <v>43</v>
      </c>
      <c r="K33" s="453">
        <f>Table_Household_Alloc[[#This Row],[Unit Entitlement]]/1000</f>
        <v>0.043</v>
      </c>
      <c r="L33" s="437">
        <f t="shared" si="0"/>
        <v>9.976</v>
      </c>
      <c r="M33" s="458" t="s">
        <v>240</v>
      </c>
      <c r="N33" s="438">
        <f>IF(Table_Household_Alloc[[#This Row],[PV Installed]]="Y",1,0)*Table_Household_Alloc[[#This Row],[Calculated Battery Allocation (kWh)]]</f>
        <v>9.976</v>
      </c>
      <c r="O33" s="432">
        <v>5</v>
      </c>
      <c r="P33" s="432" t="s">
        <v>222</v>
      </c>
      <c r="Q33" s="432" t="s">
        <v>222</v>
      </c>
      <c r="R33" s="432" t="s">
        <v>222</v>
      </c>
      <c r="S33" s="432" t="s">
        <v>235</v>
      </c>
      <c r="U33" s="440"/>
      <c r="X33" s="470"/>
      <c r="Y33" s="443"/>
    </row>
    <row r="34" s="432" customFormat="1" ht="17.4" spans="1:25">
      <c r="A34" s="349">
        <v>4</v>
      </c>
      <c r="B34" s="350" t="s">
        <v>48</v>
      </c>
      <c r="C34" s="364">
        <v>50003414</v>
      </c>
      <c r="D34" s="434" t="s">
        <v>217</v>
      </c>
      <c r="E34" s="434" t="s">
        <v>350</v>
      </c>
      <c r="F34" s="434" t="s">
        <v>351</v>
      </c>
      <c r="G34" s="434" t="s">
        <v>220</v>
      </c>
      <c r="H34" s="434" t="s">
        <v>221</v>
      </c>
      <c r="I34" s="434">
        <v>6286</v>
      </c>
      <c r="J34" s="452">
        <v>45</v>
      </c>
      <c r="K34" s="453">
        <f>Table_Household_Alloc[[#This Row],[Unit Entitlement]]/1000</f>
        <v>0.045</v>
      </c>
      <c r="L34" s="437">
        <f t="shared" si="0"/>
        <v>10.44</v>
      </c>
      <c r="M34" s="458" t="s">
        <v>240</v>
      </c>
      <c r="N34" s="438">
        <f>IF(Table_Household_Alloc[[#This Row],[PV Installed]]="Y",1,0)*Table_Household_Alloc[[#This Row],[Calculated Battery Allocation (kWh)]]</f>
        <v>10.44</v>
      </c>
      <c r="O34" s="432">
        <v>5</v>
      </c>
      <c r="P34" s="432" t="s">
        <v>222</v>
      </c>
      <c r="Q34" s="432" t="s">
        <v>222</v>
      </c>
      <c r="R34" s="432" t="s">
        <v>222</v>
      </c>
      <c r="S34" s="432" t="s">
        <v>235</v>
      </c>
      <c r="U34" s="440"/>
      <c r="X34" s="470"/>
      <c r="Y34" s="443"/>
    </row>
    <row r="35" s="432" customFormat="1" ht="17.4" spans="1:25">
      <c r="A35" s="349">
        <v>5</v>
      </c>
      <c r="B35" s="350" t="s">
        <v>48</v>
      </c>
      <c r="C35" s="364">
        <v>50003389</v>
      </c>
      <c r="D35" s="434" t="s">
        <v>217</v>
      </c>
      <c r="E35" s="434" t="s">
        <v>352</v>
      </c>
      <c r="F35" s="434" t="s">
        <v>353</v>
      </c>
      <c r="G35" s="434" t="s">
        <v>220</v>
      </c>
      <c r="H35" s="434" t="s">
        <v>221</v>
      </c>
      <c r="I35" s="434">
        <v>6286</v>
      </c>
      <c r="J35" s="452">
        <v>46</v>
      </c>
      <c r="K35" s="453">
        <f>Table_Household_Alloc[[#This Row],[Unit Entitlement]]/1000</f>
        <v>0.046</v>
      </c>
      <c r="L35" s="437">
        <f t="shared" si="0"/>
        <v>10.672</v>
      </c>
      <c r="M35" s="458" t="s">
        <v>251</v>
      </c>
      <c r="N35" s="438">
        <f>IF(Table_Household_Alloc[[#This Row],[PV Installed]]="Y",1,0)*Table_Household_Alloc[[#This Row],[Calculated Battery Allocation (kWh)]]</f>
        <v>10.672</v>
      </c>
      <c r="O35" s="432">
        <v>8.2</v>
      </c>
      <c r="P35" s="432" t="s">
        <v>222</v>
      </c>
      <c r="Q35" s="432" t="s">
        <v>222</v>
      </c>
      <c r="R35" s="432" t="s">
        <v>222</v>
      </c>
      <c r="S35" s="432" t="s">
        <v>235</v>
      </c>
      <c r="U35" s="440"/>
      <c r="X35" s="470"/>
      <c r="Y35" s="443"/>
    </row>
    <row r="36" s="432" customFormat="1" ht="17.4" spans="1:25">
      <c r="A36" s="349">
        <v>6</v>
      </c>
      <c r="B36" s="350" t="s">
        <v>48</v>
      </c>
      <c r="C36" s="364">
        <v>50002969</v>
      </c>
      <c r="D36" s="434" t="s">
        <v>217</v>
      </c>
      <c r="E36" s="434" t="s">
        <v>354</v>
      </c>
      <c r="F36" s="434" t="s">
        <v>355</v>
      </c>
      <c r="G36" s="434" t="s">
        <v>220</v>
      </c>
      <c r="H36" s="434" t="s">
        <v>221</v>
      </c>
      <c r="I36" s="434">
        <v>6286</v>
      </c>
      <c r="J36" s="452">
        <v>50</v>
      </c>
      <c r="K36" s="453">
        <f>Table_Household_Alloc[[#This Row],[Unit Entitlement]]/1000</f>
        <v>0.05</v>
      </c>
      <c r="L36" s="437">
        <f t="shared" si="0"/>
        <v>11.6</v>
      </c>
      <c r="M36" s="458" t="s">
        <v>251</v>
      </c>
      <c r="N36" s="438">
        <f>IF(Table_Household_Alloc[[#This Row],[PV Installed]]="Y",1,0)*Table_Household_Alloc[[#This Row],[Calculated Battery Allocation (kWh)]]</f>
        <v>11.6</v>
      </c>
      <c r="O36" s="432">
        <v>8.2</v>
      </c>
      <c r="P36" s="432" t="s">
        <v>222</v>
      </c>
      <c r="Q36" s="432" t="s">
        <v>222</v>
      </c>
      <c r="R36" s="432" t="s">
        <v>222</v>
      </c>
      <c r="S36" s="432" t="s">
        <v>235</v>
      </c>
      <c r="U36" s="440"/>
      <c r="X36" s="470"/>
      <c r="Y36" s="443"/>
    </row>
    <row r="37" s="432" customFormat="1" ht="17.4" spans="1:25">
      <c r="A37" s="349">
        <v>7</v>
      </c>
      <c r="B37" s="350" t="s">
        <v>48</v>
      </c>
      <c r="C37" s="364">
        <v>50002951</v>
      </c>
      <c r="D37" s="434" t="s">
        <v>217</v>
      </c>
      <c r="E37" s="434" t="s">
        <v>356</v>
      </c>
      <c r="F37" s="434" t="s">
        <v>357</v>
      </c>
      <c r="G37" s="434" t="s">
        <v>220</v>
      </c>
      <c r="H37" s="434" t="s">
        <v>221</v>
      </c>
      <c r="I37" s="434">
        <v>6286</v>
      </c>
      <c r="J37" s="452">
        <v>52</v>
      </c>
      <c r="K37" s="453">
        <f>Table_Household_Alloc[[#This Row],[Unit Entitlement]]/1000</f>
        <v>0.052</v>
      </c>
      <c r="L37" s="437">
        <f t="shared" si="0"/>
        <v>12.064</v>
      </c>
      <c r="M37" s="458" t="s">
        <v>240</v>
      </c>
      <c r="N37" s="438">
        <f>IF(Table_Household_Alloc[[#This Row],[PV Installed]]="Y",1,0)*Table_Household_Alloc[[#This Row],[Calculated Battery Allocation (kWh)]]</f>
        <v>12.064</v>
      </c>
      <c r="O37" s="432">
        <v>5</v>
      </c>
      <c r="P37" s="432" t="s">
        <v>222</v>
      </c>
      <c r="Q37" s="432" t="s">
        <v>222</v>
      </c>
      <c r="R37" s="432" t="s">
        <v>222</v>
      </c>
      <c r="S37" s="432" t="s">
        <v>235</v>
      </c>
      <c r="U37" s="440"/>
      <c r="X37" s="470"/>
      <c r="Y37" s="443"/>
    </row>
    <row r="38" s="432" customFormat="1" ht="17.4" spans="1:25">
      <c r="A38" s="349">
        <v>8</v>
      </c>
      <c r="B38" s="350" t="s">
        <v>48</v>
      </c>
      <c r="C38" s="364">
        <v>50002959</v>
      </c>
      <c r="D38" s="434" t="s">
        <v>268</v>
      </c>
      <c r="E38" s="434" t="s">
        <v>358</v>
      </c>
      <c r="F38" s="434" t="s">
        <v>359</v>
      </c>
      <c r="G38" s="434" t="s">
        <v>220</v>
      </c>
      <c r="H38" s="434" t="s">
        <v>221</v>
      </c>
      <c r="I38" s="434">
        <v>6286</v>
      </c>
      <c r="J38" s="452">
        <v>69</v>
      </c>
      <c r="K38" s="453">
        <f>Table_Household_Alloc[[#This Row],[Unit Entitlement]]/1000</f>
        <v>0.069</v>
      </c>
      <c r="L38" s="437">
        <f t="shared" si="0"/>
        <v>16.008</v>
      </c>
      <c r="M38" s="458" t="s">
        <v>360</v>
      </c>
      <c r="N38" s="438">
        <f>IF(Table_Household_Alloc[[#This Row],[PV Installed]]="Y",1,0)*Table_Household_Alloc[[#This Row],[Calculated Battery Allocation (kWh)]]</f>
        <v>16.008</v>
      </c>
      <c r="O38" s="432">
        <v>6</v>
      </c>
      <c r="P38" s="432" t="s">
        <v>222</v>
      </c>
      <c r="Q38" s="432" t="s">
        <v>222</v>
      </c>
      <c r="R38" s="432" t="s">
        <v>222</v>
      </c>
      <c r="S38" s="432" t="s">
        <v>235</v>
      </c>
      <c r="U38" s="440"/>
      <c r="X38" s="470"/>
      <c r="Y38" s="443"/>
    </row>
    <row r="39" s="432" customFormat="1" ht="17.4" spans="1:25">
      <c r="A39" s="349">
        <v>9</v>
      </c>
      <c r="B39" s="350" t="s">
        <v>48</v>
      </c>
      <c r="C39" s="354"/>
      <c r="D39" s="434" t="s">
        <v>268</v>
      </c>
      <c r="E39" s="434" t="s">
        <v>361</v>
      </c>
      <c r="F39" s="434" t="s">
        <v>362</v>
      </c>
      <c r="G39" s="434" t="s">
        <v>220</v>
      </c>
      <c r="H39" s="434" t="s">
        <v>221</v>
      </c>
      <c r="I39" s="434">
        <v>6286</v>
      </c>
      <c r="J39" s="459">
        <v>55</v>
      </c>
      <c r="K39" s="460">
        <f>Table_Household_Alloc[[#This Row],[Unit Entitlement]]/1000</f>
        <v>0.055</v>
      </c>
      <c r="L39" s="461">
        <f t="shared" si="0"/>
        <v>12.76</v>
      </c>
      <c r="M39" s="458" t="s">
        <v>284</v>
      </c>
      <c r="N39" s="438">
        <f>IF(Table_Household_Alloc[[#This Row],[PV Installed]]="Y",1,0)*Table_Household_Alloc[[#This Row],[Calculated Battery Allocation (kWh)]]</f>
        <v>0</v>
      </c>
      <c r="P39" s="432" t="s">
        <v>223</v>
      </c>
      <c r="Q39" s="432" t="s">
        <v>223</v>
      </c>
      <c r="R39" s="432" t="s">
        <v>223</v>
      </c>
      <c r="S39" s="432" t="s">
        <v>308</v>
      </c>
      <c r="U39" s="440"/>
      <c r="X39" s="470"/>
      <c r="Y39" s="443"/>
    </row>
    <row r="40" s="432" customFormat="1" ht="17.4" spans="1:25">
      <c r="A40" s="349">
        <v>10</v>
      </c>
      <c r="B40" s="350" t="s">
        <v>48</v>
      </c>
      <c r="C40" s="364">
        <v>50003420</v>
      </c>
      <c r="D40" s="434" t="s">
        <v>268</v>
      </c>
      <c r="E40" s="434" t="s">
        <v>363</v>
      </c>
      <c r="F40" s="434" t="s">
        <v>364</v>
      </c>
      <c r="G40" s="434" t="s">
        <v>220</v>
      </c>
      <c r="H40" s="434" t="s">
        <v>221</v>
      </c>
      <c r="I40" s="434">
        <v>6286</v>
      </c>
      <c r="J40" s="462">
        <v>57</v>
      </c>
      <c r="K40" s="460">
        <f>Table_Household_Alloc[[#This Row],[Unit Entitlement]]/1000</f>
        <v>0.057</v>
      </c>
      <c r="L40" s="437">
        <f t="shared" si="0"/>
        <v>13.224</v>
      </c>
      <c r="M40" s="458" t="s">
        <v>240</v>
      </c>
      <c r="N40" s="438">
        <f>IF(Table_Household_Alloc[[#This Row],[PV Installed]]="Y",1,0)*Table_Household_Alloc[[#This Row],[Calculated Battery Allocation (kWh)]]</f>
        <v>13.224</v>
      </c>
      <c r="O40" s="432">
        <v>5</v>
      </c>
      <c r="P40" s="432" t="s">
        <v>222</v>
      </c>
      <c r="Q40" s="432" t="s">
        <v>222</v>
      </c>
      <c r="R40" s="432" t="s">
        <v>222</v>
      </c>
      <c r="S40" s="432" t="s">
        <v>235</v>
      </c>
      <c r="U40" s="440"/>
      <c r="X40" s="470"/>
      <c r="Y40" s="443"/>
    </row>
    <row r="41" s="432" customFormat="1" ht="17.4" spans="1:25">
      <c r="A41" s="349">
        <v>11</v>
      </c>
      <c r="B41" s="350" t="s">
        <v>48</v>
      </c>
      <c r="C41" s="365">
        <v>50003410</v>
      </c>
      <c r="D41" s="434" t="s">
        <v>268</v>
      </c>
      <c r="E41" s="434" t="s">
        <v>365</v>
      </c>
      <c r="F41" s="434" t="s">
        <v>366</v>
      </c>
      <c r="G41" s="434" t="s">
        <v>220</v>
      </c>
      <c r="H41" s="434" t="s">
        <v>221</v>
      </c>
      <c r="I41" s="434">
        <v>6286</v>
      </c>
      <c r="J41" s="462">
        <v>59</v>
      </c>
      <c r="K41" s="460">
        <f>Table_Household_Alloc[[#This Row],[Unit Entitlement]]/1000</f>
        <v>0.059</v>
      </c>
      <c r="L41" s="437">
        <f t="shared" si="0"/>
        <v>13.688</v>
      </c>
      <c r="M41" s="458" t="s">
        <v>360</v>
      </c>
      <c r="N41" s="438">
        <f>IF(Table_Household_Alloc[[#This Row],[PV Installed]]="Y",1,0)*Table_Household_Alloc[[#This Row],[Calculated Battery Allocation (kWh)]]</f>
        <v>13.688</v>
      </c>
      <c r="O41" s="432">
        <v>6</v>
      </c>
      <c r="P41" s="432" t="s">
        <v>222</v>
      </c>
      <c r="Q41" s="432" t="s">
        <v>222</v>
      </c>
      <c r="R41" s="432" t="s">
        <v>222</v>
      </c>
      <c r="S41" s="432" t="s">
        <v>235</v>
      </c>
      <c r="U41" s="440"/>
      <c r="X41" s="470"/>
      <c r="Y41" s="443"/>
    </row>
    <row r="42" s="432" customFormat="1" ht="17.4" spans="1:25">
      <c r="A42" s="349">
        <v>12</v>
      </c>
      <c r="B42" s="350" t="s">
        <v>48</v>
      </c>
      <c r="C42" s="364">
        <v>50003418</v>
      </c>
      <c r="D42" s="434" t="s">
        <v>268</v>
      </c>
      <c r="E42" s="434" t="s">
        <v>367</v>
      </c>
      <c r="F42" s="434" t="s">
        <v>368</v>
      </c>
      <c r="G42" s="434" t="s">
        <v>220</v>
      </c>
      <c r="H42" s="434" t="s">
        <v>221</v>
      </c>
      <c r="I42" s="434">
        <v>6286</v>
      </c>
      <c r="J42" s="462">
        <v>60</v>
      </c>
      <c r="K42" s="460">
        <f>Table_Household_Alloc[[#This Row],[Unit Entitlement]]/1000</f>
        <v>0.06</v>
      </c>
      <c r="L42" s="437">
        <f t="shared" si="0"/>
        <v>13.92</v>
      </c>
      <c r="M42" s="458" t="s">
        <v>284</v>
      </c>
      <c r="N42" s="438">
        <f>IF(Table_Household_Alloc[[#This Row],[PV Installed]]="Y",1,0)*Table_Household_Alloc[[#This Row],[Calculated Battery Allocation (kWh)]]</f>
        <v>13.92</v>
      </c>
      <c r="O42" s="432">
        <v>10</v>
      </c>
      <c r="P42" s="432" t="s">
        <v>222</v>
      </c>
      <c r="Q42" s="432" t="s">
        <v>222</v>
      </c>
      <c r="R42" s="432" t="s">
        <v>222</v>
      </c>
      <c r="S42" s="432" t="s">
        <v>235</v>
      </c>
      <c r="U42" s="440"/>
      <c r="X42" s="470"/>
      <c r="Y42" s="443"/>
    </row>
    <row r="43" s="432" customFormat="1" ht="17.4" spans="1:25">
      <c r="A43" s="349">
        <v>13</v>
      </c>
      <c r="B43" s="350" t="s">
        <v>48</v>
      </c>
      <c r="C43" s="364">
        <v>50002859</v>
      </c>
      <c r="D43" s="434" t="s">
        <v>268</v>
      </c>
      <c r="E43" s="434" t="s">
        <v>369</v>
      </c>
      <c r="F43" s="434" t="s">
        <v>370</v>
      </c>
      <c r="G43" s="434" t="s">
        <v>220</v>
      </c>
      <c r="H43" s="434" t="s">
        <v>221</v>
      </c>
      <c r="I43" s="434">
        <v>6286</v>
      </c>
      <c r="J43" s="462">
        <v>60</v>
      </c>
      <c r="K43" s="460">
        <f>Table_Household_Alloc[[#This Row],[Unit Entitlement]]/1000</f>
        <v>0.06</v>
      </c>
      <c r="L43" s="437">
        <f t="shared" si="0"/>
        <v>13.92</v>
      </c>
      <c r="M43" s="458" t="s">
        <v>284</v>
      </c>
      <c r="N43" s="438">
        <f>IF(Table_Household_Alloc[[#This Row],[PV Installed]]="Y",1,0)*Table_Household_Alloc[[#This Row],[Calculated Battery Allocation (kWh)]]</f>
        <v>13.92</v>
      </c>
      <c r="O43" s="432">
        <v>10</v>
      </c>
      <c r="P43" s="432" t="s">
        <v>222</v>
      </c>
      <c r="Q43" s="432" t="s">
        <v>222</v>
      </c>
      <c r="R43" s="432" t="s">
        <v>222</v>
      </c>
      <c r="S43" s="432" t="s">
        <v>235</v>
      </c>
      <c r="U43" s="440"/>
      <c r="X43" s="470"/>
      <c r="Y43" s="443"/>
    </row>
    <row r="44" s="432" customFormat="1" ht="17.4" spans="1:25">
      <c r="A44" s="349">
        <v>14</v>
      </c>
      <c r="B44" s="350" t="s">
        <v>48</v>
      </c>
      <c r="C44" s="364">
        <v>50003396</v>
      </c>
      <c r="D44" s="434" t="s">
        <v>268</v>
      </c>
      <c r="E44" s="434" t="s">
        <v>371</v>
      </c>
      <c r="F44" s="434" t="s">
        <v>372</v>
      </c>
      <c r="G44" s="434" t="s">
        <v>220</v>
      </c>
      <c r="H44" s="434" t="s">
        <v>221</v>
      </c>
      <c r="I44" s="434">
        <v>6286</v>
      </c>
      <c r="J44" s="462">
        <v>63</v>
      </c>
      <c r="K44" s="460">
        <f>Table_Household_Alloc[[#This Row],[Unit Entitlement]]/1000</f>
        <v>0.063</v>
      </c>
      <c r="L44" s="437">
        <f t="shared" si="0"/>
        <v>14.616</v>
      </c>
      <c r="M44" s="458" t="s">
        <v>284</v>
      </c>
      <c r="N44" s="438">
        <f>IF(Table_Household_Alloc[[#This Row],[PV Installed]]="Y",1,0)*Table_Household_Alloc[[#This Row],[Calculated Battery Allocation (kWh)]]</f>
        <v>14.616</v>
      </c>
      <c r="O44" s="432">
        <v>10</v>
      </c>
      <c r="P44" s="432" t="s">
        <v>222</v>
      </c>
      <c r="Q44" s="432" t="s">
        <v>222</v>
      </c>
      <c r="R44" s="432" t="s">
        <v>222</v>
      </c>
      <c r="S44" s="432" t="s">
        <v>235</v>
      </c>
      <c r="U44" s="440"/>
      <c r="X44" s="470"/>
      <c r="Y44" s="443"/>
    </row>
    <row r="45" s="432" customFormat="1" ht="17.4" spans="1:25">
      <c r="A45" s="349">
        <v>15</v>
      </c>
      <c r="B45" s="350" t="s">
        <v>48</v>
      </c>
      <c r="C45" s="364">
        <v>50003401</v>
      </c>
      <c r="D45" s="434" t="s">
        <v>313</v>
      </c>
      <c r="E45" s="434" t="s">
        <v>373</v>
      </c>
      <c r="F45" s="434" t="s">
        <v>374</v>
      </c>
      <c r="G45" s="434" t="s">
        <v>220</v>
      </c>
      <c r="H45" s="434" t="s">
        <v>221</v>
      </c>
      <c r="I45" s="434">
        <v>6286</v>
      </c>
      <c r="J45" s="462">
        <v>27</v>
      </c>
      <c r="K45" s="460">
        <f>Table_Household_Alloc[[#This Row],[Unit Entitlement]]/1000</f>
        <v>0.027</v>
      </c>
      <c r="L45" s="437">
        <f t="shared" si="0"/>
        <v>6.264</v>
      </c>
      <c r="M45" s="458" t="s">
        <v>240</v>
      </c>
      <c r="N45" s="438">
        <f>IF(Table_Household_Alloc[[#This Row],[PV Installed]]="Y",1,0)*Table_Household_Alloc[[#This Row],[Calculated Battery Allocation (kWh)]]</f>
        <v>6.264</v>
      </c>
      <c r="O45" s="432">
        <v>5</v>
      </c>
      <c r="P45" s="432" t="s">
        <v>222</v>
      </c>
      <c r="Q45" s="432" t="s">
        <v>222</v>
      </c>
      <c r="R45" s="432" t="s">
        <v>223</v>
      </c>
      <c r="S45" s="432" t="s">
        <v>235</v>
      </c>
      <c r="U45" s="440"/>
      <c r="X45" s="470"/>
      <c r="Y45" s="443"/>
    </row>
    <row r="46" s="432" customFormat="1" ht="17.4" spans="1:25">
      <c r="A46" s="349">
        <v>16</v>
      </c>
      <c r="B46" s="350" t="s">
        <v>48</v>
      </c>
      <c r="C46" s="364">
        <v>50003430</v>
      </c>
      <c r="D46" s="434" t="s">
        <v>313</v>
      </c>
      <c r="E46" s="434" t="s">
        <v>375</v>
      </c>
      <c r="F46" s="434" t="s">
        <v>376</v>
      </c>
      <c r="G46" s="434" t="s">
        <v>220</v>
      </c>
      <c r="H46" s="434" t="s">
        <v>221</v>
      </c>
      <c r="I46" s="434">
        <v>6286</v>
      </c>
      <c r="J46" s="462">
        <v>27</v>
      </c>
      <c r="K46" s="460">
        <f>Table_Household_Alloc[[#This Row],[Unit Entitlement]]/1000</f>
        <v>0.027</v>
      </c>
      <c r="L46" s="437">
        <f t="shared" si="0"/>
        <v>6.264</v>
      </c>
      <c r="M46" s="458" t="s">
        <v>240</v>
      </c>
      <c r="N46" s="438">
        <f>IF(Table_Household_Alloc[[#This Row],[PV Installed]]="Y",1,0)*Table_Household_Alloc[[#This Row],[Calculated Battery Allocation (kWh)]]</f>
        <v>6.264</v>
      </c>
      <c r="O46" s="432">
        <v>5</v>
      </c>
      <c r="P46" s="432" t="s">
        <v>222</v>
      </c>
      <c r="Q46" s="432" t="s">
        <v>222</v>
      </c>
      <c r="R46" s="432" t="s">
        <v>222</v>
      </c>
      <c r="S46" s="432" t="s">
        <v>235</v>
      </c>
      <c r="U46" s="440"/>
      <c r="X46" s="470"/>
      <c r="Y46" s="443"/>
    </row>
    <row r="47" s="432" customFormat="1" ht="17.4" spans="1:25">
      <c r="A47" s="349">
        <v>17</v>
      </c>
      <c r="B47" s="350" t="s">
        <v>48</v>
      </c>
      <c r="C47" s="364">
        <v>50003415</v>
      </c>
      <c r="D47" s="434" t="s">
        <v>313</v>
      </c>
      <c r="E47" s="434" t="s">
        <v>377</v>
      </c>
      <c r="F47" s="434" t="s">
        <v>378</v>
      </c>
      <c r="G47" s="434" t="s">
        <v>220</v>
      </c>
      <c r="H47" s="434" t="s">
        <v>221</v>
      </c>
      <c r="I47" s="434">
        <v>6286</v>
      </c>
      <c r="J47" s="462">
        <v>27</v>
      </c>
      <c r="K47" s="460">
        <f>Table_Household_Alloc[[#This Row],[Unit Entitlement]]/1000</f>
        <v>0.027</v>
      </c>
      <c r="L47" s="437">
        <f t="shared" si="0"/>
        <v>6.264</v>
      </c>
      <c r="M47" s="458" t="s">
        <v>240</v>
      </c>
      <c r="N47" s="438">
        <f>IF(Table_Household_Alloc[[#This Row],[PV Installed]]="Y",1,0)*Table_Household_Alloc[[#This Row],[Calculated Battery Allocation (kWh)]]</f>
        <v>6.264</v>
      </c>
      <c r="O47" s="432">
        <v>5</v>
      </c>
      <c r="P47" s="432" t="s">
        <v>222</v>
      </c>
      <c r="Q47" s="432" t="s">
        <v>222</v>
      </c>
      <c r="R47" s="432" t="s">
        <v>223</v>
      </c>
      <c r="S47" s="432" t="s">
        <v>235</v>
      </c>
      <c r="U47" s="440"/>
      <c r="X47" s="470"/>
      <c r="Y47" s="443"/>
    </row>
    <row r="48" s="432" customFormat="1" ht="17.4" spans="1:25">
      <c r="A48" s="349">
        <v>18</v>
      </c>
      <c r="B48" s="350" t="s">
        <v>48</v>
      </c>
      <c r="C48" s="354"/>
      <c r="D48" s="434" t="s">
        <v>313</v>
      </c>
      <c r="E48" s="434" t="s">
        <v>379</v>
      </c>
      <c r="F48" s="434" t="s">
        <v>380</v>
      </c>
      <c r="G48" s="434" t="s">
        <v>220</v>
      </c>
      <c r="H48" s="434" t="s">
        <v>221</v>
      </c>
      <c r="I48" s="434">
        <v>6286</v>
      </c>
      <c r="J48" s="459">
        <v>27</v>
      </c>
      <c r="K48" s="460">
        <f>Table_Household_Alloc[[#This Row],[Unit Entitlement]]/1000</f>
        <v>0.027</v>
      </c>
      <c r="L48" s="461">
        <f t="shared" si="0"/>
        <v>6.264</v>
      </c>
      <c r="M48" s="458" t="s">
        <v>240</v>
      </c>
      <c r="N48" s="438">
        <f>IF(Table_Household_Alloc[[#This Row],[PV Installed]]="Y",1,0)*Table_Household_Alloc[[#This Row],[Calculated Battery Allocation (kWh)]]</f>
        <v>0</v>
      </c>
      <c r="P48" s="432" t="s">
        <v>222</v>
      </c>
      <c r="Q48" s="432" t="s">
        <v>223</v>
      </c>
      <c r="R48" s="432" t="s">
        <v>223</v>
      </c>
      <c r="S48" s="432" t="s">
        <v>224</v>
      </c>
      <c r="U48" s="440"/>
      <c r="X48" s="470"/>
      <c r="Y48" s="443"/>
    </row>
    <row r="49" s="432" customFormat="1" ht="17.4" spans="1:25">
      <c r="A49" s="349">
        <v>19</v>
      </c>
      <c r="B49" s="350" t="s">
        <v>48</v>
      </c>
      <c r="C49" s="364">
        <v>50003432</v>
      </c>
      <c r="D49" s="434" t="s">
        <v>313</v>
      </c>
      <c r="E49" s="434" t="s">
        <v>381</v>
      </c>
      <c r="F49" s="434" t="s">
        <v>382</v>
      </c>
      <c r="G49" s="434" t="s">
        <v>220</v>
      </c>
      <c r="H49" s="434" t="s">
        <v>221</v>
      </c>
      <c r="I49" s="434">
        <v>6286</v>
      </c>
      <c r="J49" s="462">
        <v>30</v>
      </c>
      <c r="K49" s="460">
        <f>Table_Household_Alloc[[#This Row],[Unit Entitlement]]/1000</f>
        <v>0.03</v>
      </c>
      <c r="L49" s="437">
        <f t="shared" si="0"/>
        <v>6.96</v>
      </c>
      <c r="M49" s="458" t="s">
        <v>240</v>
      </c>
      <c r="N49" s="438">
        <f>IF(Table_Household_Alloc[[#This Row],[PV Installed]]="Y",1,0)*Table_Household_Alloc[[#This Row],[Calculated Battery Allocation (kWh)]]</f>
        <v>6.96</v>
      </c>
      <c r="O49" s="432">
        <v>5</v>
      </c>
      <c r="P49" s="432" t="s">
        <v>222</v>
      </c>
      <c r="Q49" s="432" t="s">
        <v>222</v>
      </c>
      <c r="R49" s="432" t="s">
        <v>222</v>
      </c>
      <c r="S49" s="432" t="s">
        <v>235</v>
      </c>
      <c r="U49" s="440"/>
      <c r="X49" s="470"/>
      <c r="Y49" s="443"/>
    </row>
    <row r="50" s="432" customFormat="1" ht="17.4" spans="1:25">
      <c r="A50" s="349">
        <v>20</v>
      </c>
      <c r="B50" s="350" t="s">
        <v>48</v>
      </c>
      <c r="C50" s="364">
        <v>50002972</v>
      </c>
      <c r="D50" s="434" t="s">
        <v>268</v>
      </c>
      <c r="E50" s="434" t="s">
        <v>383</v>
      </c>
      <c r="F50" s="434" t="s">
        <v>384</v>
      </c>
      <c r="G50" s="434" t="s">
        <v>220</v>
      </c>
      <c r="H50" s="434" t="s">
        <v>221</v>
      </c>
      <c r="I50" s="434">
        <v>6286</v>
      </c>
      <c r="J50" s="452">
        <v>59</v>
      </c>
      <c r="K50" s="453">
        <f>Table_Household_Alloc[[#This Row],[Unit Entitlement]]/1000</f>
        <v>0.059</v>
      </c>
      <c r="L50" s="437">
        <f t="shared" si="0"/>
        <v>13.688</v>
      </c>
      <c r="M50" s="458" t="s">
        <v>284</v>
      </c>
      <c r="N50" s="438">
        <f>IF(Table_Household_Alloc[[#This Row],[PV Installed]]="Y",1,0)*Table_Household_Alloc[[#This Row],[Calculated Battery Allocation (kWh)]]</f>
        <v>13.688</v>
      </c>
      <c r="O50" s="432">
        <v>10</v>
      </c>
      <c r="P50" s="432" t="s">
        <v>222</v>
      </c>
      <c r="Q50" s="432" t="s">
        <v>222</v>
      </c>
      <c r="R50" s="432" t="s">
        <v>222</v>
      </c>
      <c r="S50" s="432" t="s">
        <v>235</v>
      </c>
      <c r="U50" s="440"/>
      <c r="X50" s="470"/>
      <c r="Y50" s="443"/>
    </row>
    <row r="51" s="432" customFormat="1" ht="17.4" spans="1:25">
      <c r="A51" s="349">
        <v>21</v>
      </c>
      <c r="B51" s="350" t="s">
        <v>48</v>
      </c>
      <c r="C51" s="364">
        <v>50002650</v>
      </c>
      <c r="D51" s="434" t="s">
        <v>385</v>
      </c>
      <c r="E51" s="434" t="s">
        <v>386</v>
      </c>
      <c r="F51" s="434" t="s">
        <v>387</v>
      </c>
      <c r="G51" s="434" t="s">
        <v>220</v>
      </c>
      <c r="H51" s="434" t="s">
        <v>221</v>
      </c>
      <c r="I51" s="434">
        <v>6286</v>
      </c>
      <c r="J51" s="452">
        <v>59</v>
      </c>
      <c r="K51" s="453">
        <f>Table_Household_Alloc[[#This Row],[Unit Entitlement]]/1000</f>
        <v>0.059</v>
      </c>
      <c r="L51" s="437">
        <f t="shared" si="0"/>
        <v>13.688</v>
      </c>
      <c r="M51" s="458" t="s">
        <v>284</v>
      </c>
      <c r="N51" s="438">
        <f>IF(Table_Household_Alloc[[#This Row],[PV Installed]]="Y",1,0)*Table_Household_Alloc[[#This Row],[Calculated Battery Allocation (kWh)]]</f>
        <v>13.688</v>
      </c>
      <c r="O51" s="432">
        <v>10</v>
      </c>
      <c r="P51" s="432" t="s">
        <v>222</v>
      </c>
      <c r="Q51" s="432" t="s">
        <v>222</v>
      </c>
      <c r="R51" s="432" t="s">
        <v>222</v>
      </c>
      <c r="S51" s="432" t="s">
        <v>235</v>
      </c>
      <c r="U51" s="440"/>
      <c r="X51" s="470"/>
      <c r="Y51" s="443"/>
    </row>
    <row r="52" s="432" customFormat="1" ht="18" spans="1:25">
      <c r="A52" s="357" t="s">
        <v>335</v>
      </c>
      <c r="B52" s="350" t="s">
        <v>48</v>
      </c>
      <c r="C52" s="364">
        <v>40002670</v>
      </c>
      <c r="D52" s="434"/>
      <c r="E52" s="446" t="s">
        <v>336</v>
      </c>
      <c r="F52" s="433"/>
      <c r="G52" s="434"/>
      <c r="H52" s="434"/>
      <c r="I52" s="434"/>
      <c r="J52" s="455"/>
      <c r="K52" s="436">
        <f>Table_Household_Alloc[[#This Row],[Unit Entitlement]]/1000</f>
        <v>0</v>
      </c>
      <c r="L52" s="437"/>
      <c r="M52" s="434"/>
      <c r="N52" s="438">
        <f>IF(Table_Household_Alloc[[#This Row],[PV Installed]]="Y",1,0)*Table_Household_Alloc[[#This Row],[Calculated Battery Allocation (kWh)]]</f>
        <v>0</v>
      </c>
      <c r="T52" s="439"/>
      <c r="U52" s="440"/>
      <c r="V52" s="441"/>
      <c r="X52" s="442"/>
      <c r="Y52" s="443"/>
    </row>
    <row r="53" s="432" customFormat="1" ht="17.4" spans="1:25">
      <c r="A53" s="349" t="s">
        <v>337</v>
      </c>
      <c r="B53" s="350" t="s">
        <v>48</v>
      </c>
      <c r="C53" s="364">
        <v>40002667</v>
      </c>
      <c r="D53" s="434" t="s">
        <v>338</v>
      </c>
      <c r="E53" s="446" t="s">
        <v>339</v>
      </c>
      <c r="F53" s="434"/>
      <c r="G53" s="434" t="s">
        <v>220</v>
      </c>
      <c r="H53" s="434" t="s">
        <v>221</v>
      </c>
      <c r="I53" s="434">
        <v>6286</v>
      </c>
      <c r="J53" s="452"/>
      <c r="K53" s="453">
        <f>Table_Household_Alloc[[#This Row],[Unit Entitlement]]/1000</f>
        <v>0</v>
      </c>
      <c r="L53" s="437">
        <f t="shared" si="0"/>
        <v>0</v>
      </c>
      <c r="M53" s="458"/>
      <c r="N53" s="438">
        <f>IF(Table_Household_Alloc[[#This Row],[PV Installed]]="Y",1,0)*Table_Household_Alloc[[#This Row],[Calculated Battery Allocation (kWh)]]</f>
        <v>0</v>
      </c>
      <c r="P53" s="444" t="s">
        <v>222</v>
      </c>
      <c r="Q53" s="444" t="s">
        <v>223</v>
      </c>
      <c r="R53" s="434" t="s">
        <v>222</v>
      </c>
      <c r="S53" s="434"/>
      <c r="U53" s="440"/>
      <c r="X53" s="470"/>
      <c r="Y53" s="443"/>
    </row>
    <row r="54" s="432" customFormat="1" ht="17.4" spans="1:25">
      <c r="A54" s="349" t="s">
        <v>340</v>
      </c>
      <c r="B54" s="350" t="s">
        <v>48</v>
      </c>
      <c r="C54" s="364">
        <v>50003399</v>
      </c>
      <c r="D54" s="434" t="s">
        <v>338</v>
      </c>
      <c r="E54" s="446" t="s">
        <v>341</v>
      </c>
      <c r="F54" s="434"/>
      <c r="G54" s="434" t="s">
        <v>220</v>
      </c>
      <c r="H54" s="434" t="s">
        <v>221</v>
      </c>
      <c r="I54" s="434">
        <v>6286</v>
      </c>
      <c r="J54" s="456"/>
      <c r="K54" s="457">
        <f>Table_Household_Alloc[[#This Row],[Unit Entitlement]]/1000</f>
        <v>0</v>
      </c>
      <c r="L54" s="437">
        <f t="shared" si="0"/>
        <v>0</v>
      </c>
      <c r="M54" s="458"/>
      <c r="N54" s="438">
        <f>IF(Table_Household_Alloc[[#This Row],[PV Installed]]="Y",1,0)*Table_Household_Alloc[[#This Row],[Calculated Battery Allocation (kWh)]]</f>
        <v>0</v>
      </c>
      <c r="P54" s="444" t="s">
        <v>222</v>
      </c>
      <c r="Q54" s="444" t="s">
        <v>223</v>
      </c>
      <c r="R54" s="434" t="s">
        <v>222</v>
      </c>
      <c r="S54" s="434"/>
      <c r="U54" s="440"/>
      <c r="X54" s="470"/>
      <c r="Y54" s="443"/>
    </row>
    <row r="55" s="432" customFormat="1" ht="18" spans="1:25">
      <c r="A55" s="362" t="s">
        <v>342</v>
      </c>
      <c r="B55" s="350" t="s">
        <v>48</v>
      </c>
      <c r="C55" s="364"/>
      <c r="D55" s="434"/>
      <c r="E55" s="433"/>
      <c r="F55" s="433"/>
      <c r="G55" s="434"/>
      <c r="H55" s="434"/>
      <c r="I55" s="434"/>
      <c r="J55" s="435"/>
      <c r="K55" s="436">
        <f>Table_Household_Alloc[[#This Row],[Unit Entitlement]]/1000</f>
        <v>0</v>
      </c>
      <c r="L55" s="437"/>
      <c r="M55" s="434"/>
      <c r="N55" s="438">
        <f>IF(Table_Household_Alloc[[#This Row],[PV Installed]]="Y",1,0)*Table_Household_Alloc[[#This Row],[Calculated Battery Allocation (kWh)]]</f>
        <v>0</v>
      </c>
      <c r="T55" s="439"/>
      <c r="U55" s="440"/>
      <c r="V55" s="441"/>
      <c r="X55" s="442"/>
      <c r="Y55" s="443"/>
    </row>
    <row r="56" s="432" customFormat="1" ht="18" spans="1:25">
      <c r="A56" s="363" t="s">
        <v>343</v>
      </c>
      <c r="B56" s="350" t="s">
        <v>48</v>
      </c>
      <c r="C56" s="364"/>
      <c r="D56" s="434"/>
      <c r="E56" s="433"/>
      <c r="F56" s="433"/>
      <c r="G56" s="434"/>
      <c r="H56" s="434"/>
      <c r="I56" s="434"/>
      <c r="J56" s="435"/>
      <c r="K56" s="436">
        <f>Table_Household_Alloc[[#This Row],[Unit Entitlement]]/1000</f>
        <v>0</v>
      </c>
      <c r="L56" s="437"/>
      <c r="M56" s="434"/>
      <c r="N56" s="438">
        <f>IF(Table_Household_Alloc[[#This Row],[PV Installed]]="Y",1,0)*Table_Household_Alloc[[#This Row],[Calculated Battery Allocation (kWh)]]</f>
        <v>0</v>
      </c>
      <c r="T56" s="439"/>
      <c r="U56" s="440"/>
      <c r="V56" s="441"/>
      <c r="X56" s="442"/>
      <c r="Y56" s="443"/>
    </row>
    <row r="57" s="432" customFormat="1" ht="17.4" spans="1:25">
      <c r="A57" s="349">
        <v>1</v>
      </c>
      <c r="B57" s="350" t="s">
        <v>52</v>
      </c>
      <c r="C57" s="364">
        <v>50003397</v>
      </c>
      <c r="D57" s="434"/>
      <c r="E57" s="434" t="s">
        <v>388</v>
      </c>
      <c r="F57" s="434" t="s">
        <v>389</v>
      </c>
      <c r="G57" s="434" t="s">
        <v>390</v>
      </c>
      <c r="H57" s="434" t="s">
        <v>391</v>
      </c>
      <c r="I57" s="434">
        <v>6286</v>
      </c>
      <c r="J57" s="463">
        <v>42</v>
      </c>
      <c r="K57" s="464">
        <f>Table_Household_Alloc[[#This Row],[Unit Entitlement]]/1000</f>
        <v>0.042</v>
      </c>
      <c r="L57" s="437">
        <f>(J57/1000)*232</f>
        <v>9.744</v>
      </c>
      <c r="M57" s="458" t="s">
        <v>251</v>
      </c>
      <c r="N57" s="438">
        <f>IF(Table_Household_Alloc[[#This Row],[PV Installed]]="Y",1,0)*Table_Household_Alloc[[#This Row],[Calculated Battery Allocation (kWh)]]</f>
        <v>9.744</v>
      </c>
      <c r="O57" s="432">
        <v>8.2</v>
      </c>
      <c r="P57" s="434" t="s">
        <v>222</v>
      </c>
      <c r="Q57" s="434" t="s">
        <v>222</v>
      </c>
      <c r="R57" s="434" t="s">
        <v>222</v>
      </c>
      <c r="S57" s="434" t="s">
        <v>235</v>
      </c>
      <c r="U57" s="440"/>
      <c r="X57" s="470">
        <v>44381</v>
      </c>
      <c r="Y57" s="443" t="s">
        <v>228</v>
      </c>
    </row>
    <row r="58" s="432" customFormat="1" ht="17.4" spans="1:25">
      <c r="A58" s="349">
        <v>2</v>
      </c>
      <c r="B58" s="350" t="s">
        <v>52</v>
      </c>
      <c r="C58" s="364">
        <v>50003402</v>
      </c>
      <c r="D58" s="434"/>
      <c r="E58" s="434" t="s">
        <v>392</v>
      </c>
      <c r="F58" s="434" t="s">
        <v>393</v>
      </c>
      <c r="G58" s="434" t="s">
        <v>390</v>
      </c>
      <c r="H58" s="434" t="s">
        <v>391</v>
      </c>
      <c r="I58" s="434">
        <v>6286</v>
      </c>
      <c r="J58" s="463">
        <v>43</v>
      </c>
      <c r="K58" s="464">
        <f>Table_Household_Alloc[[#This Row],[Unit Entitlement]]/1000</f>
        <v>0.043</v>
      </c>
      <c r="L58" s="437">
        <f t="shared" ref="L58:L78" si="1">(J58/1000)*232</f>
        <v>9.976</v>
      </c>
      <c r="M58" s="458" t="str">
        <f>CONCATENATE("Symo ",Table_Household_Alloc[[#This Row],[Export Capacity (kW)]])</f>
        <v>Symo 5</v>
      </c>
      <c r="N58" s="438">
        <f>IF(Table_Household_Alloc[[#This Row],[PV Installed]]="Y",1,0)*Table_Household_Alloc[[#This Row],[Calculated Battery Allocation (kWh)]]</f>
        <v>9.976</v>
      </c>
      <c r="O58" s="432">
        <v>5</v>
      </c>
      <c r="P58" s="434" t="s">
        <v>222</v>
      </c>
      <c r="Q58" s="434" t="s">
        <v>222</v>
      </c>
      <c r="R58" s="434" t="s">
        <v>222</v>
      </c>
      <c r="S58" s="434" t="s">
        <v>235</v>
      </c>
      <c r="U58" s="440"/>
      <c r="X58" s="470">
        <v>44774</v>
      </c>
      <c r="Y58" s="443" t="s">
        <v>228</v>
      </c>
    </row>
    <row r="59" s="432" customFormat="1" ht="17.4" spans="1:25">
      <c r="A59" s="349">
        <v>3</v>
      </c>
      <c r="B59" s="350" t="s">
        <v>52</v>
      </c>
      <c r="C59" s="364">
        <v>50003431</v>
      </c>
      <c r="D59" s="434"/>
      <c r="E59" s="434" t="s">
        <v>394</v>
      </c>
      <c r="F59" s="434" t="s">
        <v>395</v>
      </c>
      <c r="G59" s="434" t="s">
        <v>390</v>
      </c>
      <c r="H59" s="434" t="s">
        <v>391</v>
      </c>
      <c r="I59" s="434">
        <v>6286</v>
      </c>
      <c r="J59" s="463">
        <v>44</v>
      </c>
      <c r="K59" s="464">
        <f>Table_Household_Alloc[[#This Row],[Unit Entitlement]]/1000</f>
        <v>0.044</v>
      </c>
      <c r="L59" s="437">
        <f t="shared" si="1"/>
        <v>10.208</v>
      </c>
      <c r="M59" s="458" t="str">
        <f>CONCATENATE("Symo ",Table_Household_Alloc[[#This Row],[Export Capacity (kW)]])</f>
        <v>Symo 8.2</v>
      </c>
      <c r="N59" s="438">
        <f>IF(Table_Household_Alloc[[#This Row],[PV Installed]]="Y",1,0)*Table_Household_Alloc[[#This Row],[Calculated Battery Allocation (kWh)]]</f>
        <v>10.208</v>
      </c>
      <c r="O59" s="432">
        <v>8.2</v>
      </c>
      <c r="P59" s="434" t="s">
        <v>222</v>
      </c>
      <c r="Q59" s="434" t="s">
        <v>222</v>
      </c>
      <c r="R59" s="434" t="s">
        <v>222</v>
      </c>
      <c r="S59" s="434" t="s">
        <v>235</v>
      </c>
      <c r="U59" s="440"/>
      <c r="X59" s="470">
        <v>45023</v>
      </c>
      <c r="Y59" s="443" t="s">
        <v>228</v>
      </c>
    </row>
    <row r="60" s="432" customFormat="1" ht="17.4" spans="1:25">
      <c r="A60" s="349">
        <v>4</v>
      </c>
      <c r="B60" s="350" t="s">
        <v>52</v>
      </c>
      <c r="C60" s="364">
        <v>50003394</v>
      </c>
      <c r="D60" s="434"/>
      <c r="E60" s="434" t="s">
        <v>396</v>
      </c>
      <c r="F60" s="434" t="s">
        <v>397</v>
      </c>
      <c r="G60" s="434" t="s">
        <v>390</v>
      </c>
      <c r="H60" s="434" t="s">
        <v>391</v>
      </c>
      <c r="I60" s="434">
        <v>6286</v>
      </c>
      <c r="J60" s="463">
        <v>45</v>
      </c>
      <c r="K60" s="464">
        <f>Table_Household_Alloc[[#This Row],[Unit Entitlement]]/1000</f>
        <v>0.045</v>
      </c>
      <c r="L60" s="437">
        <f t="shared" si="1"/>
        <v>10.44</v>
      </c>
      <c r="M60" s="458" t="str">
        <f>CONCATENATE("Symo ",Table_Household_Alloc[[#This Row],[Export Capacity (kW)]])</f>
        <v>Symo 5</v>
      </c>
      <c r="N60" s="438">
        <f>IF(Table_Household_Alloc[[#This Row],[PV Installed]]="Y",1,0)*Table_Household_Alloc[[#This Row],[Calculated Battery Allocation (kWh)]]</f>
        <v>10.44</v>
      </c>
      <c r="O60" s="432">
        <v>5</v>
      </c>
      <c r="P60" s="434" t="s">
        <v>222</v>
      </c>
      <c r="Q60" s="434" t="s">
        <v>222</v>
      </c>
      <c r="R60" s="434" t="s">
        <v>222</v>
      </c>
      <c r="S60" s="434" t="s">
        <v>235</v>
      </c>
      <c r="U60" s="440"/>
      <c r="X60" s="470">
        <v>45078</v>
      </c>
      <c r="Y60" s="443" t="s">
        <v>228</v>
      </c>
    </row>
    <row r="61" s="432" customFormat="1" ht="17.4" spans="1:25">
      <c r="A61" s="349">
        <v>5</v>
      </c>
      <c r="B61" s="350" t="s">
        <v>52</v>
      </c>
      <c r="C61" s="364">
        <v>50003433</v>
      </c>
      <c r="D61" s="434"/>
      <c r="E61" s="434" t="s">
        <v>398</v>
      </c>
      <c r="F61" s="434" t="s">
        <v>399</v>
      </c>
      <c r="G61" s="434" t="s">
        <v>390</v>
      </c>
      <c r="H61" s="434" t="s">
        <v>391</v>
      </c>
      <c r="I61" s="434">
        <v>6286</v>
      </c>
      <c r="J61" s="463">
        <v>46</v>
      </c>
      <c r="K61" s="464">
        <f>Table_Household_Alloc[[#This Row],[Unit Entitlement]]/1000</f>
        <v>0.046</v>
      </c>
      <c r="L61" s="437">
        <f t="shared" si="1"/>
        <v>10.672</v>
      </c>
      <c r="M61" s="458" t="str">
        <f>CONCATENATE("Symo ",Table_Household_Alloc[[#This Row],[Export Capacity (kW)]])</f>
        <v>Symo 8.2</v>
      </c>
      <c r="N61" s="438">
        <f>IF(Table_Household_Alloc[[#This Row],[PV Installed]]="Y",1,0)*Table_Household_Alloc[[#This Row],[Calculated Battery Allocation (kWh)]]</f>
        <v>10.672</v>
      </c>
      <c r="O61" s="432">
        <v>8.2</v>
      </c>
      <c r="P61" s="434" t="s">
        <v>222</v>
      </c>
      <c r="Q61" s="434" t="s">
        <v>222</v>
      </c>
      <c r="R61" s="434" t="s">
        <v>222</v>
      </c>
      <c r="S61" s="434" t="s">
        <v>235</v>
      </c>
      <c r="U61" s="440"/>
      <c r="X61" s="470">
        <v>44599</v>
      </c>
      <c r="Y61" s="443" t="s">
        <v>228</v>
      </c>
    </row>
    <row r="62" s="432" customFormat="1" ht="17.4" spans="1:25">
      <c r="A62" s="349">
        <v>6</v>
      </c>
      <c r="B62" s="350" t="s">
        <v>52</v>
      </c>
      <c r="C62" s="364">
        <v>50003421</v>
      </c>
      <c r="D62" s="434"/>
      <c r="E62" s="434" t="s">
        <v>400</v>
      </c>
      <c r="F62" s="434" t="s">
        <v>401</v>
      </c>
      <c r="G62" s="434" t="s">
        <v>390</v>
      </c>
      <c r="H62" s="434" t="s">
        <v>391</v>
      </c>
      <c r="I62" s="434">
        <v>6286</v>
      </c>
      <c r="J62" s="463">
        <v>66</v>
      </c>
      <c r="K62" s="464">
        <f>Table_Household_Alloc[[#This Row],[Unit Entitlement]]/1000</f>
        <v>0.066</v>
      </c>
      <c r="L62" s="437">
        <f t="shared" si="1"/>
        <v>15.312</v>
      </c>
      <c r="M62" s="458" t="str">
        <f>CONCATENATE("Symo ",Table_Household_Alloc[[#This Row],[Export Capacity (kW)]])</f>
        <v>Symo 10</v>
      </c>
      <c r="N62" s="438">
        <f>IF(Table_Household_Alloc[[#This Row],[PV Installed]]="Y",1,0)*Table_Household_Alloc[[#This Row],[Calculated Battery Allocation (kWh)]]</f>
        <v>15.312</v>
      </c>
      <c r="O62" s="432">
        <v>10</v>
      </c>
      <c r="P62" s="434" t="s">
        <v>222</v>
      </c>
      <c r="Q62" s="434" t="s">
        <v>222</v>
      </c>
      <c r="R62" s="434" t="s">
        <v>222</v>
      </c>
      <c r="S62" s="434" t="s">
        <v>235</v>
      </c>
      <c r="U62" s="440"/>
      <c r="X62" s="470">
        <v>45020</v>
      </c>
      <c r="Y62" s="443" t="s">
        <v>228</v>
      </c>
    </row>
    <row r="63" s="432" customFormat="1" ht="17.4" spans="1:25">
      <c r="A63" s="447">
        <v>7</v>
      </c>
      <c r="B63" s="448" t="s">
        <v>52</v>
      </c>
      <c r="C63" s="449">
        <v>50002953</v>
      </c>
      <c r="D63" s="434"/>
      <c r="E63" s="434" t="s">
        <v>402</v>
      </c>
      <c r="F63" s="434" t="s">
        <v>403</v>
      </c>
      <c r="G63" s="434" t="s">
        <v>390</v>
      </c>
      <c r="H63" s="434" t="s">
        <v>391</v>
      </c>
      <c r="I63" s="434">
        <v>6286</v>
      </c>
      <c r="J63" s="463">
        <v>66</v>
      </c>
      <c r="K63" s="464">
        <f>Table_Household_Alloc[[#This Row],[Unit Entitlement]]/1000</f>
        <v>0.066</v>
      </c>
      <c r="L63" s="437">
        <f t="shared" si="1"/>
        <v>15.312</v>
      </c>
      <c r="M63" s="458"/>
      <c r="N63" s="438">
        <f>IF(Table_Household_Alloc[[#This Row],[PV Installed]]="Y",1,0)*Table_Household_Alloc[[#This Row],[Calculated Battery Allocation (kWh)]]</f>
        <v>0</v>
      </c>
      <c r="P63" s="434"/>
      <c r="Q63" s="434"/>
      <c r="R63" s="434"/>
      <c r="S63" s="434" t="s">
        <v>404</v>
      </c>
      <c r="U63" s="440"/>
      <c r="X63" s="470"/>
      <c r="Y63" s="443"/>
    </row>
    <row r="64" s="432" customFormat="1" ht="17.4" spans="1:25">
      <c r="A64" s="349">
        <v>8</v>
      </c>
      <c r="B64" s="350" t="s">
        <v>52</v>
      </c>
      <c r="C64" s="364">
        <v>50003395</v>
      </c>
      <c r="D64" s="434"/>
      <c r="E64" s="434" t="s">
        <v>405</v>
      </c>
      <c r="F64" s="434" t="s">
        <v>406</v>
      </c>
      <c r="G64" s="434" t="s">
        <v>390</v>
      </c>
      <c r="H64" s="434" t="s">
        <v>391</v>
      </c>
      <c r="I64" s="434">
        <v>6286</v>
      </c>
      <c r="J64" s="463">
        <v>66</v>
      </c>
      <c r="K64" s="464">
        <f>Table_Household_Alloc[[#This Row],[Unit Entitlement]]/1000</f>
        <v>0.066</v>
      </c>
      <c r="L64" s="437">
        <f t="shared" si="1"/>
        <v>15.312</v>
      </c>
      <c r="M64" s="458" t="str">
        <f>CONCATENATE("Symo ",Table_Household_Alloc[[#This Row],[Export Capacity (kW)]])</f>
        <v>Symo 10</v>
      </c>
      <c r="N64" s="438">
        <f>IF(Table_Household_Alloc[[#This Row],[PV Installed]]="Y",1,0)*Table_Household_Alloc[[#This Row],[Calculated Battery Allocation (kWh)]]</f>
        <v>15.312</v>
      </c>
      <c r="O64" s="465">
        <v>10</v>
      </c>
      <c r="P64" s="434" t="s">
        <v>222</v>
      </c>
      <c r="Q64" s="434" t="s">
        <v>222</v>
      </c>
      <c r="R64" s="434" t="s">
        <v>222</v>
      </c>
      <c r="S64" s="434" t="s">
        <v>235</v>
      </c>
      <c r="U64" s="440"/>
      <c r="X64" s="470">
        <v>44682</v>
      </c>
      <c r="Y64" s="443" t="s">
        <v>228</v>
      </c>
    </row>
    <row r="65" s="432" customFormat="1" ht="17.4" spans="1:25">
      <c r="A65" s="349">
        <v>9</v>
      </c>
      <c r="B65" s="350" t="s">
        <v>52</v>
      </c>
      <c r="C65" s="471">
        <v>50003435</v>
      </c>
      <c r="D65" s="434"/>
      <c r="E65" s="434" t="s">
        <v>407</v>
      </c>
      <c r="F65" s="434" t="s">
        <v>408</v>
      </c>
      <c r="G65" s="434" t="s">
        <v>390</v>
      </c>
      <c r="H65" s="434" t="s">
        <v>391</v>
      </c>
      <c r="I65" s="434">
        <v>6286</v>
      </c>
      <c r="J65" s="463">
        <v>66</v>
      </c>
      <c r="K65" s="464">
        <f>Table_Household_Alloc[[#This Row],[Unit Entitlement]]/1000</f>
        <v>0.066</v>
      </c>
      <c r="L65" s="437">
        <f t="shared" si="1"/>
        <v>15.312</v>
      </c>
      <c r="M65" s="458"/>
      <c r="N65" s="438">
        <f>IF(Table_Household_Alloc[[#This Row],[PV Installed]]="Y",1,0)*Table_Household_Alloc[[#This Row],[Calculated Battery Allocation (kWh)]]</f>
        <v>0</v>
      </c>
      <c r="P65" s="434"/>
      <c r="Q65" s="434"/>
      <c r="R65" s="434"/>
      <c r="S65" s="434" t="s">
        <v>224</v>
      </c>
      <c r="U65" s="440"/>
      <c r="X65" s="470"/>
      <c r="Y65" s="443"/>
    </row>
    <row r="66" s="432" customFormat="1" ht="17.4" spans="1:25">
      <c r="A66" s="349">
        <v>10</v>
      </c>
      <c r="B66" s="350" t="s">
        <v>52</v>
      </c>
      <c r="C66" s="364">
        <v>50002952</v>
      </c>
      <c r="D66" s="434"/>
      <c r="E66" s="434" t="s">
        <v>409</v>
      </c>
      <c r="F66" s="434" t="s">
        <v>410</v>
      </c>
      <c r="G66" s="434" t="s">
        <v>390</v>
      </c>
      <c r="H66" s="434" t="s">
        <v>391</v>
      </c>
      <c r="I66" s="434">
        <v>6286</v>
      </c>
      <c r="J66" s="463">
        <v>31</v>
      </c>
      <c r="K66" s="464">
        <f>Table_Household_Alloc[[#This Row],[Unit Entitlement]]/1000</f>
        <v>0.031</v>
      </c>
      <c r="L66" s="437">
        <f t="shared" si="1"/>
        <v>7.192</v>
      </c>
      <c r="M66" s="458" t="str">
        <f>CONCATENATE("Symo ",Table_Household_Alloc[[#This Row],[Export Capacity (kW)]])</f>
        <v>Symo 5</v>
      </c>
      <c r="N66" s="438">
        <f>IF(Table_Household_Alloc[[#This Row],[PV Installed]]="Y",1,0)*Table_Household_Alloc[[#This Row],[Calculated Battery Allocation (kWh)]]</f>
        <v>7.192</v>
      </c>
      <c r="O66" s="432">
        <v>5</v>
      </c>
      <c r="P66" s="434" t="s">
        <v>222</v>
      </c>
      <c r="Q66" s="434" t="s">
        <v>222</v>
      </c>
      <c r="R66" s="434" t="s">
        <v>222</v>
      </c>
      <c r="S66" s="434" t="s">
        <v>235</v>
      </c>
      <c r="U66" s="440"/>
      <c r="X66" s="470">
        <v>44593</v>
      </c>
      <c r="Y66" s="443" t="s">
        <v>228</v>
      </c>
    </row>
    <row r="67" s="432" customFormat="1" ht="17.4" spans="1:25">
      <c r="A67" s="349">
        <v>11</v>
      </c>
      <c r="B67" s="350" t="s">
        <v>52</v>
      </c>
      <c r="C67" s="472">
        <v>50002944</v>
      </c>
      <c r="D67" s="434"/>
      <c r="E67" s="434" t="s">
        <v>411</v>
      </c>
      <c r="F67" s="434" t="s">
        <v>412</v>
      </c>
      <c r="G67" s="434" t="s">
        <v>390</v>
      </c>
      <c r="H67" s="434" t="s">
        <v>391</v>
      </c>
      <c r="I67" s="434">
        <v>6286</v>
      </c>
      <c r="J67" s="463">
        <v>31</v>
      </c>
      <c r="K67" s="464">
        <f>Table_Household_Alloc[[#This Row],[Unit Entitlement]]/1000</f>
        <v>0.031</v>
      </c>
      <c r="L67" s="437">
        <f t="shared" si="1"/>
        <v>7.192</v>
      </c>
      <c r="M67" s="458"/>
      <c r="N67" s="438">
        <f>IF(Table_Household_Alloc[[#This Row],[PV Installed]]="Y",1,0)*Table_Household_Alloc[[#This Row],[Calculated Battery Allocation (kWh)]]</f>
        <v>0</v>
      </c>
      <c r="P67" s="434"/>
      <c r="Q67" s="434"/>
      <c r="R67" s="434"/>
      <c r="S67" s="434" t="s">
        <v>404</v>
      </c>
      <c r="U67" s="440"/>
      <c r="X67" s="470"/>
      <c r="Y67" s="443"/>
    </row>
    <row r="68" s="432" customFormat="1" ht="17.4" spans="1:25">
      <c r="A68" s="447">
        <v>12</v>
      </c>
      <c r="B68" s="447" t="s">
        <v>52</v>
      </c>
      <c r="C68" s="473">
        <v>3308026898</v>
      </c>
      <c r="D68" s="474"/>
      <c r="E68" s="474" t="s">
        <v>413</v>
      </c>
      <c r="F68" s="474" t="s">
        <v>414</v>
      </c>
      <c r="G68" s="474" t="s">
        <v>390</v>
      </c>
      <c r="H68" s="474" t="s">
        <v>391</v>
      </c>
      <c r="I68" s="474">
        <v>6286</v>
      </c>
      <c r="J68" s="475">
        <v>31</v>
      </c>
      <c r="K68" s="476">
        <f>Table_Household_Alloc[[#This Row],[Unit Entitlement]]/1000</f>
        <v>0.031</v>
      </c>
      <c r="L68" s="477">
        <f t="shared" si="1"/>
        <v>7.192</v>
      </c>
      <c r="M68" s="458" t="str">
        <f>CONCATENATE("Symo ",Table_Household_Alloc[[#This Row],[Export Capacity (kW)]])</f>
        <v>Symo 5</v>
      </c>
      <c r="N68" s="438">
        <f>IF(Table_Household_Alloc[[#This Row],[PV Installed]]="Y",1,0)*Table_Household_Alloc[[#This Row],[Calculated Battery Allocation (kWh)]]</f>
        <v>7.192</v>
      </c>
      <c r="O68" s="478">
        <v>5</v>
      </c>
      <c r="P68" s="434" t="s">
        <v>223</v>
      </c>
      <c r="Q68" s="434" t="s">
        <v>222</v>
      </c>
      <c r="R68" s="434" t="s">
        <v>222</v>
      </c>
      <c r="S68" s="474" t="s">
        <v>235</v>
      </c>
      <c r="T68" s="478"/>
      <c r="U68" s="484"/>
      <c r="V68" s="478"/>
      <c r="W68" s="478"/>
      <c r="X68" s="485">
        <v>45139</v>
      </c>
      <c r="Y68" s="486" t="s">
        <v>228</v>
      </c>
    </row>
    <row r="69" s="432" customFormat="1" ht="17.4" spans="1:25">
      <c r="A69" s="349">
        <v>13</v>
      </c>
      <c r="B69" s="350" t="s">
        <v>52</v>
      </c>
      <c r="C69" s="364">
        <v>50003424</v>
      </c>
      <c r="D69" s="434"/>
      <c r="E69" s="434" t="s">
        <v>415</v>
      </c>
      <c r="F69" s="434" t="s">
        <v>416</v>
      </c>
      <c r="G69" s="434" t="s">
        <v>390</v>
      </c>
      <c r="H69" s="434" t="s">
        <v>391</v>
      </c>
      <c r="I69" s="434">
        <v>6286</v>
      </c>
      <c r="J69" s="463">
        <v>31</v>
      </c>
      <c r="K69" s="464">
        <f>Table_Household_Alloc[[#This Row],[Unit Entitlement]]/1000</f>
        <v>0.031</v>
      </c>
      <c r="L69" s="437">
        <f t="shared" si="1"/>
        <v>7.192</v>
      </c>
      <c r="M69" s="458" t="str">
        <f>CONCATENATE("Symo ",Table_Household_Alloc[[#This Row],[Export Capacity (kW)]])</f>
        <v>Symo 5</v>
      </c>
      <c r="N69" s="438">
        <f>IF(Table_Household_Alloc[[#This Row],[PV Installed]]="Y",1,0)*Table_Household_Alloc[[#This Row],[Calculated Battery Allocation (kWh)]]</f>
        <v>7.192</v>
      </c>
      <c r="O69" s="432">
        <v>5</v>
      </c>
      <c r="P69" s="434" t="s">
        <v>222</v>
      </c>
      <c r="Q69" s="434" t="s">
        <v>222</v>
      </c>
      <c r="R69" s="434" t="s">
        <v>222</v>
      </c>
      <c r="S69" s="434" t="s">
        <v>235</v>
      </c>
      <c r="U69" s="440"/>
      <c r="X69" s="470">
        <v>44621</v>
      </c>
      <c r="Y69" s="443" t="s">
        <v>228</v>
      </c>
    </row>
    <row r="70" s="432" customFormat="1" ht="17.4" spans="1:25">
      <c r="A70" s="349">
        <v>14</v>
      </c>
      <c r="B70" s="350" t="s">
        <v>52</v>
      </c>
      <c r="C70" s="364">
        <v>50003438</v>
      </c>
      <c r="D70" s="434"/>
      <c r="E70" s="434" t="s">
        <v>417</v>
      </c>
      <c r="F70" s="434" t="s">
        <v>418</v>
      </c>
      <c r="G70" s="434" t="s">
        <v>390</v>
      </c>
      <c r="H70" s="434" t="s">
        <v>391</v>
      </c>
      <c r="I70" s="434">
        <v>6286</v>
      </c>
      <c r="J70" s="463">
        <v>37</v>
      </c>
      <c r="K70" s="464">
        <f>Table_Household_Alloc[[#This Row],[Unit Entitlement]]/1000</f>
        <v>0.037</v>
      </c>
      <c r="L70" s="437">
        <f t="shared" si="1"/>
        <v>8.584</v>
      </c>
      <c r="M70" s="458" t="str">
        <f>CONCATENATE("Symo ",Table_Household_Alloc[[#This Row],[Export Capacity (kW)]])</f>
        <v>Symo 5</v>
      </c>
      <c r="N70" s="438">
        <f>IF(Table_Household_Alloc[[#This Row],[PV Installed]]="Y",1,0)*Table_Household_Alloc[[#This Row],[Calculated Battery Allocation (kWh)]]</f>
        <v>8.584</v>
      </c>
      <c r="O70" s="432">
        <v>5</v>
      </c>
      <c r="P70" s="434" t="s">
        <v>222</v>
      </c>
      <c r="Q70" s="434" t="s">
        <v>222</v>
      </c>
      <c r="R70" s="434" t="s">
        <v>222</v>
      </c>
      <c r="S70" s="434" t="s">
        <v>235</v>
      </c>
      <c r="U70" s="440"/>
      <c r="X70" s="470">
        <v>44643</v>
      </c>
      <c r="Y70" s="443" t="s">
        <v>228</v>
      </c>
    </row>
    <row r="71" s="432" customFormat="1" ht="17.4" spans="1:25">
      <c r="A71" s="349">
        <v>15</v>
      </c>
      <c r="B71" s="350" t="s">
        <v>52</v>
      </c>
      <c r="C71" s="364">
        <v>50003404</v>
      </c>
      <c r="D71" s="434"/>
      <c r="E71" s="434" t="s">
        <v>419</v>
      </c>
      <c r="F71" s="434" t="s">
        <v>420</v>
      </c>
      <c r="G71" s="434" t="s">
        <v>390</v>
      </c>
      <c r="H71" s="434" t="s">
        <v>391</v>
      </c>
      <c r="I71" s="434">
        <v>6286</v>
      </c>
      <c r="J71" s="463">
        <v>69</v>
      </c>
      <c r="K71" s="464">
        <f>Table_Household_Alloc[[#This Row],[Unit Entitlement]]/1000</f>
        <v>0.069</v>
      </c>
      <c r="L71" s="437">
        <f t="shared" si="1"/>
        <v>16.008</v>
      </c>
      <c r="M71" s="458" t="str">
        <f>CONCATENATE("Symo ",Table_Household_Alloc[[#This Row],[Export Capacity (kW)]])</f>
        <v>Symo 8.2</v>
      </c>
      <c r="N71" s="438">
        <f>IF(Table_Household_Alloc[[#This Row],[PV Installed]]="Y",1,0)*Table_Household_Alloc[[#This Row],[Calculated Battery Allocation (kWh)]]</f>
        <v>16.008</v>
      </c>
      <c r="O71" s="432">
        <v>8.2</v>
      </c>
      <c r="P71" s="434" t="s">
        <v>222</v>
      </c>
      <c r="Q71" s="434" t="s">
        <v>222</v>
      </c>
      <c r="R71" s="434" t="s">
        <v>222</v>
      </c>
      <c r="S71" s="434" t="s">
        <v>235</v>
      </c>
      <c r="U71" s="440"/>
      <c r="X71" s="470">
        <v>44835</v>
      </c>
      <c r="Y71" s="443" t="s">
        <v>228</v>
      </c>
    </row>
    <row r="72" s="432" customFormat="1" ht="17.4" spans="1:25">
      <c r="A72" s="349">
        <v>16</v>
      </c>
      <c r="B72" s="350" t="s">
        <v>52</v>
      </c>
      <c r="C72" s="364">
        <v>50003419</v>
      </c>
      <c r="D72" s="434"/>
      <c r="E72" s="434" t="s">
        <v>421</v>
      </c>
      <c r="F72" s="434" t="s">
        <v>422</v>
      </c>
      <c r="G72" s="434" t="s">
        <v>390</v>
      </c>
      <c r="H72" s="434" t="s">
        <v>391</v>
      </c>
      <c r="I72" s="434">
        <v>6286</v>
      </c>
      <c r="J72" s="463">
        <v>69</v>
      </c>
      <c r="K72" s="464">
        <f>Table_Household_Alloc[[#This Row],[Unit Entitlement]]/1000</f>
        <v>0.069</v>
      </c>
      <c r="L72" s="437">
        <f t="shared" si="1"/>
        <v>16.008</v>
      </c>
      <c r="M72" s="458" t="str">
        <f>CONCATENATE("Symo ",Table_Household_Alloc[[#This Row],[Export Capacity (kW)]])</f>
        <v>Symo 10</v>
      </c>
      <c r="N72" s="438">
        <f>IF(Table_Household_Alloc[[#This Row],[PV Installed]]="Y",1,0)*Table_Household_Alloc[[#This Row],[Calculated Battery Allocation (kWh)]]</f>
        <v>16.008</v>
      </c>
      <c r="O72" s="432">
        <v>10</v>
      </c>
      <c r="P72" s="434" t="s">
        <v>222</v>
      </c>
      <c r="Q72" s="434" t="s">
        <v>222</v>
      </c>
      <c r="R72" s="434" t="s">
        <v>222</v>
      </c>
      <c r="S72" s="434" t="s">
        <v>235</v>
      </c>
      <c r="U72" s="440"/>
      <c r="X72" s="470">
        <v>45047</v>
      </c>
      <c r="Y72" s="443" t="s">
        <v>228</v>
      </c>
    </row>
    <row r="73" s="432" customFormat="1" ht="17.4" spans="1:25">
      <c r="A73" s="349">
        <v>17</v>
      </c>
      <c r="B73" s="350" t="s">
        <v>52</v>
      </c>
      <c r="C73" s="472">
        <v>50003428</v>
      </c>
      <c r="D73" s="434"/>
      <c r="E73" s="434" t="s">
        <v>423</v>
      </c>
      <c r="F73" s="434" t="s">
        <v>424</v>
      </c>
      <c r="G73" s="434" t="s">
        <v>390</v>
      </c>
      <c r="H73" s="434" t="s">
        <v>391</v>
      </c>
      <c r="I73" s="434">
        <v>6286</v>
      </c>
      <c r="J73" s="463">
        <v>69</v>
      </c>
      <c r="K73" s="464">
        <f>Table_Household_Alloc[[#This Row],[Unit Entitlement]]/1000</f>
        <v>0.069</v>
      </c>
      <c r="L73" s="437">
        <f t="shared" si="1"/>
        <v>16.008</v>
      </c>
      <c r="M73" s="458"/>
      <c r="N73" s="438">
        <f>IF(Table_Household_Alloc[[#This Row],[PV Installed]]="Y",1,0)*Table_Household_Alloc[[#This Row],[Calculated Battery Allocation (kWh)]]</f>
        <v>0</v>
      </c>
      <c r="P73" s="434"/>
      <c r="Q73" s="434"/>
      <c r="R73" s="434"/>
      <c r="S73" s="434" t="s">
        <v>404</v>
      </c>
      <c r="U73" s="440"/>
      <c r="X73" s="470"/>
      <c r="Y73" s="443"/>
    </row>
    <row r="74" s="432" customFormat="1" ht="17.4" spans="1:25">
      <c r="A74" s="349">
        <v>18</v>
      </c>
      <c r="B74" s="350" t="s">
        <v>52</v>
      </c>
      <c r="C74" s="364">
        <v>50002935</v>
      </c>
      <c r="D74" s="434"/>
      <c r="E74" s="434" t="s">
        <v>425</v>
      </c>
      <c r="F74" s="434" t="s">
        <v>426</v>
      </c>
      <c r="G74" s="434" t="s">
        <v>390</v>
      </c>
      <c r="H74" s="434" t="s">
        <v>391</v>
      </c>
      <c r="I74" s="434">
        <v>6286</v>
      </c>
      <c r="J74" s="463">
        <v>69</v>
      </c>
      <c r="K74" s="464">
        <f>Table_Household_Alloc[[#This Row],[Unit Entitlement]]/1000</f>
        <v>0.069</v>
      </c>
      <c r="L74" s="437">
        <f t="shared" si="1"/>
        <v>16.008</v>
      </c>
      <c r="M74" s="458" t="str">
        <f>CONCATENATE("Symo ",Table_Household_Alloc[[#This Row],[Export Capacity (kW)]])</f>
        <v>Symo 10</v>
      </c>
      <c r="N74" s="438">
        <f>IF(Table_Household_Alloc[[#This Row],[PV Installed]]="Y",1,0)*Table_Household_Alloc[[#This Row],[Calculated Battery Allocation (kWh)]]</f>
        <v>16.008</v>
      </c>
      <c r="O74" s="432">
        <v>10</v>
      </c>
      <c r="P74" s="434" t="s">
        <v>222</v>
      </c>
      <c r="Q74" s="434" t="s">
        <v>222</v>
      </c>
      <c r="R74" s="434" t="s">
        <v>222</v>
      </c>
      <c r="S74" s="434" t="s">
        <v>235</v>
      </c>
      <c r="U74" s="440"/>
      <c r="X74" s="470">
        <v>45481</v>
      </c>
      <c r="Y74" s="443" t="s">
        <v>228</v>
      </c>
    </row>
    <row r="75" s="432" customFormat="1" ht="18.15" spans="1:25">
      <c r="A75" s="349">
        <v>19</v>
      </c>
      <c r="B75" s="350" t="s">
        <v>52</v>
      </c>
      <c r="C75" s="364">
        <v>50003417</v>
      </c>
      <c r="D75" s="434"/>
      <c r="E75" s="434" t="s">
        <v>427</v>
      </c>
      <c r="F75" s="434" t="s">
        <v>428</v>
      </c>
      <c r="G75" s="434" t="s">
        <v>390</v>
      </c>
      <c r="H75" s="434" t="s">
        <v>391</v>
      </c>
      <c r="I75" s="434">
        <v>6286</v>
      </c>
      <c r="J75" s="479">
        <v>79</v>
      </c>
      <c r="K75" s="464">
        <f>Table_Household_Alloc[[#This Row],[Unit Entitlement]]/1000</f>
        <v>0.079</v>
      </c>
      <c r="L75" s="437">
        <f t="shared" si="1"/>
        <v>18.328</v>
      </c>
      <c r="M75" s="458" t="str">
        <f>CONCATENATE("Symo ",Table_Household_Alloc[[#This Row],[Export Capacity (kW)]])</f>
        <v>Symo 10</v>
      </c>
      <c r="N75" s="438">
        <f>IF(Table_Household_Alloc[[#This Row],[PV Installed]]="Y",1,0)*Table_Household_Alloc[[#This Row],[Calculated Battery Allocation (kWh)]]</f>
        <v>18.328</v>
      </c>
      <c r="O75" s="432">
        <v>10</v>
      </c>
      <c r="P75" s="434" t="s">
        <v>222</v>
      </c>
      <c r="Q75" s="434" t="s">
        <v>222</v>
      </c>
      <c r="R75" s="434" t="s">
        <v>222</v>
      </c>
      <c r="S75" s="432" t="s">
        <v>235</v>
      </c>
      <c r="U75" s="440"/>
      <c r="X75" s="470">
        <v>44913</v>
      </c>
      <c r="Y75" s="443" t="s">
        <v>228</v>
      </c>
    </row>
    <row r="76" s="432" customFormat="1" ht="18" spans="1:25">
      <c r="A76" s="357" t="s">
        <v>335</v>
      </c>
      <c r="B76" s="350" t="s">
        <v>52</v>
      </c>
      <c r="C76" s="364">
        <v>40002722</v>
      </c>
      <c r="D76" s="434"/>
      <c r="E76" s="446" t="s">
        <v>336</v>
      </c>
      <c r="F76" s="433"/>
      <c r="G76" s="434"/>
      <c r="H76" s="434"/>
      <c r="I76" s="434"/>
      <c r="J76" s="480"/>
      <c r="K76" s="481">
        <f>Table_Household_Alloc[[#This Row],[Unit Entitlement]]/1000</f>
        <v>0</v>
      </c>
      <c r="L76" s="437"/>
      <c r="M76" s="434"/>
      <c r="N76" s="438">
        <f>IF(Table_Household_Alloc[[#This Row],[PV Installed]]="Y",1,0)*Table_Household_Alloc[[#This Row],[Calculated Battery Allocation (kWh)]]</f>
        <v>0</v>
      </c>
      <c r="T76" s="439"/>
      <c r="U76" s="440"/>
      <c r="V76" s="441"/>
      <c r="X76" s="442"/>
      <c r="Y76" s="443"/>
    </row>
    <row r="77" s="432" customFormat="1" ht="17.4" spans="1:25">
      <c r="A77" s="447" t="s">
        <v>337</v>
      </c>
      <c r="B77" s="448" t="s">
        <v>52</v>
      </c>
      <c r="C77" s="473">
        <v>40002728</v>
      </c>
      <c r="D77" s="434"/>
      <c r="E77" s="446" t="s">
        <v>339</v>
      </c>
      <c r="F77" s="434" t="s">
        <v>429</v>
      </c>
      <c r="G77" s="434" t="s">
        <v>220</v>
      </c>
      <c r="H77" s="434" t="s">
        <v>221</v>
      </c>
      <c r="I77" s="434">
        <v>6286</v>
      </c>
      <c r="J77" s="482"/>
      <c r="K77" s="483">
        <f>Table_Household_Alloc[[#This Row],[Unit Entitlement]]/1000</f>
        <v>0</v>
      </c>
      <c r="L77" s="437"/>
      <c r="M77" s="458"/>
      <c r="N77" s="438">
        <f>IF(Table_Household_Alloc[[#This Row],[PV Installed]]="Y",1,0)*Table_Household_Alloc[[#This Row],[Calculated Battery Allocation (kWh)]]</f>
        <v>0</v>
      </c>
      <c r="U77" s="440"/>
      <c r="X77" s="470"/>
      <c r="Y77" s="443"/>
    </row>
    <row r="78" s="432" customFormat="1" ht="17.4" spans="1:25">
      <c r="A78" s="349" t="s">
        <v>340</v>
      </c>
      <c r="B78" s="350" t="s">
        <v>52</v>
      </c>
      <c r="C78" s="364">
        <v>50003429</v>
      </c>
      <c r="D78" s="434"/>
      <c r="E78" s="446" t="s">
        <v>341</v>
      </c>
      <c r="F78" s="434" t="s">
        <v>429</v>
      </c>
      <c r="G78" s="434" t="s">
        <v>220</v>
      </c>
      <c r="H78" s="434" t="s">
        <v>221</v>
      </c>
      <c r="I78" s="434">
        <v>6286</v>
      </c>
      <c r="J78" s="456"/>
      <c r="K78" s="457">
        <f>Table_Household_Alloc[[#This Row],[Unit Entitlement]]/1000</f>
        <v>0</v>
      </c>
      <c r="L78" s="437">
        <f t="shared" si="1"/>
        <v>0</v>
      </c>
      <c r="M78" s="458"/>
      <c r="N78" s="438">
        <f>IF(Table_Household_Alloc[[#This Row],[PV Installed]]="Y",1,0)*Table_Household_Alloc[[#This Row],[Calculated Battery Allocation (kWh)]]</f>
        <v>0</v>
      </c>
      <c r="P78" s="434"/>
      <c r="Q78" s="434"/>
      <c r="R78" s="434"/>
      <c r="S78" s="434"/>
      <c r="U78" s="440"/>
      <c r="X78" s="470"/>
      <c r="Y78" s="443"/>
    </row>
    <row r="79" s="432" customFormat="1" ht="18" spans="1:25">
      <c r="A79" s="362" t="s">
        <v>342</v>
      </c>
      <c r="B79" s="350" t="s">
        <v>52</v>
      </c>
      <c r="C79" s="364"/>
      <c r="D79" s="434"/>
      <c r="E79" s="433"/>
      <c r="F79" s="433"/>
      <c r="G79" s="434"/>
      <c r="H79" s="434"/>
      <c r="I79" s="434"/>
      <c r="J79" s="435"/>
      <c r="K79" s="436">
        <f>Table_Household_Alloc[[#This Row],[Unit Entitlement]]/1000</f>
        <v>0</v>
      </c>
      <c r="L79" s="437"/>
      <c r="M79" s="434"/>
      <c r="N79" s="438">
        <f>IF(Table_Household_Alloc[[#This Row],[PV Installed]]="Y",1,0)*Table_Household_Alloc[[#This Row],[Calculated Battery Allocation (kWh)]]</f>
        <v>0</v>
      </c>
      <c r="T79" s="439"/>
      <c r="U79" s="440"/>
      <c r="V79" s="441"/>
      <c r="X79" s="442"/>
      <c r="Y79" s="443"/>
    </row>
    <row r="80" s="432" customFormat="1" ht="18" spans="1:25">
      <c r="A80" s="363" t="s">
        <v>343</v>
      </c>
      <c r="B80" s="350" t="s">
        <v>52</v>
      </c>
      <c r="C80" s="364"/>
      <c r="D80" s="434"/>
      <c r="E80" s="433"/>
      <c r="F80" s="433"/>
      <c r="G80" s="434"/>
      <c r="H80" s="434"/>
      <c r="I80" s="434"/>
      <c r="J80" s="435"/>
      <c r="K80" s="436">
        <f>Table_Household_Alloc[[#This Row],[Unit Entitlement]]/1000</f>
        <v>0</v>
      </c>
      <c r="L80" s="437"/>
      <c r="M80" s="434"/>
      <c r="N80" s="438">
        <f>IF(Table_Household_Alloc[[#This Row],[PV Installed]]="Y",1,0)*Table_Household_Alloc[[#This Row],[Calculated Battery Allocation (kWh)]]</f>
        <v>0</v>
      </c>
      <c r="T80" s="439"/>
      <c r="U80" s="440"/>
      <c r="V80" s="441"/>
      <c r="X80" s="442"/>
      <c r="Y80" s="443"/>
    </row>
    <row r="81" s="432" customFormat="1" ht="17.4" spans="1:25">
      <c r="A81" s="349">
        <v>1</v>
      </c>
      <c r="B81" s="350" t="s">
        <v>54</v>
      </c>
      <c r="C81" s="354">
        <v>50002920</v>
      </c>
      <c r="D81" s="434"/>
      <c r="E81" s="434" t="s">
        <v>430</v>
      </c>
      <c r="F81" s="434" t="s">
        <v>431</v>
      </c>
      <c r="G81" s="434" t="s">
        <v>390</v>
      </c>
      <c r="H81" s="434" t="s">
        <v>391</v>
      </c>
      <c r="I81" s="434">
        <v>6286</v>
      </c>
      <c r="J81" s="456">
        <v>40</v>
      </c>
      <c r="K81" s="457">
        <f>Table_Household_Alloc[[#This Row],[Unit Entitlement]]/1000</f>
        <v>0.04</v>
      </c>
      <c r="L81" s="437">
        <f>J81/1000*232</f>
        <v>9.28</v>
      </c>
      <c r="M81" s="458"/>
      <c r="N81" s="438">
        <f>IF(Table_Household_Alloc[[#This Row],[PV Installed]]="Y",1,0)*Table_Household_Alloc[[#This Row],[Calculated Battery Allocation (kWh)]]</f>
        <v>0</v>
      </c>
      <c r="P81" s="434"/>
      <c r="Q81" s="434"/>
      <c r="R81" s="434"/>
      <c r="S81" s="434" t="s">
        <v>224</v>
      </c>
      <c r="T81" s="432" t="s">
        <v>432</v>
      </c>
      <c r="U81" s="440" t="s">
        <v>433</v>
      </c>
      <c r="V81" s="432" t="s">
        <v>434</v>
      </c>
      <c r="X81" s="470"/>
      <c r="Y81" s="443"/>
    </row>
    <row r="82" s="432" customFormat="1" ht="17.4" spans="1:25">
      <c r="A82" s="349">
        <v>2</v>
      </c>
      <c r="B82" s="350" t="s">
        <v>54</v>
      </c>
      <c r="C82" s="364">
        <v>50002903</v>
      </c>
      <c r="D82" s="434"/>
      <c r="E82" s="434" t="s">
        <v>435</v>
      </c>
      <c r="F82" s="434" t="s">
        <v>436</v>
      </c>
      <c r="G82" s="434" t="s">
        <v>390</v>
      </c>
      <c r="H82" s="434" t="s">
        <v>391</v>
      </c>
      <c r="I82" s="434">
        <v>6286</v>
      </c>
      <c r="J82" s="456">
        <v>40</v>
      </c>
      <c r="K82" s="457">
        <f>Table_Household_Alloc[[#This Row],[Unit Entitlement]]/1000</f>
        <v>0.04</v>
      </c>
      <c r="L82" s="437">
        <f t="shared" ref="L82:L154" si="2">J82/1000*232</f>
        <v>9.28</v>
      </c>
      <c r="M82" s="458" t="str">
        <f>CONCATENATE("Symo ",Table_Household_Alloc[[#This Row],[Export Capacity (kW)]])</f>
        <v>Symo 8.2</v>
      </c>
      <c r="N82" s="438">
        <f>IF(Table_Household_Alloc[[#This Row],[PV Installed]]="Y",1,0)*Table_Household_Alloc[[#This Row],[Calculated Battery Allocation (kWh)]]</f>
        <v>9.28</v>
      </c>
      <c r="O82" s="432">
        <v>8.2</v>
      </c>
      <c r="P82" s="434" t="s">
        <v>222</v>
      </c>
      <c r="Q82" s="434" t="s">
        <v>222</v>
      </c>
      <c r="R82" s="434" t="s">
        <v>222</v>
      </c>
      <c r="S82" s="434" t="s">
        <v>235</v>
      </c>
      <c r="T82" s="432" t="s">
        <v>437</v>
      </c>
      <c r="U82" s="440" t="s">
        <v>438</v>
      </c>
      <c r="V82" s="432" t="s">
        <v>439</v>
      </c>
      <c r="X82" s="470">
        <v>44986</v>
      </c>
      <c r="Y82" s="443" t="s">
        <v>228</v>
      </c>
    </row>
    <row r="83" s="432" customFormat="1" ht="17.4" spans="1:25">
      <c r="A83" s="349">
        <v>3</v>
      </c>
      <c r="B83" s="350" t="s">
        <v>54</v>
      </c>
      <c r="C83" s="354"/>
      <c r="D83" s="434"/>
      <c r="E83" s="434" t="s">
        <v>440</v>
      </c>
      <c r="F83" s="434" t="s">
        <v>441</v>
      </c>
      <c r="G83" s="434" t="s">
        <v>390</v>
      </c>
      <c r="H83" s="434" t="s">
        <v>391</v>
      </c>
      <c r="I83" s="434">
        <v>6286</v>
      </c>
      <c r="J83" s="456">
        <v>40</v>
      </c>
      <c r="K83" s="457">
        <f>Table_Household_Alloc[[#This Row],[Unit Entitlement]]/1000</f>
        <v>0.04</v>
      </c>
      <c r="L83" s="437">
        <f t="shared" si="2"/>
        <v>9.28</v>
      </c>
      <c r="M83" s="458"/>
      <c r="N83" s="438">
        <f>IF(Table_Household_Alloc[[#This Row],[PV Installed]]="Y",1,0)*Table_Household_Alloc[[#This Row],[Calculated Battery Allocation (kWh)]]</f>
        <v>0</v>
      </c>
      <c r="P83" s="434"/>
      <c r="Q83" s="434"/>
      <c r="R83" s="434"/>
      <c r="S83" s="434" t="s">
        <v>308</v>
      </c>
      <c r="T83" s="432" t="s">
        <v>442</v>
      </c>
      <c r="U83" s="440"/>
      <c r="V83" s="432" t="s">
        <v>443</v>
      </c>
      <c r="X83" s="470"/>
      <c r="Y83" s="443"/>
    </row>
    <row r="84" s="432" customFormat="1" ht="17.4" spans="1:25">
      <c r="A84" s="349">
        <v>4</v>
      </c>
      <c r="B84" s="350" t="s">
        <v>54</v>
      </c>
      <c r="C84" s="354"/>
      <c r="D84" s="434"/>
      <c r="E84" s="434" t="s">
        <v>444</v>
      </c>
      <c r="F84" s="434" t="s">
        <v>445</v>
      </c>
      <c r="G84" s="434" t="s">
        <v>390</v>
      </c>
      <c r="H84" s="434" t="s">
        <v>391</v>
      </c>
      <c r="I84" s="434">
        <v>6286</v>
      </c>
      <c r="J84" s="456">
        <v>40</v>
      </c>
      <c r="K84" s="457">
        <f>Table_Household_Alloc[[#This Row],[Unit Entitlement]]/1000</f>
        <v>0.04</v>
      </c>
      <c r="L84" s="437">
        <f t="shared" si="2"/>
        <v>9.28</v>
      </c>
      <c r="M84" s="458"/>
      <c r="N84" s="438">
        <f>IF(Table_Household_Alloc[[#This Row],[PV Installed]]="Y",1,0)*Table_Household_Alloc[[#This Row],[Calculated Battery Allocation (kWh)]]</f>
        <v>0</v>
      </c>
      <c r="P84" s="434"/>
      <c r="Q84" s="434"/>
      <c r="R84" s="434"/>
      <c r="S84" s="434" t="s">
        <v>308</v>
      </c>
      <c r="T84" s="432" t="s">
        <v>446</v>
      </c>
      <c r="U84" s="440"/>
      <c r="V84" s="432" t="s">
        <v>447</v>
      </c>
      <c r="X84" s="470"/>
      <c r="Y84" s="443"/>
    </row>
    <row r="85" s="432" customFormat="1" ht="17.4" spans="1:25">
      <c r="A85" s="349">
        <v>5</v>
      </c>
      <c r="B85" s="350" t="s">
        <v>54</v>
      </c>
      <c r="C85" s="364">
        <v>50002911</v>
      </c>
      <c r="D85" s="434"/>
      <c r="E85" s="434" t="s">
        <v>448</v>
      </c>
      <c r="F85" s="434" t="s">
        <v>449</v>
      </c>
      <c r="G85" s="434" t="s">
        <v>390</v>
      </c>
      <c r="H85" s="434" t="s">
        <v>391</v>
      </c>
      <c r="I85" s="434">
        <v>6286</v>
      </c>
      <c r="J85" s="456">
        <v>42</v>
      </c>
      <c r="K85" s="457">
        <f>Table_Household_Alloc[[#This Row],[Unit Entitlement]]/1000</f>
        <v>0.042</v>
      </c>
      <c r="L85" s="437">
        <f t="shared" si="2"/>
        <v>9.744</v>
      </c>
      <c r="M85" s="458" t="str">
        <f>CONCATENATE("Symo ",Table_Household_Alloc[[#This Row],[Export Capacity (kW)]])</f>
        <v>Symo 8.2</v>
      </c>
      <c r="N85" s="438">
        <f>IF(Table_Household_Alloc[[#This Row],[PV Installed]]="Y",1,0)*Table_Household_Alloc[[#This Row],[Calculated Battery Allocation (kWh)]]</f>
        <v>9.744</v>
      </c>
      <c r="O85" s="432">
        <v>8.2</v>
      </c>
      <c r="P85" s="434" t="s">
        <v>222</v>
      </c>
      <c r="Q85" s="434" t="s">
        <v>222</v>
      </c>
      <c r="R85" s="434" t="s">
        <v>222</v>
      </c>
      <c r="S85" s="434" t="s">
        <v>235</v>
      </c>
      <c r="T85" s="432" t="s">
        <v>450</v>
      </c>
      <c r="U85" s="440" t="s">
        <v>451</v>
      </c>
      <c r="V85" s="432" t="s">
        <v>452</v>
      </c>
      <c r="X85" s="470">
        <v>45108</v>
      </c>
      <c r="Y85" s="443" t="s">
        <v>228</v>
      </c>
    </row>
    <row r="86" s="432" customFormat="1" ht="17.4" spans="1:25">
      <c r="A86" s="349">
        <v>6</v>
      </c>
      <c r="B86" s="350" t="s">
        <v>54</v>
      </c>
      <c r="C86" s="354"/>
      <c r="D86" s="434"/>
      <c r="E86" s="434" t="s">
        <v>453</v>
      </c>
      <c r="F86" s="434" t="s">
        <v>454</v>
      </c>
      <c r="G86" s="434" t="s">
        <v>390</v>
      </c>
      <c r="H86" s="434" t="s">
        <v>391</v>
      </c>
      <c r="I86" s="434">
        <v>6286</v>
      </c>
      <c r="J86" s="456">
        <v>41</v>
      </c>
      <c r="K86" s="457">
        <f>Table_Household_Alloc[[#This Row],[Unit Entitlement]]/1000</f>
        <v>0.041</v>
      </c>
      <c r="L86" s="437">
        <f t="shared" si="2"/>
        <v>9.512</v>
      </c>
      <c r="M86" s="458"/>
      <c r="N86" s="438">
        <f>IF(Table_Household_Alloc[[#This Row],[PV Installed]]="Y",1,0)*Table_Household_Alloc[[#This Row],[Calculated Battery Allocation (kWh)]]</f>
        <v>0</v>
      </c>
      <c r="P86" s="434"/>
      <c r="Q86" s="434"/>
      <c r="R86" s="434"/>
      <c r="S86" s="434" t="s">
        <v>308</v>
      </c>
      <c r="T86" s="432" t="s">
        <v>455</v>
      </c>
      <c r="U86" s="440"/>
      <c r="V86" s="432" t="s">
        <v>456</v>
      </c>
      <c r="X86" s="470"/>
      <c r="Y86" s="443"/>
    </row>
    <row r="87" s="432" customFormat="1" ht="17.4" spans="1:25">
      <c r="A87" s="349">
        <v>7</v>
      </c>
      <c r="B87" s="350" t="s">
        <v>54</v>
      </c>
      <c r="C87" s="354"/>
      <c r="D87" s="434"/>
      <c r="E87" s="434" t="s">
        <v>457</v>
      </c>
      <c r="F87" s="434" t="s">
        <v>458</v>
      </c>
      <c r="G87" s="434" t="s">
        <v>390</v>
      </c>
      <c r="H87" s="434" t="s">
        <v>391</v>
      </c>
      <c r="I87" s="434">
        <v>6286</v>
      </c>
      <c r="J87" s="456">
        <v>40</v>
      </c>
      <c r="K87" s="457">
        <f>Table_Household_Alloc[[#This Row],[Unit Entitlement]]/1000</f>
        <v>0.04</v>
      </c>
      <c r="L87" s="437">
        <f t="shared" si="2"/>
        <v>9.28</v>
      </c>
      <c r="M87" s="458"/>
      <c r="N87" s="438">
        <f>IF(Table_Household_Alloc[[#This Row],[PV Installed]]="Y",1,0)*Table_Household_Alloc[[#This Row],[Calculated Battery Allocation (kWh)]]</f>
        <v>0</v>
      </c>
      <c r="P87" s="434"/>
      <c r="Q87" s="434"/>
      <c r="R87" s="434"/>
      <c r="S87" s="434" t="s">
        <v>308</v>
      </c>
      <c r="T87" s="432" t="s">
        <v>459</v>
      </c>
      <c r="U87" s="440" t="s">
        <v>460</v>
      </c>
      <c r="V87" s="432" t="s">
        <v>461</v>
      </c>
      <c r="X87" s="470"/>
      <c r="Y87" s="443"/>
    </row>
    <row r="88" s="432" customFormat="1" ht="17.4" spans="1:25">
      <c r="A88" s="349">
        <v>8</v>
      </c>
      <c r="B88" s="350" t="s">
        <v>54</v>
      </c>
      <c r="C88" s="354"/>
      <c r="D88" s="434"/>
      <c r="E88" s="434" t="s">
        <v>462</v>
      </c>
      <c r="F88" s="434" t="s">
        <v>463</v>
      </c>
      <c r="G88" s="434" t="s">
        <v>390</v>
      </c>
      <c r="H88" s="434" t="s">
        <v>391</v>
      </c>
      <c r="I88" s="434">
        <v>6286</v>
      </c>
      <c r="J88" s="456">
        <v>39</v>
      </c>
      <c r="K88" s="457">
        <f>Table_Household_Alloc[[#This Row],[Unit Entitlement]]/1000</f>
        <v>0.039</v>
      </c>
      <c r="L88" s="437">
        <f t="shared" si="2"/>
        <v>9.048</v>
      </c>
      <c r="M88" s="458"/>
      <c r="N88" s="438">
        <f>IF(Table_Household_Alloc[[#This Row],[PV Installed]]="Y",1,0)*Table_Household_Alloc[[#This Row],[Calculated Battery Allocation (kWh)]]</f>
        <v>0</v>
      </c>
      <c r="P88" s="434"/>
      <c r="Q88" s="434"/>
      <c r="R88" s="434"/>
      <c r="S88" s="434" t="s">
        <v>308</v>
      </c>
      <c r="T88" s="432" t="s">
        <v>464</v>
      </c>
      <c r="U88" s="440"/>
      <c r="V88" s="432" t="s">
        <v>465</v>
      </c>
      <c r="X88" s="470"/>
      <c r="Y88" s="443"/>
    </row>
    <row r="89" s="432" customFormat="1" ht="17.4" spans="1:25">
      <c r="A89" s="349">
        <v>9</v>
      </c>
      <c r="B89" s="350" t="s">
        <v>54</v>
      </c>
      <c r="C89" s="354">
        <v>50002909</v>
      </c>
      <c r="D89" s="434"/>
      <c r="E89" s="434" t="s">
        <v>466</v>
      </c>
      <c r="F89" s="434" t="s">
        <v>467</v>
      </c>
      <c r="G89" s="434" t="s">
        <v>390</v>
      </c>
      <c r="H89" s="434" t="s">
        <v>391</v>
      </c>
      <c r="I89" s="434">
        <v>6286</v>
      </c>
      <c r="J89" s="456">
        <v>54</v>
      </c>
      <c r="K89" s="457">
        <f>Table_Household_Alloc[[#This Row],[Unit Entitlement]]/1000</f>
        <v>0.054</v>
      </c>
      <c r="L89" s="437">
        <f t="shared" si="2"/>
        <v>12.528</v>
      </c>
      <c r="M89" s="458"/>
      <c r="N89" s="438">
        <f>IF(Table_Household_Alloc[[#This Row],[PV Installed]]="Y",1,0)*Table_Household_Alloc[[#This Row],[Calculated Battery Allocation (kWh)]]</f>
        <v>0</v>
      </c>
      <c r="P89" s="434"/>
      <c r="Q89" s="434"/>
      <c r="R89" s="434"/>
      <c r="S89" s="434" t="s">
        <v>235</v>
      </c>
      <c r="T89" s="432" t="s">
        <v>468</v>
      </c>
      <c r="U89" s="440" t="s">
        <v>469</v>
      </c>
      <c r="V89" s="432" t="s">
        <v>470</v>
      </c>
      <c r="X89" s="470">
        <v>45139</v>
      </c>
      <c r="Y89" s="443" t="s">
        <v>228</v>
      </c>
    </row>
    <row r="90" s="432" customFormat="1" ht="17.4" spans="1:25">
      <c r="A90" s="349">
        <v>10</v>
      </c>
      <c r="B90" s="350" t="s">
        <v>54</v>
      </c>
      <c r="C90" s="354"/>
      <c r="D90" s="434"/>
      <c r="E90" s="434" t="s">
        <v>471</v>
      </c>
      <c r="F90" s="434" t="s">
        <v>472</v>
      </c>
      <c r="G90" s="434" t="s">
        <v>390</v>
      </c>
      <c r="H90" s="434" t="s">
        <v>391</v>
      </c>
      <c r="I90" s="434">
        <v>6286</v>
      </c>
      <c r="J90" s="456">
        <v>54</v>
      </c>
      <c r="K90" s="457">
        <f>Table_Household_Alloc[[#This Row],[Unit Entitlement]]/1000</f>
        <v>0.054</v>
      </c>
      <c r="L90" s="437">
        <f t="shared" si="2"/>
        <v>12.528</v>
      </c>
      <c r="M90" s="458"/>
      <c r="N90" s="438">
        <f>IF(Table_Household_Alloc[[#This Row],[PV Installed]]="Y",1,0)*Table_Household_Alloc[[#This Row],[Calculated Battery Allocation (kWh)]]</f>
        <v>0</v>
      </c>
      <c r="P90" s="434"/>
      <c r="Q90" s="434"/>
      <c r="R90" s="434"/>
      <c r="S90" s="434" t="s">
        <v>308</v>
      </c>
      <c r="T90" s="432" t="s">
        <v>473</v>
      </c>
      <c r="U90" s="440" t="s">
        <v>474</v>
      </c>
      <c r="V90" s="432" t="s">
        <v>475</v>
      </c>
      <c r="X90" s="470"/>
      <c r="Y90" s="443"/>
    </row>
    <row r="91" s="432" customFormat="1" ht="17.4" spans="1:25">
      <c r="A91" s="349">
        <v>11</v>
      </c>
      <c r="B91" s="350" t="s">
        <v>54</v>
      </c>
      <c r="C91" s="354"/>
      <c r="D91" s="434"/>
      <c r="E91" s="434" t="s">
        <v>476</v>
      </c>
      <c r="F91" s="434" t="s">
        <v>477</v>
      </c>
      <c r="G91" s="434" t="s">
        <v>390</v>
      </c>
      <c r="H91" s="434" t="s">
        <v>391</v>
      </c>
      <c r="I91" s="434">
        <v>6286</v>
      </c>
      <c r="J91" s="456">
        <v>54</v>
      </c>
      <c r="K91" s="457">
        <f>Table_Household_Alloc[[#This Row],[Unit Entitlement]]/1000</f>
        <v>0.054</v>
      </c>
      <c r="L91" s="437">
        <f t="shared" si="2"/>
        <v>12.528</v>
      </c>
      <c r="M91" s="458"/>
      <c r="N91" s="438">
        <f>IF(Table_Household_Alloc[[#This Row],[PV Installed]]="Y",1,0)*Table_Household_Alloc[[#This Row],[Calculated Battery Allocation (kWh)]]</f>
        <v>0</v>
      </c>
      <c r="P91" s="434"/>
      <c r="Q91" s="434"/>
      <c r="R91" s="434"/>
      <c r="S91" s="434" t="s">
        <v>308</v>
      </c>
      <c r="T91" s="432" t="s">
        <v>478</v>
      </c>
      <c r="U91" s="440"/>
      <c r="V91" s="432" t="s">
        <v>479</v>
      </c>
      <c r="X91" s="470"/>
      <c r="Y91" s="443"/>
    </row>
    <row r="92" s="432" customFormat="1" ht="17.4" spans="1:25">
      <c r="A92" s="349">
        <v>12</v>
      </c>
      <c r="B92" s="350" t="s">
        <v>54</v>
      </c>
      <c r="C92" s="364">
        <v>50002897</v>
      </c>
      <c r="D92" s="434"/>
      <c r="E92" s="434" t="s">
        <v>480</v>
      </c>
      <c r="F92" s="434" t="s">
        <v>481</v>
      </c>
      <c r="G92" s="434" t="s">
        <v>390</v>
      </c>
      <c r="H92" s="434" t="s">
        <v>391</v>
      </c>
      <c r="I92" s="434">
        <v>6286</v>
      </c>
      <c r="J92" s="456">
        <v>54</v>
      </c>
      <c r="K92" s="457">
        <f>Table_Household_Alloc[[#This Row],[Unit Entitlement]]/1000</f>
        <v>0.054</v>
      </c>
      <c r="L92" s="437">
        <f t="shared" si="2"/>
        <v>12.528</v>
      </c>
      <c r="M92" s="458" t="str">
        <f>CONCATENATE("Symo ",Table_Household_Alloc[[#This Row],[Export Capacity (kW)]])</f>
        <v>Symo 10</v>
      </c>
      <c r="N92" s="438">
        <f>IF(Table_Household_Alloc[[#This Row],[PV Installed]]="Y",1,0)*Table_Household_Alloc[[#This Row],[Calculated Battery Allocation (kWh)]]</f>
        <v>12.528</v>
      </c>
      <c r="O92" s="432">
        <v>10</v>
      </c>
      <c r="P92" s="434" t="s">
        <v>222</v>
      </c>
      <c r="Q92" s="434" t="s">
        <v>222</v>
      </c>
      <c r="R92" s="434" t="s">
        <v>222</v>
      </c>
      <c r="S92" s="434" t="s">
        <v>235</v>
      </c>
      <c r="T92" s="432" t="s">
        <v>482</v>
      </c>
      <c r="U92" s="440" t="s">
        <v>483</v>
      </c>
      <c r="V92" s="432" t="s">
        <v>484</v>
      </c>
      <c r="X92" s="470">
        <v>45078</v>
      </c>
      <c r="Y92" s="443" t="s">
        <v>228</v>
      </c>
    </row>
    <row r="93" s="432" customFormat="1" ht="17.4" spans="1:25">
      <c r="A93" s="349">
        <v>13</v>
      </c>
      <c r="B93" s="350" t="s">
        <v>54</v>
      </c>
      <c r="C93" s="364">
        <v>50002839</v>
      </c>
      <c r="D93" s="434"/>
      <c r="E93" s="434" t="s">
        <v>485</v>
      </c>
      <c r="F93" s="434" t="s">
        <v>486</v>
      </c>
      <c r="G93" s="434" t="s">
        <v>390</v>
      </c>
      <c r="H93" s="434" t="s">
        <v>391</v>
      </c>
      <c r="I93" s="434">
        <v>6286</v>
      </c>
      <c r="J93" s="456">
        <v>56</v>
      </c>
      <c r="K93" s="457">
        <f>Table_Household_Alloc[[#This Row],[Unit Entitlement]]/1000</f>
        <v>0.056</v>
      </c>
      <c r="L93" s="437">
        <f t="shared" si="2"/>
        <v>12.992</v>
      </c>
      <c r="M93" s="458"/>
      <c r="N93" s="438">
        <f>IF(Table_Household_Alloc[[#This Row],[PV Installed]]="Y",1,0)*Table_Household_Alloc[[#This Row],[Calculated Battery Allocation (kWh)]]</f>
        <v>0</v>
      </c>
      <c r="P93" s="434" t="s">
        <v>222</v>
      </c>
      <c r="Q93" s="434"/>
      <c r="R93" s="434" t="s">
        <v>222</v>
      </c>
      <c r="S93" s="434" t="s">
        <v>235</v>
      </c>
      <c r="T93" s="432" t="s">
        <v>487</v>
      </c>
      <c r="U93" s="440" t="s">
        <v>488</v>
      </c>
      <c r="V93" s="432" t="s">
        <v>489</v>
      </c>
      <c r="X93" s="470">
        <v>45261</v>
      </c>
      <c r="Y93" s="443" t="s">
        <v>228</v>
      </c>
    </row>
    <row r="94" s="432" customFormat="1" ht="17.4" spans="1:25">
      <c r="A94" s="349">
        <v>14</v>
      </c>
      <c r="B94" s="350" t="s">
        <v>54</v>
      </c>
      <c r="C94" s="372">
        <v>50002863</v>
      </c>
      <c r="D94" s="434"/>
      <c r="E94" s="434" t="s">
        <v>490</v>
      </c>
      <c r="F94" s="434" t="s">
        <v>491</v>
      </c>
      <c r="G94" s="434" t="s">
        <v>390</v>
      </c>
      <c r="H94" s="434" t="s">
        <v>391</v>
      </c>
      <c r="I94" s="434">
        <v>6286</v>
      </c>
      <c r="J94" s="456">
        <v>28</v>
      </c>
      <c r="K94" s="457">
        <f>Table_Household_Alloc[[#This Row],[Unit Entitlement]]/1000</f>
        <v>0.028</v>
      </c>
      <c r="L94" s="437">
        <f t="shared" si="2"/>
        <v>6.496</v>
      </c>
      <c r="M94" s="458" t="str">
        <f>CONCATENATE("Symo ",Table_Household_Alloc[[#This Row],[Export Capacity (kW)]])</f>
        <v>Symo 5</v>
      </c>
      <c r="N94" s="438">
        <f>IF(Table_Household_Alloc[[#This Row],[PV Installed]]="Y",1,0)*Table_Household_Alloc[[#This Row],[Calculated Battery Allocation (kWh)]]</f>
        <v>6.496</v>
      </c>
      <c r="O94" s="432">
        <v>5</v>
      </c>
      <c r="P94" s="434" t="s">
        <v>222</v>
      </c>
      <c r="Q94" s="434" t="s">
        <v>222</v>
      </c>
      <c r="R94" s="434" t="s">
        <v>222</v>
      </c>
      <c r="S94" s="434" t="s">
        <v>235</v>
      </c>
      <c r="T94" s="432" t="s">
        <v>492</v>
      </c>
      <c r="U94" s="440" t="s">
        <v>493</v>
      </c>
      <c r="V94" s="432" t="s">
        <v>494</v>
      </c>
      <c r="X94" s="470">
        <v>45536</v>
      </c>
      <c r="Y94" s="443" t="s">
        <v>228</v>
      </c>
    </row>
    <row r="95" s="432" customFormat="1" ht="17.4" spans="1:25">
      <c r="A95" s="349">
        <v>15</v>
      </c>
      <c r="B95" s="350" t="s">
        <v>54</v>
      </c>
      <c r="C95" s="364">
        <v>50002947</v>
      </c>
      <c r="D95" s="434"/>
      <c r="E95" s="434" t="s">
        <v>495</v>
      </c>
      <c r="F95" s="434" t="s">
        <v>496</v>
      </c>
      <c r="G95" s="434" t="s">
        <v>390</v>
      </c>
      <c r="H95" s="434" t="s">
        <v>391</v>
      </c>
      <c r="I95" s="434">
        <v>6286</v>
      </c>
      <c r="J95" s="456">
        <v>28</v>
      </c>
      <c r="K95" s="457">
        <f>Table_Household_Alloc[[#This Row],[Unit Entitlement]]/1000</f>
        <v>0.028</v>
      </c>
      <c r="L95" s="437">
        <f t="shared" si="2"/>
        <v>6.496</v>
      </c>
      <c r="M95" s="458" t="str">
        <f>CONCATENATE("Symo ",Table_Household_Alloc[[#This Row],[Export Capacity (kW)]])</f>
        <v>Symo 5</v>
      </c>
      <c r="N95" s="438">
        <f>IF(Table_Household_Alloc[[#This Row],[PV Installed]]="Y",1,0)*Table_Household_Alloc[[#This Row],[Calculated Battery Allocation (kWh)]]</f>
        <v>6.496</v>
      </c>
      <c r="O95" s="432">
        <v>5</v>
      </c>
      <c r="P95" s="434" t="s">
        <v>222</v>
      </c>
      <c r="Q95" s="434" t="s">
        <v>222</v>
      </c>
      <c r="R95" s="434" t="s">
        <v>222</v>
      </c>
      <c r="S95" s="434" t="s">
        <v>235</v>
      </c>
      <c r="T95" s="432" t="s">
        <v>497</v>
      </c>
      <c r="U95" s="440"/>
      <c r="V95" s="432" t="s">
        <v>498</v>
      </c>
      <c r="X95" s="470">
        <v>45413</v>
      </c>
      <c r="Y95" s="443" t="s">
        <v>228</v>
      </c>
    </row>
    <row r="96" s="432" customFormat="1" ht="17.4" spans="1:25">
      <c r="A96" s="349">
        <v>16</v>
      </c>
      <c r="B96" s="350" t="s">
        <v>54</v>
      </c>
      <c r="C96" s="354"/>
      <c r="D96" s="434"/>
      <c r="E96" s="434" t="s">
        <v>499</v>
      </c>
      <c r="F96" s="434" t="s">
        <v>500</v>
      </c>
      <c r="G96" s="434" t="s">
        <v>390</v>
      </c>
      <c r="H96" s="434" t="s">
        <v>391</v>
      </c>
      <c r="I96" s="434">
        <v>6286</v>
      </c>
      <c r="J96" s="456">
        <v>28</v>
      </c>
      <c r="K96" s="457">
        <f>Table_Household_Alloc[[#This Row],[Unit Entitlement]]/1000</f>
        <v>0.028</v>
      </c>
      <c r="L96" s="437">
        <f t="shared" si="2"/>
        <v>6.496</v>
      </c>
      <c r="M96" s="458"/>
      <c r="N96" s="438">
        <f>IF(Table_Household_Alloc[[#This Row],[PV Installed]]="Y",1,0)*Table_Household_Alloc[[#This Row],[Calculated Battery Allocation (kWh)]]</f>
        <v>0</v>
      </c>
      <c r="P96" s="434"/>
      <c r="Q96" s="434"/>
      <c r="R96" s="434"/>
      <c r="S96" s="434" t="s">
        <v>308</v>
      </c>
      <c r="T96" s="432" t="s">
        <v>501</v>
      </c>
      <c r="U96" s="440"/>
      <c r="V96" s="432" t="s">
        <v>502</v>
      </c>
      <c r="X96" s="470"/>
      <c r="Y96" s="443"/>
    </row>
    <row r="97" s="432" customFormat="1" ht="17.4" spans="1:25">
      <c r="A97" s="349">
        <v>17</v>
      </c>
      <c r="B97" s="350" t="s">
        <v>54</v>
      </c>
      <c r="C97" s="364">
        <v>50002902</v>
      </c>
      <c r="D97" s="434"/>
      <c r="E97" s="434" t="s">
        <v>503</v>
      </c>
      <c r="F97" s="434" t="s">
        <v>504</v>
      </c>
      <c r="G97" s="434" t="s">
        <v>390</v>
      </c>
      <c r="H97" s="434" t="s">
        <v>391</v>
      </c>
      <c r="I97" s="434">
        <v>6286</v>
      </c>
      <c r="J97" s="456">
        <v>28</v>
      </c>
      <c r="K97" s="457">
        <f>Table_Household_Alloc[[#This Row],[Unit Entitlement]]/1000</f>
        <v>0.028</v>
      </c>
      <c r="L97" s="437">
        <f t="shared" si="2"/>
        <v>6.496</v>
      </c>
      <c r="M97" s="458" t="str">
        <f>CONCATENATE("Symo ",Table_Household_Alloc[[#This Row],[Export Capacity (kW)]])</f>
        <v>Symo 5</v>
      </c>
      <c r="N97" s="438">
        <f>IF(Table_Household_Alloc[[#This Row],[PV Installed]]="Y",1,0)*Table_Household_Alloc[[#This Row],[Calculated Battery Allocation (kWh)]]</f>
        <v>6.496</v>
      </c>
      <c r="O97" s="432">
        <v>5</v>
      </c>
      <c r="P97" s="434" t="s">
        <v>222</v>
      </c>
      <c r="Q97" s="434" t="s">
        <v>222</v>
      </c>
      <c r="R97" s="434" t="s">
        <v>222</v>
      </c>
      <c r="S97" s="434" t="s">
        <v>235</v>
      </c>
      <c r="T97" s="432" t="s">
        <v>505</v>
      </c>
      <c r="U97" s="440"/>
      <c r="V97" s="432" t="s">
        <v>506</v>
      </c>
      <c r="X97" s="470">
        <v>45536</v>
      </c>
      <c r="Y97" s="443" t="s">
        <v>228</v>
      </c>
    </row>
    <row r="98" s="432" customFormat="1" ht="17.4" spans="1:25">
      <c r="A98" s="349">
        <v>18</v>
      </c>
      <c r="B98" s="350" t="s">
        <v>54</v>
      </c>
      <c r="C98" s="364">
        <v>50002950</v>
      </c>
      <c r="D98" s="434"/>
      <c r="E98" s="434" t="s">
        <v>507</v>
      </c>
      <c r="F98" s="434" t="s">
        <v>508</v>
      </c>
      <c r="G98" s="434" t="s">
        <v>390</v>
      </c>
      <c r="H98" s="434" t="s">
        <v>391</v>
      </c>
      <c r="I98" s="434">
        <v>6286</v>
      </c>
      <c r="J98" s="456">
        <v>28</v>
      </c>
      <c r="K98" s="457">
        <f>Table_Household_Alloc[[#This Row],[Unit Entitlement]]/1000</f>
        <v>0.028</v>
      </c>
      <c r="L98" s="437">
        <f t="shared" si="2"/>
        <v>6.496</v>
      </c>
      <c r="M98" s="458" t="str">
        <f>CONCATENATE("Symo ",Table_Household_Alloc[[#This Row],[Export Capacity (kW)]])</f>
        <v>Symo 5</v>
      </c>
      <c r="N98" s="438">
        <f>IF(Table_Household_Alloc[[#This Row],[PV Installed]]="Y",1,0)*Table_Household_Alloc[[#This Row],[Calculated Battery Allocation (kWh)]]</f>
        <v>6.496</v>
      </c>
      <c r="O98" s="432">
        <v>5</v>
      </c>
      <c r="P98" s="434" t="s">
        <v>222</v>
      </c>
      <c r="Q98" s="434" t="s">
        <v>222</v>
      </c>
      <c r="R98" s="434" t="s">
        <v>222</v>
      </c>
      <c r="S98" s="434" t="s">
        <v>235</v>
      </c>
      <c r="T98" s="432" t="s">
        <v>509</v>
      </c>
      <c r="U98" s="440" t="s">
        <v>510</v>
      </c>
      <c r="V98" s="432" t="s">
        <v>511</v>
      </c>
      <c r="X98" s="470">
        <v>45536</v>
      </c>
      <c r="Y98" s="443" t="s">
        <v>228</v>
      </c>
    </row>
    <row r="99" s="432" customFormat="1" ht="17.4" spans="1:25">
      <c r="A99" s="349">
        <v>19</v>
      </c>
      <c r="B99" s="350" t="s">
        <v>54</v>
      </c>
      <c r="C99" s="364">
        <v>50002936</v>
      </c>
      <c r="D99" s="434"/>
      <c r="E99" s="434" t="s">
        <v>512</v>
      </c>
      <c r="F99" s="434" t="s">
        <v>513</v>
      </c>
      <c r="G99" s="434" t="s">
        <v>390</v>
      </c>
      <c r="H99" s="434" t="s">
        <v>391</v>
      </c>
      <c r="I99" s="434">
        <v>6286</v>
      </c>
      <c r="J99" s="456">
        <v>30</v>
      </c>
      <c r="K99" s="457">
        <f>Table_Household_Alloc[[#This Row],[Unit Entitlement]]/1000</f>
        <v>0.03</v>
      </c>
      <c r="L99" s="437">
        <f t="shared" si="2"/>
        <v>6.96</v>
      </c>
      <c r="M99" s="458" t="str">
        <f>CONCATENATE("Symo ",Table_Household_Alloc[[#This Row],[Export Capacity (kW)]])</f>
        <v>Symo 5</v>
      </c>
      <c r="N99" s="438">
        <f>IF(Table_Household_Alloc[[#This Row],[PV Installed]]="Y",1,0)*Table_Household_Alloc[[#This Row],[Calculated Battery Allocation (kWh)]]</f>
        <v>6.96</v>
      </c>
      <c r="O99" s="432">
        <v>5</v>
      </c>
      <c r="P99" s="434" t="s">
        <v>222</v>
      </c>
      <c r="Q99" s="434" t="s">
        <v>222</v>
      </c>
      <c r="R99" s="434" t="s">
        <v>222</v>
      </c>
      <c r="S99" s="434" t="s">
        <v>235</v>
      </c>
      <c r="T99" s="432" t="s">
        <v>514</v>
      </c>
      <c r="U99" s="440"/>
      <c r="V99" s="432" t="s">
        <v>515</v>
      </c>
      <c r="X99" s="470">
        <v>45505</v>
      </c>
      <c r="Y99" s="443" t="s">
        <v>228</v>
      </c>
    </row>
    <row r="100" s="432" customFormat="1" ht="17.4" spans="1:25">
      <c r="A100" s="349">
        <v>20</v>
      </c>
      <c r="B100" s="350" t="s">
        <v>54</v>
      </c>
      <c r="C100" s="354"/>
      <c r="D100" s="434"/>
      <c r="E100" s="434" t="s">
        <v>516</v>
      </c>
      <c r="F100" s="434" t="s">
        <v>517</v>
      </c>
      <c r="G100" s="434" t="s">
        <v>390</v>
      </c>
      <c r="H100" s="434" t="s">
        <v>391</v>
      </c>
      <c r="I100" s="434">
        <v>6286</v>
      </c>
      <c r="J100" s="456">
        <v>59</v>
      </c>
      <c r="K100" s="457">
        <f>Table_Household_Alloc[[#This Row],[Unit Entitlement]]/1000</f>
        <v>0.059</v>
      </c>
      <c r="L100" s="437">
        <f t="shared" si="2"/>
        <v>13.688</v>
      </c>
      <c r="M100" s="458"/>
      <c r="N100" s="438">
        <f>IF(Table_Household_Alloc[[#This Row],[PV Installed]]="Y",1,0)*Table_Household_Alloc[[#This Row],[Calculated Battery Allocation (kWh)]]</f>
        <v>0</v>
      </c>
      <c r="P100" s="434"/>
      <c r="Q100" s="434"/>
      <c r="R100" s="434"/>
      <c r="S100" s="434" t="s">
        <v>308</v>
      </c>
      <c r="T100" s="432" t="s">
        <v>518</v>
      </c>
      <c r="U100" s="440"/>
      <c r="V100" s="432" t="s">
        <v>519</v>
      </c>
      <c r="X100" s="470"/>
      <c r="Y100" s="443"/>
    </row>
    <row r="101" s="432" customFormat="1" ht="17.4" spans="1:25">
      <c r="A101" s="349">
        <v>21</v>
      </c>
      <c r="B101" s="350" t="s">
        <v>54</v>
      </c>
      <c r="C101" s="364">
        <v>50002922</v>
      </c>
      <c r="D101" s="434"/>
      <c r="E101" s="434" t="s">
        <v>520</v>
      </c>
      <c r="F101" s="434" t="s">
        <v>521</v>
      </c>
      <c r="G101" s="434" t="s">
        <v>390</v>
      </c>
      <c r="H101" s="434" t="s">
        <v>391</v>
      </c>
      <c r="I101" s="434">
        <v>6286</v>
      </c>
      <c r="J101" s="456">
        <v>59</v>
      </c>
      <c r="K101" s="457">
        <f>Table_Household_Alloc[[#This Row],[Unit Entitlement]]/1000</f>
        <v>0.059</v>
      </c>
      <c r="L101" s="437">
        <f t="shared" si="2"/>
        <v>13.688</v>
      </c>
      <c r="M101" s="458" t="str">
        <f>CONCATENATE("Symo ",Table_Household_Alloc[[#This Row],[Export Capacity (kW)]])</f>
        <v>Symo 10</v>
      </c>
      <c r="N101" s="438">
        <f>IF(Table_Household_Alloc[[#This Row],[PV Installed]]="Y",1,0)*Table_Household_Alloc[[#This Row],[Calculated Battery Allocation (kWh)]]</f>
        <v>13.688</v>
      </c>
      <c r="O101" s="432">
        <v>10</v>
      </c>
      <c r="P101" s="434" t="s">
        <v>222</v>
      </c>
      <c r="Q101" s="434" t="s">
        <v>222</v>
      </c>
      <c r="R101" s="434" t="s">
        <v>222</v>
      </c>
      <c r="S101" s="434" t="s">
        <v>235</v>
      </c>
      <c r="T101" s="432" t="s">
        <v>522</v>
      </c>
      <c r="U101" s="440" t="s">
        <v>523</v>
      </c>
      <c r="V101" s="432" t="s">
        <v>524</v>
      </c>
      <c r="X101" s="470">
        <v>44896</v>
      </c>
      <c r="Y101" s="443" t="s">
        <v>228</v>
      </c>
    </row>
    <row r="102" s="432" customFormat="1" ht="17.4" spans="1:25">
      <c r="A102" s="349">
        <v>22</v>
      </c>
      <c r="B102" s="350" t="s">
        <v>54</v>
      </c>
      <c r="C102" s="354"/>
      <c r="D102" s="434"/>
      <c r="E102" s="434" t="s">
        <v>525</v>
      </c>
      <c r="F102" s="434" t="s">
        <v>526</v>
      </c>
      <c r="G102" s="434" t="s">
        <v>390</v>
      </c>
      <c r="H102" s="434" t="s">
        <v>391</v>
      </c>
      <c r="I102" s="434">
        <v>6286</v>
      </c>
      <c r="J102" s="456">
        <v>59</v>
      </c>
      <c r="K102" s="457">
        <f>Table_Household_Alloc[[#This Row],[Unit Entitlement]]/1000</f>
        <v>0.059</v>
      </c>
      <c r="L102" s="437">
        <f t="shared" si="2"/>
        <v>13.688</v>
      </c>
      <c r="M102" s="458"/>
      <c r="N102" s="438">
        <f>IF(Table_Household_Alloc[[#This Row],[PV Installed]]="Y",1,0)*Table_Household_Alloc[[#This Row],[Calculated Battery Allocation (kWh)]]</f>
        <v>0</v>
      </c>
      <c r="P102" s="434"/>
      <c r="Q102" s="434"/>
      <c r="R102" s="434"/>
      <c r="S102" s="434" t="s">
        <v>308</v>
      </c>
      <c r="T102" s="432" t="s">
        <v>527</v>
      </c>
      <c r="U102" s="440"/>
      <c r="V102" s="432" t="s">
        <v>528</v>
      </c>
      <c r="X102" s="470"/>
      <c r="Y102" s="443"/>
    </row>
    <row r="103" s="432" customFormat="1" ht="17.4" spans="1:25">
      <c r="A103" s="349">
        <v>23</v>
      </c>
      <c r="B103" s="350" t="s">
        <v>54</v>
      </c>
      <c r="C103" s="354">
        <v>50002928</v>
      </c>
      <c r="D103" s="434"/>
      <c r="E103" s="434" t="s">
        <v>529</v>
      </c>
      <c r="F103" s="434" t="s">
        <v>530</v>
      </c>
      <c r="G103" s="434" t="s">
        <v>390</v>
      </c>
      <c r="H103" s="434" t="s">
        <v>391</v>
      </c>
      <c r="I103" s="434">
        <v>6286</v>
      </c>
      <c r="J103" s="456">
        <v>59</v>
      </c>
      <c r="K103" s="457">
        <f>Table_Household_Alloc[[#This Row],[Unit Entitlement]]/1000</f>
        <v>0.059</v>
      </c>
      <c r="L103" s="437">
        <f t="shared" si="2"/>
        <v>13.688</v>
      </c>
      <c r="M103" s="458"/>
      <c r="N103" s="438">
        <f>IF(Table_Household_Alloc[[#This Row],[PV Installed]]="Y",1,0)*Table_Household_Alloc[[#This Row],[Calculated Battery Allocation (kWh)]]</f>
        <v>0</v>
      </c>
      <c r="P103" s="434"/>
      <c r="Q103" s="434"/>
      <c r="R103" s="434"/>
      <c r="S103" s="434" t="s">
        <v>531</v>
      </c>
      <c r="T103" s="432" t="s">
        <v>532</v>
      </c>
      <c r="U103" s="440" t="s">
        <v>533</v>
      </c>
      <c r="V103" s="432" t="s">
        <v>534</v>
      </c>
      <c r="X103" s="470">
        <v>45383</v>
      </c>
      <c r="Y103" s="443" t="s">
        <v>228</v>
      </c>
    </row>
    <row r="104" s="432" customFormat="1" ht="18" spans="1:25">
      <c r="A104" s="357" t="s">
        <v>335</v>
      </c>
      <c r="B104" s="350" t="s">
        <v>54</v>
      </c>
      <c r="C104" s="364">
        <v>2902000692</v>
      </c>
      <c r="D104" s="434"/>
      <c r="E104" s="446" t="s">
        <v>336</v>
      </c>
      <c r="F104" s="433"/>
      <c r="G104" s="434"/>
      <c r="H104" s="434"/>
      <c r="I104" s="434"/>
      <c r="J104" s="435"/>
      <c r="K104" s="436">
        <f>Table_Household_Alloc[[#This Row],[Unit Entitlement]]/1000</f>
        <v>0</v>
      </c>
      <c r="L104" s="437"/>
      <c r="M104" s="434"/>
      <c r="N104" s="438">
        <f>IF(Table_Household_Alloc[[#This Row],[PV Installed]]="Y",1,0)*Table_Household_Alloc[[#This Row],[Calculated Battery Allocation (kWh)]]</f>
        <v>0</v>
      </c>
      <c r="T104" s="439"/>
      <c r="U104" s="440"/>
      <c r="V104" s="441"/>
      <c r="X104" s="442"/>
      <c r="Y104" s="443"/>
    </row>
    <row r="105" s="432" customFormat="1" ht="17.4" spans="1:25">
      <c r="A105" s="349" t="s">
        <v>337</v>
      </c>
      <c r="B105" s="350" t="s">
        <v>54</v>
      </c>
      <c r="C105" s="364">
        <v>2902000696</v>
      </c>
      <c r="D105" s="434" t="s">
        <v>338</v>
      </c>
      <c r="E105" s="446" t="s">
        <v>339</v>
      </c>
      <c r="F105" s="434"/>
      <c r="G105" s="434" t="s">
        <v>220</v>
      </c>
      <c r="H105" s="434" t="s">
        <v>221</v>
      </c>
      <c r="I105" s="434">
        <v>6286</v>
      </c>
      <c r="J105" s="452"/>
      <c r="K105" s="453">
        <f>Table_Household_Alloc[[#This Row],[Unit Entitlement]]/1000</f>
        <v>0</v>
      </c>
      <c r="L105" s="437">
        <f t="shared" ref="L105:L106" si="3">(J105/1000)*232</f>
        <v>0</v>
      </c>
      <c r="M105" s="458"/>
      <c r="N105" s="438">
        <f>IF(Table_Household_Alloc[[#This Row],[PV Installed]]="Y",1,0)*Table_Household_Alloc[[#This Row],[Calculated Battery Allocation (kWh)]]</f>
        <v>0</v>
      </c>
      <c r="P105" s="444"/>
      <c r="Q105" s="444"/>
      <c r="R105" s="434"/>
      <c r="S105" s="434"/>
      <c r="U105" s="440"/>
      <c r="X105" s="470"/>
      <c r="Y105" s="443"/>
    </row>
    <row r="106" s="432" customFormat="1" ht="17.4" spans="1:25">
      <c r="A106" s="349" t="s">
        <v>340</v>
      </c>
      <c r="B106" s="350" t="s">
        <v>54</v>
      </c>
      <c r="C106" s="364">
        <v>2912025475</v>
      </c>
      <c r="D106" s="434" t="s">
        <v>338</v>
      </c>
      <c r="E106" s="446" t="s">
        <v>341</v>
      </c>
      <c r="F106" s="434"/>
      <c r="G106" s="434" t="s">
        <v>220</v>
      </c>
      <c r="H106" s="434" t="s">
        <v>221</v>
      </c>
      <c r="I106" s="434">
        <v>6286</v>
      </c>
      <c r="J106" s="456"/>
      <c r="K106" s="457">
        <f>Table_Household_Alloc[[#This Row],[Unit Entitlement]]/1000</f>
        <v>0</v>
      </c>
      <c r="L106" s="437">
        <f t="shared" si="3"/>
        <v>0</v>
      </c>
      <c r="M106" s="458"/>
      <c r="N106" s="438">
        <f>IF(Table_Household_Alloc[[#This Row],[PV Installed]]="Y",1,0)*Table_Household_Alloc[[#This Row],[Calculated Battery Allocation (kWh)]]</f>
        <v>0</v>
      </c>
      <c r="P106" s="444"/>
      <c r="Q106" s="444"/>
      <c r="R106" s="434"/>
      <c r="S106" s="434"/>
      <c r="U106" s="440"/>
      <c r="X106" s="470"/>
      <c r="Y106" s="443"/>
    </row>
    <row r="107" s="432" customFormat="1" ht="18" spans="1:25">
      <c r="A107" s="362" t="s">
        <v>342</v>
      </c>
      <c r="B107" s="350" t="s">
        <v>54</v>
      </c>
      <c r="C107" s="364"/>
      <c r="D107" s="434"/>
      <c r="E107" s="433"/>
      <c r="F107" s="433"/>
      <c r="G107" s="434"/>
      <c r="H107" s="434"/>
      <c r="I107" s="434"/>
      <c r="J107" s="435"/>
      <c r="K107" s="436">
        <f>Table_Household_Alloc[[#This Row],[Unit Entitlement]]/1000</f>
        <v>0</v>
      </c>
      <c r="L107" s="437"/>
      <c r="M107" s="434"/>
      <c r="N107" s="438">
        <f>IF(Table_Household_Alloc[[#This Row],[PV Installed]]="Y",1,0)*Table_Household_Alloc[[#This Row],[Calculated Battery Allocation (kWh)]]</f>
        <v>0</v>
      </c>
      <c r="T107" s="439"/>
      <c r="U107" s="440"/>
      <c r="V107" s="441"/>
      <c r="X107" s="442"/>
      <c r="Y107" s="443"/>
    </row>
    <row r="108" s="432" customFormat="1" ht="18" spans="1:25">
      <c r="A108" s="363" t="s">
        <v>343</v>
      </c>
      <c r="B108" s="350" t="s">
        <v>54</v>
      </c>
      <c r="C108" s="364"/>
      <c r="D108" s="434"/>
      <c r="E108" s="433"/>
      <c r="F108" s="433"/>
      <c r="G108" s="434"/>
      <c r="H108" s="434"/>
      <c r="I108" s="434"/>
      <c r="J108" s="435"/>
      <c r="K108" s="436">
        <f>Table_Household_Alloc[[#This Row],[Unit Entitlement]]/1000</f>
        <v>0</v>
      </c>
      <c r="L108" s="437"/>
      <c r="M108" s="434"/>
      <c r="N108" s="438">
        <f>IF(Table_Household_Alloc[[#This Row],[PV Installed]]="Y",1,0)*Table_Household_Alloc[[#This Row],[Calculated Battery Allocation (kWh)]]</f>
        <v>0</v>
      </c>
      <c r="T108" s="439"/>
      <c r="U108" s="440"/>
      <c r="V108" s="441"/>
      <c r="X108" s="442"/>
      <c r="Y108" s="443"/>
    </row>
    <row r="109" s="432" customFormat="1" ht="17.4" spans="1:25">
      <c r="A109" s="349">
        <v>1</v>
      </c>
      <c r="B109" s="350" t="s">
        <v>58</v>
      </c>
      <c r="C109" s="351">
        <v>50003379</v>
      </c>
      <c r="D109" s="434"/>
      <c r="E109" s="434" t="s">
        <v>535</v>
      </c>
      <c r="F109" s="434" t="s">
        <v>536</v>
      </c>
      <c r="G109" s="434" t="s">
        <v>390</v>
      </c>
      <c r="H109" s="434" t="s">
        <v>391</v>
      </c>
      <c r="I109" s="434">
        <v>6286</v>
      </c>
      <c r="J109" s="456">
        <v>39</v>
      </c>
      <c r="K109" s="457">
        <f>Table_Household_Alloc[[#This Row],[Unit Entitlement]]/1000</f>
        <v>0.039</v>
      </c>
      <c r="L109" s="437">
        <f t="shared" si="2"/>
        <v>9.048</v>
      </c>
      <c r="M109" s="458" t="str">
        <f>CONCATENATE("Symo ",Table_Household_Alloc[[#This Row],[Export Capacity (kW)]])</f>
        <v>Symo 8.2</v>
      </c>
      <c r="N109" s="438">
        <f>IF(Table_Household_Alloc[[#This Row],[PV Installed]]="Y",1,0)*Table_Household_Alloc[[#This Row],[Calculated Battery Allocation (kWh)]]</f>
        <v>9.048</v>
      </c>
      <c r="O109" s="432">
        <v>8.2</v>
      </c>
      <c r="P109" s="434" t="s">
        <v>222</v>
      </c>
      <c r="Q109" s="434" t="s">
        <v>222</v>
      </c>
      <c r="R109" s="434" t="s">
        <v>222</v>
      </c>
      <c r="S109" s="434" t="s">
        <v>235</v>
      </c>
      <c r="T109" s="432" t="s">
        <v>537</v>
      </c>
      <c r="U109" s="440" t="s">
        <v>538</v>
      </c>
      <c r="V109" s="432" t="s">
        <v>539</v>
      </c>
      <c r="X109" s="470">
        <v>45424</v>
      </c>
      <c r="Y109" s="443" t="s">
        <v>228</v>
      </c>
    </row>
    <row r="110" s="432" customFormat="1" ht="17.4" spans="1:25">
      <c r="A110" s="349">
        <v>2</v>
      </c>
      <c r="B110" s="350" t="s">
        <v>58</v>
      </c>
      <c r="C110" s="351">
        <v>50002906</v>
      </c>
      <c r="D110" s="434"/>
      <c r="E110" s="434" t="s">
        <v>540</v>
      </c>
      <c r="F110" s="434" t="s">
        <v>541</v>
      </c>
      <c r="G110" s="434" t="s">
        <v>390</v>
      </c>
      <c r="H110" s="434" t="s">
        <v>391</v>
      </c>
      <c r="I110" s="434">
        <v>6286</v>
      </c>
      <c r="J110" s="456">
        <v>38</v>
      </c>
      <c r="K110" s="457">
        <f>Table_Household_Alloc[[#This Row],[Unit Entitlement]]/1000</f>
        <v>0.038</v>
      </c>
      <c r="L110" s="437">
        <f t="shared" si="2"/>
        <v>8.816</v>
      </c>
      <c r="M110" s="458" t="str">
        <f>CONCATENATE("Symo ",Table_Household_Alloc[[#This Row],[Export Capacity (kW)]])</f>
        <v>Symo 8.2</v>
      </c>
      <c r="N110" s="438">
        <f>IF(Table_Household_Alloc[[#This Row],[PV Installed]]="Y",1,0)*Table_Household_Alloc[[#This Row],[Calculated Battery Allocation (kWh)]]</f>
        <v>8.816</v>
      </c>
      <c r="O110" s="432">
        <v>8.2</v>
      </c>
      <c r="P110" s="434" t="s">
        <v>222</v>
      </c>
      <c r="Q110" s="434" t="s">
        <v>222</v>
      </c>
      <c r="R110" s="434" t="s">
        <v>222</v>
      </c>
      <c r="S110" s="434" t="s">
        <v>235</v>
      </c>
      <c r="T110" s="432" t="s">
        <v>542</v>
      </c>
      <c r="U110" s="440" t="s">
        <v>543</v>
      </c>
      <c r="V110" s="432" t="s">
        <v>544</v>
      </c>
      <c r="X110" s="470">
        <v>45251</v>
      </c>
      <c r="Y110" s="443" t="s">
        <v>228</v>
      </c>
    </row>
    <row r="111" s="432" customFormat="1" ht="17.4" spans="1:25">
      <c r="A111" s="349">
        <v>3</v>
      </c>
      <c r="B111" s="350" t="s">
        <v>58</v>
      </c>
      <c r="C111" s="351">
        <v>50002924</v>
      </c>
      <c r="D111" s="434"/>
      <c r="E111" s="434" t="s">
        <v>545</v>
      </c>
      <c r="F111" s="434" t="s">
        <v>546</v>
      </c>
      <c r="G111" s="434" t="s">
        <v>390</v>
      </c>
      <c r="H111" s="434" t="s">
        <v>391</v>
      </c>
      <c r="I111" s="434">
        <v>6286</v>
      </c>
      <c r="J111" s="456">
        <v>39</v>
      </c>
      <c r="K111" s="457">
        <f>Table_Household_Alloc[[#This Row],[Unit Entitlement]]/1000</f>
        <v>0.039</v>
      </c>
      <c r="L111" s="437">
        <f t="shared" si="2"/>
        <v>9.048</v>
      </c>
      <c r="M111" s="458" t="str">
        <f>CONCATENATE("Symo ",Table_Household_Alloc[[#This Row],[Export Capacity (kW)]])</f>
        <v>Symo 5</v>
      </c>
      <c r="N111" s="438">
        <f>IF(Table_Household_Alloc[[#This Row],[PV Installed]]="Y",1,0)*Table_Household_Alloc[[#This Row],[Calculated Battery Allocation (kWh)]]</f>
        <v>9.048</v>
      </c>
      <c r="O111" s="432">
        <v>5</v>
      </c>
      <c r="P111" s="434" t="s">
        <v>222</v>
      </c>
      <c r="Q111" s="434" t="s">
        <v>222</v>
      </c>
      <c r="R111" s="434" t="s">
        <v>222</v>
      </c>
      <c r="S111" s="434" t="s">
        <v>235</v>
      </c>
      <c r="T111" s="432" t="s">
        <v>547</v>
      </c>
      <c r="U111" s="440"/>
      <c r="V111" s="432" t="s">
        <v>548</v>
      </c>
      <c r="X111" s="470">
        <v>44895</v>
      </c>
      <c r="Y111" s="443" t="s">
        <v>228</v>
      </c>
    </row>
    <row r="112" s="432" customFormat="1" ht="17.4" spans="1:25">
      <c r="A112" s="349">
        <v>4</v>
      </c>
      <c r="B112" s="350" t="s">
        <v>58</v>
      </c>
      <c r="C112" s="374"/>
      <c r="D112" s="434"/>
      <c r="E112" s="434" t="s">
        <v>549</v>
      </c>
      <c r="F112" s="434" t="s">
        <v>550</v>
      </c>
      <c r="G112" s="434" t="s">
        <v>390</v>
      </c>
      <c r="H112" s="434" t="s">
        <v>391</v>
      </c>
      <c r="I112" s="434">
        <v>6286</v>
      </c>
      <c r="J112" s="456">
        <v>41</v>
      </c>
      <c r="K112" s="457">
        <f>Table_Household_Alloc[[#This Row],[Unit Entitlement]]/1000</f>
        <v>0.041</v>
      </c>
      <c r="L112" s="437">
        <f t="shared" si="2"/>
        <v>9.512</v>
      </c>
      <c r="M112" s="458"/>
      <c r="N112" s="438">
        <f>IF(Table_Household_Alloc[[#This Row],[PV Installed]]="Y",1,0)*Table_Household_Alloc[[#This Row],[Calculated Battery Allocation (kWh)]]</f>
        <v>0</v>
      </c>
      <c r="P112" s="434"/>
      <c r="Q112" s="434"/>
      <c r="R112" s="434"/>
      <c r="S112" s="434" t="s">
        <v>224</v>
      </c>
      <c r="T112" s="432" t="s">
        <v>551</v>
      </c>
      <c r="U112" s="440"/>
      <c r="V112" s="432" t="s">
        <v>552</v>
      </c>
      <c r="X112" s="470"/>
      <c r="Y112" s="443"/>
    </row>
    <row r="113" s="432" customFormat="1" ht="17.4" spans="1:25">
      <c r="A113" s="349">
        <v>5</v>
      </c>
      <c r="B113" s="350" t="s">
        <v>58</v>
      </c>
      <c r="C113" s="351">
        <v>50002894</v>
      </c>
      <c r="D113" s="434"/>
      <c r="E113" s="434" t="s">
        <v>553</v>
      </c>
      <c r="F113" s="434" t="s">
        <v>554</v>
      </c>
      <c r="G113" s="434" t="s">
        <v>390</v>
      </c>
      <c r="H113" s="434" t="s">
        <v>391</v>
      </c>
      <c r="I113" s="434">
        <v>6286</v>
      </c>
      <c r="J113" s="456">
        <v>41</v>
      </c>
      <c r="K113" s="457">
        <f>Table_Household_Alloc[[#This Row],[Unit Entitlement]]/1000</f>
        <v>0.041</v>
      </c>
      <c r="L113" s="437">
        <f t="shared" si="2"/>
        <v>9.512</v>
      </c>
      <c r="M113" s="458" t="str">
        <f>CONCATENATE("Symo ",Table_Household_Alloc[[#This Row],[Export Capacity (kW)]])</f>
        <v>Symo 8.2</v>
      </c>
      <c r="N113" s="438">
        <f>IF(Table_Household_Alloc[[#This Row],[PV Installed]]="Y",1,0)*Table_Household_Alloc[[#This Row],[Calculated Battery Allocation (kWh)]]</f>
        <v>9.512</v>
      </c>
      <c r="O113" s="432">
        <v>8.2</v>
      </c>
      <c r="P113" s="434" t="s">
        <v>222</v>
      </c>
      <c r="Q113" s="434" t="s">
        <v>222</v>
      </c>
      <c r="R113" s="434" t="s">
        <v>222</v>
      </c>
      <c r="S113" s="434" t="s">
        <v>235</v>
      </c>
      <c r="T113" s="432" t="s">
        <v>555</v>
      </c>
      <c r="U113" s="440"/>
      <c r="V113" s="432" t="s">
        <v>556</v>
      </c>
      <c r="X113" s="470">
        <v>44898</v>
      </c>
      <c r="Y113" s="443" t="s">
        <v>228</v>
      </c>
    </row>
    <row r="114" s="432" customFormat="1" ht="17.4" spans="1:25">
      <c r="A114" s="349">
        <v>6</v>
      </c>
      <c r="B114" s="350" t="s">
        <v>58</v>
      </c>
      <c r="C114" s="351">
        <v>50002835</v>
      </c>
      <c r="D114" s="434"/>
      <c r="E114" s="434" t="s">
        <v>557</v>
      </c>
      <c r="F114" s="434" t="s">
        <v>558</v>
      </c>
      <c r="G114" s="434" t="s">
        <v>390</v>
      </c>
      <c r="H114" s="434" t="s">
        <v>391</v>
      </c>
      <c r="I114" s="434">
        <v>6286</v>
      </c>
      <c r="J114" s="456">
        <v>39</v>
      </c>
      <c r="K114" s="457">
        <f>Table_Household_Alloc[[#This Row],[Unit Entitlement]]/1000</f>
        <v>0.039</v>
      </c>
      <c r="L114" s="437">
        <f t="shared" si="2"/>
        <v>9.048</v>
      </c>
      <c r="M114" s="458" t="str">
        <f>CONCATENATE("Symo ",Table_Household_Alloc[[#This Row],[Export Capacity (kW)]])</f>
        <v>Symo 5</v>
      </c>
      <c r="N114" s="438">
        <f>IF(Table_Household_Alloc[[#This Row],[PV Installed]]="Y",1,0)*Table_Household_Alloc[[#This Row],[Calculated Battery Allocation (kWh)]]</f>
        <v>9.048</v>
      </c>
      <c r="O114" s="432">
        <v>5</v>
      </c>
      <c r="P114" s="434" t="s">
        <v>222</v>
      </c>
      <c r="Q114" s="434" t="s">
        <v>222</v>
      </c>
      <c r="R114" s="434" t="s">
        <v>222</v>
      </c>
      <c r="S114" s="434" t="s">
        <v>235</v>
      </c>
      <c r="T114" s="432" t="s">
        <v>559</v>
      </c>
      <c r="U114" s="440"/>
      <c r="V114" s="432" t="s">
        <v>560</v>
      </c>
      <c r="X114" s="470">
        <v>45221</v>
      </c>
      <c r="Y114" s="443" t="s">
        <v>228</v>
      </c>
    </row>
    <row r="115" s="432" customFormat="1" ht="17.4" spans="1:25">
      <c r="A115" s="349">
        <v>7</v>
      </c>
      <c r="B115" s="350" t="s">
        <v>58</v>
      </c>
      <c r="C115" s="351">
        <v>50002899</v>
      </c>
      <c r="D115" s="434"/>
      <c r="E115" s="434" t="s">
        <v>561</v>
      </c>
      <c r="F115" s="434" t="s">
        <v>562</v>
      </c>
      <c r="G115" s="434" t="s">
        <v>390</v>
      </c>
      <c r="H115" s="434" t="s">
        <v>391</v>
      </c>
      <c r="I115" s="434">
        <v>6286</v>
      </c>
      <c r="J115" s="456">
        <v>38</v>
      </c>
      <c r="K115" s="457">
        <f>Table_Household_Alloc[[#This Row],[Unit Entitlement]]/1000</f>
        <v>0.038</v>
      </c>
      <c r="L115" s="437">
        <f t="shared" si="2"/>
        <v>8.816</v>
      </c>
      <c r="M115" s="458" t="str">
        <f>CONCATENATE("Symo ",Table_Household_Alloc[[#This Row],[Export Capacity (kW)]])</f>
        <v>Symo 5</v>
      </c>
      <c r="N115" s="438">
        <f>IF(Table_Household_Alloc[[#This Row],[PV Installed]]="Y",1,0)*Table_Household_Alloc[[#This Row],[Calculated Battery Allocation (kWh)]]</f>
        <v>8.816</v>
      </c>
      <c r="O115" s="432">
        <v>5</v>
      </c>
      <c r="P115" s="434" t="s">
        <v>222</v>
      </c>
      <c r="Q115" s="434" t="s">
        <v>222</v>
      </c>
      <c r="R115" s="434" t="s">
        <v>222</v>
      </c>
      <c r="S115" s="434" t="s">
        <v>235</v>
      </c>
      <c r="T115" s="432" t="s">
        <v>563</v>
      </c>
      <c r="U115" s="440"/>
      <c r="V115" s="432" t="s">
        <v>564</v>
      </c>
      <c r="X115" s="470">
        <v>44641</v>
      </c>
      <c r="Y115" s="443" t="s">
        <v>228</v>
      </c>
    </row>
    <row r="116" s="432" customFormat="1" ht="17.4" spans="1:25">
      <c r="A116" s="349">
        <v>8</v>
      </c>
      <c r="B116" s="350" t="s">
        <v>58</v>
      </c>
      <c r="C116" s="351">
        <v>50002910</v>
      </c>
      <c r="D116" s="434"/>
      <c r="E116" s="434" t="s">
        <v>565</v>
      </c>
      <c r="F116" s="434" t="s">
        <v>566</v>
      </c>
      <c r="G116" s="434" t="s">
        <v>390</v>
      </c>
      <c r="H116" s="434" t="s">
        <v>391</v>
      </c>
      <c r="I116" s="434">
        <v>6286</v>
      </c>
      <c r="J116" s="456">
        <v>37</v>
      </c>
      <c r="K116" s="457">
        <f>Table_Household_Alloc[[#This Row],[Unit Entitlement]]/1000</f>
        <v>0.037</v>
      </c>
      <c r="L116" s="437">
        <f t="shared" si="2"/>
        <v>8.584</v>
      </c>
      <c r="M116" s="458" t="str">
        <f>CONCATENATE("Symo ",Table_Household_Alloc[[#This Row],[Export Capacity (kW)]])</f>
        <v>Symo 5</v>
      </c>
      <c r="N116" s="438">
        <f>IF(Table_Household_Alloc[[#This Row],[PV Installed]]="Y",1,0)*Table_Household_Alloc[[#This Row],[Calculated Battery Allocation (kWh)]]</f>
        <v>8.584</v>
      </c>
      <c r="O116" s="432">
        <v>5</v>
      </c>
      <c r="P116" s="434" t="s">
        <v>222</v>
      </c>
      <c r="Q116" s="434" t="s">
        <v>222</v>
      </c>
      <c r="R116" s="434" t="s">
        <v>222</v>
      </c>
      <c r="S116" s="434" t="s">
        <v>235</v>
      </c>
      <c r="T116" s="432" t="s">
        <v>567</v>
      </c>
      <c r="U116" s="440" t="s">
        <v>568</v>
      </c>
      <c r="V116" s="432" t="s">
        <v>569</v>
      </c>
      <c r="X116" s="470">
        <v>44948</v>
      </c>
      <c r="Y116" s="443" t="s">
        <v>228</v>
      </c>
    </row>
    <row r="117" s="432" customFormat="1" ht="17.4" spans="1:25">
      <c r="A117" s="349">
        <v>9</v>
      </c>
      <c r="B117" s="350" t="s">
        <v>58</v>
      </c>
      <c r="C117" s="351">
        <v>50002960</v>
      </c>
      <c r="D117" s="434"/>
      <c r="E117" s="434" t="s">
        <v>570</v>
      </c>
      <c r="F117" s="434" t="s">
        <v>571</v>
      </c>
      <c r="G117" s="434" t="s">
        <v>390</v>
      </c>
      <c r="H117" s="434" t="s">
        <v>391</v>
      </c>
      <c r="I117" s="434">
        <v>6286</v>
      </c>
      <c r="J117" s="456">
        <v>36</v>
      </c>
      <c r="K117" s="457">
        <f>Table_Household_Alloc[[#This Row],[Unit Entitlement]]/1000</f>
        <v>0.036</v>
      </c>
      <c r="L117" s="437">
        <f t="shared" si="2"/>
        <v>8.352</v>
      </c>
      <c r="M117" s="458" t="str">
        <f>CONCATENATE("Symo ",Table_Household_Alloc[[#This Row],[Export Capacity (kW)]])</f>
        <v>Symo 8.2</v>
      </c>
      <c r="N117" s="438">
        <f>IF(Table_Household_Alloc[[#This Row],[PV Installed]]="Y",1,0)*Table_Household_Alloc[[#This Row],[Calculated Battery Allocation (kWh)]]</f>
        <v>8.352</v>
      </c>
      <c r="O117" s="432">
        <v>8.2</v>
      </c>
      <c r="P117" s="434" t="s">
        <v>222</v>
      </c>
      <c r="Q117" s="434" t="s">
        <v>222</v>
      </c>
      <c r="R117" s="434" t="s">
        <v>222</v>
      </c>
      <c r="S117" s="434" t="s">
        <v>235</v>
      </c>
      <c r="T117" s="432" t="s">
        <v>572</v>
      </c>
      <c r="U117" s="440" t="s">
        <v>573</v>
      </c>
      <c r="V117" s="432" t="s">
        <v>574</v>
      </c>
      <c r="X117" s="470">
        <v>45100</v>
      </c>
      <c r="Y117" s="443" t="s">
        <v>228</v>
      </c>
    </row>
    <row r="118" s="432" customFormat="1" ht="17.4" spans="1:25">
      <c r="A118" s="349">
        <v>10</v>
      </c>
      <c r="B118" s="350" t="s">
        <v>58</v>
      </c>
      <c r="C118" s="351">
        <v>50002926</v>
      </c>
      <c r="D118" s="434"/>
      <c r="E118" s="434" t="s">
        <v>575</v>
      </c>
      <c r="F118" s="434" t="s">
        <v>576</v>
      </c>
      <c r="G118" s="434" t="s">
        <v>390</v>
      </c>
      <c r="H118" s="434" t="s">
        <v>391</v>
      </c>
      <c r="I118" s="434">
        <v>6286</v>
      </c>
      <c r="J118" s="456">
        <v>61</v>
      </c>
      <c r="K118" s="457">
        <f>Table_Household_Alloc[[#This Row],[Unit Entitlement]]/1000</f>
        <v>0.061</v>
      </c>
      <c r="L118" s="437">
        <f t="shared" si="2"/>
        <v>14.152</v>
      </c>
      <c r="M118" s="458" t="str">
        <f>CONCATENATE("Symo ",Table_Household_Alloc[[#This Row],[Export Capacity (kW)]])</f>
        <v>Symo 8.2</v>
      </c>
      <c r="N118" s="438">
        <f>IF(Table_Household_Alloc[[#This Row],[PV Installed]]="Y",1,0)*Table_Household_Alloc[[#This Row],[Calculated Battery Allocation (kWh)]]</f>
        <v>14.152</v>
      </c>
      <c r="O118" s="432">
        <v>8.2</v>
      </c>
      <c r="P118" s="434" t="s">
        <v>222</v>
      </c>
      <c r="Q118" s="434" t="s">
        <v>222</v>
      </c>
      <c r="R118" s="434" t="s">
        <v>222</v>
      </c>
      <c r="S118" s="434" t="s">
        <v>235</v>
      </c>
      <c r="T118" s="432" t="s">
        <v>577</v>
      </c>
      <c r="U118" s="440"/>
      <c r="V118" s="432" t="s">
        <v>578</v>
      </c>
      <c r="X118" s="470">
        <v>45257</v>
      </c>
      <c r="Y118" s="443" t="s">
        <v>228</v>
      </c>
    </row>
    <row r="119" s="432" customFormat="1" ht="17.4" spans="1:25">
      <c r="A119" s="349">
        <v>11</v>
      </c>
      <c r="B119" s="350" t="s">
        <v>58</v>
      </c>
      <c r="C119" s="374"/>
      <c r="D119" s="434"/>
      <c r="E119" s="434" t="s">
        <v>579</v>
      </c>
      <c r="F119" s="434" t="s">
        <v>580</v>
      </c>
      <c r="G119" s="434" t="s">
        <v>390</v>
      </c>
      <c r="H119" s="434" t="s">
        <v>391</v>
      </c>
      <c r="I119" s="434">
        <v>6286</v>
      </c>
      <c r="J119" s="456">
        <v>62</v>
      </c>
      <c r="K119" s="457">
        <f>Table_Household_Alloc[[#This Row],[Unit Entitlement]]/1000</f>
        <v>0.062</v>
      </c>
      <c r="L119" s="437">
        <f t="shared" si="2"/>
        <v>14.384</v>
      </c>
      <c r="M119" s="458"/>
      <c r="N119" s="438">
        <f>IF(Table_Household_Alloc[[#This Row],[PV Installed]]="Y",1,0)*Table_Household_Alloc[[#This Row],[Calculated Battery Allocation (kWh)]]</f>
        <v>0</v>
      </c>
      <c r="P119" s="434"/>
      <c r="Q119" s="434"/>
      <c r="R119" s="434"/>
      <c r="S119" s="434" t="s">
        <v>308</v>
      </c>
      <c r="T119" s="432" t="s">
        <v>581</v>
      </c>
      <c r="U119" s="440"/>
      <c r="V119" s="432" t="s">
        <v>582</v>
      </c>
      <c r="X119" s="470"/>
      <c r="Y119" s="443"/>
    </row>
    <row r="120" s="432" customFormat="1" ht="17.4" spans="1:25">
      <c r="A120" s="349">
        <v>12</v>
      </c>
      <c r="B120" s="350" t="s">
        <v>58</v>
      </c>
      <c r="C120" s="375"/>
      <c r="D120" s="434"/>
      <c r="E120" s="434" t="s">
        <v>583</v>
      </c>
      <c r="F120" s="434" t="s">
        <v>584</v>
      </c>
      <c r="G120" s="434" t="s">
        <v>390</v>
      </c>
      <c r="H120" s="434" t="s">
        <v>391</v>
      </c>
      <c r="I120" s="434">
        <v>6286</v>
      </c>
      <c r="J120" s="456">
        <v>64</v>
      </c>
      <c r="K120" s="457">
        <f>Table_Household_Alloc[[#This Row],[Unit Entitlement]]/1000</f>
        <v>0.064</v>
      </c>
      <c r="L120" s="437">
        <f t="shared" si="2"/>
        <v>14.848</v>
      </c>
      <c r="M120" s="458"/>
      <c r="N120" s="438">
        <f>IF(Table_Household_Alloc[[#This Row],[PV Installed]]="Y",1,0)*Table_Household_Alloc[[#This Row],[Calculated Battery Allocation (kWh)]]</f>
        <v>0</v>
      </c>
      <c r="P120" s="434"/>
      <c r="Q120" s="434"/>
      <c r="R120" s="434"/>
      <c r="S120" s="434" t="s">
        <v>224</v>
      </c>
      <c r="T120" s="432" t="s">
        <v>585</v>
      </c>
      <c r="U120" s="440"/>
      <c r="V120" s="432" t="s">
        <v>586</v>
      </c>
      <c r="X120" s="470"/>
      <c r="Y120" s="443"/>
    </row>
    <row r="121" s="432" customFormat="1" ht="17.4" spans="1:25">
      <c r="A121" s="349">
        <v>13</v>
      </c>
      <c r="B121" s="350" t="s">
        <v>58</v>
      </c>
      <c r="C121" s="375"/>
      <c r="D121" s="434"/>
      <c r="E121" s="434" t="s">
        <v>587</v>
      </c>
      <c r="F121" s="434" t="s">
        <v>588</v>
      </c>
      <c r="G121" s="434" t="s">
        <v>390</v>
      </c>
      <c r="H121" s="434" t="s">
        <v>391</v>
      </c>
      <c r="I121" s="434">
        <v>6286</v>
      </c>
      <c r="J121" s="456">
        <v>64</v>
      </c>
      <c r="K121" s="457">
        <f>Table_Household_Alloc[[#This Row],[Unit Entitlement]]/1000</f>
        <v>0.064</v>
      </c>
      <c r="L121" s="437">
        <f t="shared" si="2"/>
        <v>14.848</v>
      </c>
      <c r="M121" s="458"/>
      <c r="N121" s="438">
        <f>IF(Table_Household_Alloc[[#This Row],[PV Installed]]="Y",1,0)*Table_Household_Alloc[[#This Row],[Calculated Battery Allocation (kWh)]]</f>
        <v>0</v>
      </c>
      <c r="P121" s="434"/>
      <c r="Q121" s="434"/>
      <c r="R121" s="434"/>
      <c r="S121" s="434" t="s">
        <v>224</v>
      </c>
      <c r="T121" s="432" t="s">
        <v>589</v>
      </c>
      <c r="U121" s="440"/>
      <c r="V121" s="432" t="s">
        <v>590</v>
      </c>
      <c r="X121" s="470"/>
      <c r="Y121" s="443"/>
    </row>
    <row r="122" s="432" customFormat="1" ht="17.4" spans="1:25">
      <c r="A122" s="349">
        <v>14</v>
      </c>
      <c r="B122" s="350" t="s">
        <v>58</v>
      </c>
      <c r="C122" s="374"/>
      <c r="D122" s="434"/>
      <c r="E122" s="434" t="s">
        <v>352</v>
      </c>
      <c r="F122" s="434" t="s">
        <v>591</v>
      </c>
      <c r="G122" s="434" t="s">
        <v>390</v>
      </c>
      <c r="H122" s="434" t="s">
        <v>391</v>
      </c>
      <c r="I122" s="434">
        <v>6286</v>
      </c>
      <c r="J122" s="456">
        <v>27</v>
      </c>
      <c r="K122" s="457">
        <f>Table_Household_Alloc[[#This Row],[Unit Entitlement]]/1000</f>
        <v>0.027</v>
      </c>
      <c r="L122" s="437">
        <f t="shared" si="2"/>
        <v>6.264</v>
      </c>
      <c r="M122" s="458"/>
      <c r="N122" s="438">
        <f>IF(Table_Household_Alloc[[#This Row],[PV Installed]]="Y",1,0)*Table_Household_Alloc[[#This Row],[Calculated Battery Allocation (kWh)]]</f>
        <v>0</v>
      </c>
      <c r="P122" s="434"/>
      <c r="Q122" s="434"/>
      <c r="R122" s="434"/>
      <c r="S122" s="434" t="s">
        <v>308</v>
      </c>
      <c r="T122" s="432" t="s">
        <v>592</v>
      </c>
      <c r="U122" s="440" t="s">
        <v>593</v>
      </c>
      <c r="V122" s="432" t="s">
        <v>594</v>
      </c>
      <c r="X122" s="470"/>
      <c r="Y122" s="443"/>
    </row>
    <row r="123" s="432" customFormat="1" ht="17.4" spans="1:25">
      <c r="A123" s="349">
        <v>15</v>
      </c>
      <c r="B123" s="350" t="s">
        <v>58</v>
      </c>
      <c r="C123" s="351">
        <v>50002930</v>
      </c>
      <c r="D123" s="434"/>
      <c r="E123" s="434" t="s">
        <v>595</v>
      </c>
      <c r="F123" s="434" t="s">
        <v>596</v>
      </c>
      <c r="G123" s="434" t="s">
        <v>390</v>
      </c>
      <c r="H123" s="434" t="s">
        <v>391</v>
      </c>
      <c r="I123" s="434">
        <v>6286</v>
      </c>
      <c r="J123" s="456">
        <v>27</v>
      </c>
      <c r="K123" s="457">
        <f>Table_Household_Alloc[[#This Row],[Unit Entitlement]]/1000</f>
        <v>0.027</v>
      </c>
      <c r="L123" s="437">
        <f t="shared" si="2"/>
        <v>6.264</v>
      </c>
      <c r="M123" s="458" t="str">
        <f>CONCATENATE("Symo ",Table_Household_Alloc[[#This Row],[Export Capacity (kW)]])</f>
        <v>Symo 5</v>
      </c>
      <c r="N123" s="438">
        <f>IF(Table_Household_Alloc[[#This Row],[PV Installed]]="Y",1,0)*Table_Household_Alloc[[#This Row],[Calculated Battery Allocation (kWh)]]</f>
        <v>6.264</v>
      </c>
      <c r="O123" s="432">
        <v>5</v>
      </c>
      <c r="P123" s="434" t="s">
        <v>222</v>
      </c>
      <c r="Q123" s="434" t="s">
        <v>222</v>
      </c>
      <c r="R123" s="434" t="s">
        <v>222</v>
      </c>
      <c r="S123" s="434" t="s">
        <v>235</v>
      </c>
      <c r="T123" s="432" t="s">
        <v>597</v>
      </c>
      <c r="U123" s="440"/>
      <c r="V123" s="432" t="s">
        <v>598</v>
      </c>
      <c r="X123" s="470">
        <v>45501</v>
      </c>
      <c r="Y123" s="443" t="s">
        <v>228</v>
      </c>
    </row>
    <row r="124" s="432" customFormat="1" ht="17.4" spans="1:25">
      <c r="A124" s="349">
        <v>16</v>
      </c>
      <c r="B124" s="350" t="s">
        <v>58</v>
      </c>
      <c r="C124" s="351">
        <v>50002843</v>
      </c>
      <c r="D124" s="434"/>
      <c r="E124" s="434" t="s">
        <v>599</v>
      </c>
      <c r="F124" s="434" t="s">
        <v>600</v>
      </c>
      <c r="G124" s="434" t="s">
        <v>390</v>
      </c>
      <c r="H124" s="434" t="s">
        <v>391</v>
      </c>
      <c r="I124" s="434">
        <v>6286</v>
      </c>
      <c r="J124" s="456">
        <v>27</v>
      </c>
      <c r="K124" s="457">
        <f>Table_Household_Alloc[[#This Row],[Unit Entitlement]]/1000</f>
        <v>0.027</v>
      </c>
      <c r="L124" s="437">
        <f t="shared" si="2"/>
        <v>6.264</v>
      </c>
      <c r="M124" s="458" t="str">
        <f>CONCATENATE("Symo ",Table_Household_Alloc[[#This Row],[Export Capacity (kW)]])</f>
        <v>Symo 5</v>
      </c>
      <c r="N124" s="438">
        <f>IF(Table_Household_Alloc[[#This Row],[PV Installed]]="Y",1,0)*Table_Household_Alloc[[#This Row],[Calculated Battery Allocation (kWh)]]</f>
        <v>6.264</v>
      </c>
      <c r="O124" s="432">
        <v>5</v>
      </c>
      <c r="P124" s="434" t="s">
        <v>222</v>
      </c>
      <c r="Q124" s="434" t="s">
        <v>222</v>
      </c>
      <c r="R124" s="434" t="s">
        <v>222</v>
      </c>
      <c r="S124" s="434" t="s">
        <v>235</v>
      </c>
      <c r="T124" s="432" t="s">
        <v>601</v>
      </c>
      <c r="U124" s="440"/>
      <c r="V124" s="432" t="s">
        <v>602</v>
      </c>
      <c r="X124" s="470">
        <v>44607</v>
      </c>
      <c r="Y124" s="443" t="s">
        <v>228</v>
      </c>
    </row>
    <row r="125" s="432" customFormat="1" ht="17.4" spans="1:25">
      <c r="A125" s="349">
        <v>17</v>
      </c>
      <c r="B125" s="350" t="s">
        <v>58</v>
      </c>
      <c r="C125" s="351">
        <v>50002929</v>
      </c>
      <c r="D125" s="434"/>
      <c r="E125" s="434" t="s">
        <v>603</v>
      </c>
      <c r="F125" s="434" t="s">
        <v>604</v>
      </c>
      <c r="G125" s="434" t="s">
        <v>390</v>
      </c>
      <c r="H125" s="434" t="s">
        <v>391</v>
      </c>
      <c r="I125" s="434">
        <v>6286</v>
      </c>
      <c r="J125" s="456">
        <v>27</v>
      </c>
      <c r="K125" s="457">
        <f>Table_Household_Alloc[[#This Row],[Unit Entitlement]]/1000</f>
        <v>0.027</v>
      </c>
      <c r="L125" s="437">
        <f t="shared" si="2"/>
        <v>6.264</v>
      </c>
      <c r="M125" s="458" t="str">
        <f>CONCATENATE("Symo ",Table_Household_Alloc[[#This Row],[Export Capacity (kW)]])</f>
        <v>Symo 5</v>
      </c>
      <c r="N125" s="438">
        <f>IF(Table_Household_Alloc[[#This Row],[PV Installed]]="Y",1,0)*Table_Household_Alloc[[#This Row],[Calculated Battery Allocation (kWh)]]</f>
        <v>6.264</v>
      </c>
      <c r="O125" s="432">
        <v>5</v>
      </c>
      <c r="P125" s="434" t="s">
        <v>222</v>
      </c>
      <c r="Q125" s="434" t="s">
        <v>222</v>
      </c>
      <c r="R125" s="434" t="s">
        <v>222</v>
      </c>
      <c r="S125" s="434" t="s">
        <v>235</v>
      </c>
      <c r="T125" s="432" t="s">
        <v>605</v>
      </c>
      <c r="U125" s="440"/>
      <c r="V125" s="432" t="s">
        <v>606</v>
      </c>
      <c r="X125" s="470">
        <v>45320</v>
      </c>
      <c r="Y125" s="443" t="s">
        <v>228</v>
      </c>
    </row>
    <row r="126" s="432" customFormat="1" ht="17.4" spans="1:25">
      <c r="A126" s="349">
        <v>18</v>
      </c>
      <c r="B126" s="350" t="s">
        <v>58</v>
      </c>
      <c r="C126" s="375"/>
      <c r="D126" s="434"/>
      <c r="E126" s="434" t="s">
        <v>607</v>
      </c>
      <c r="F126" s="434" t="s">
        <v>608</v>
      </c>
      <c r="G126" s="434" t="s">
        <v>390</v>
      </c>
      <c r="H126" s="434" t="s">
        <v>391</v>
      </c>
      <c r="I126" s="434">
        <v>6286</v>
      </c>
      <c r="J126" s="456">
        <v>31</v>
      </c>
      <c r="K126" s="457">
        <f>Table_Household_Alloc[[#This Row],[Unit Entitlement]]/1000</f>
        <v>0.031</v>
      </c>
      <c r="L126" s="437">
        <f t="shared" si="2"/>
        <v>7.192</v>
      </c>
      <c r="M126" s="458"/>
      <c r="N126" s="438">
        <f>IF(Table_Household_Alloc[[#This Row],[PV Installed]]="Y",1,0)*Table_Household_Alloc[[#This Row],[Calculated Battery Allocation (kWh)]]</f>
        <v>0</v>
      </c>
      <c r="P126" s="434"/>
      <c r="Q126" s="434"/>
      <c r="R126" s="434"/>
      <c r="S126" s="434" t="s">
        <v>308</v>
      </c>
      <c r="T126" s="432" t="s">
        <v>609</v>
      </c>
      <c r="U126" s="440"/>
      <c r="V126" s="432" t="s">
        <v>610</v>
      </c>
      <c r="X126" s="470"/>
      <c r="Y126" s="443"/>
    </row>
    <row r="127" s="432" customFormat="1" ht="17.4" spans="1:25">
      <c r="A127" s="349">
        <v>19</v>
      </c>
      <c r="B127" s="350" t="s">
        <v>58</v>
      </c>
      <c r="C127" s="375"/>
      <c r="D127" s="434"/>
      <c r="E127" s="434" t="s">
        <v>611</v>
      </c>
      <c r="F127" s="434" t="s">
        <v>612</v>
      </c>
      <c r="G127" s="434" t="s">
        <v>390</v>
      </c>
      <c r="H127" s="434" t="s">
        <v>391</v>
      </c>
      <c r="I127" s="434">
        <v>6286</v>
      </c>
      <c r="J127" s="456">
        <v>78</v>
      </c>
      <c r="K127" s="457">
        <f>Table_Household_Alloc[[#This Row],[Unit Entitlement]]/1000</f>
        <v>0.078</v>
      </c>
      <c r="L127" s="437">
        <f t="shared" si="2"/>
        <v>18.096</v>
      </c>
      <c r="M127" s="458"/>
      <c r="N127" s="438">
        <f>IF(Table_Household_Alloc[[#This Row],[PV Installed]]="Y",1,0)*Table_Household_Alloc[[#This Row],[Calculated Battery Allocation (kWh)]]</f>
        <v>18.096</v>
      </c>
      <c r="P127" s="434"/>
      <c r="Q127" s="434" t="s">
        <v>222</v>
      </c>
      <c r="R127" s="434"/>
      <c r="S127" s="434" t="s">
        <v>308</v>
      </c>
      <c r="T127" s="432" t="s">
        <v>613</v>
      </c>
      <c r="U127" s="440"/>
      <c r="V127" s="432" t="s">
        <v>614</v>
      </c>
      <c r="X127" s="470"/>
      <c r="Y127" s="443"/>
    </row>
    <row r="128" s="432" customFormat="1" ht="17.4" spans="1:25">
      <c r="A128" s="349">
        <v>20</v>
      </c>
      <c r="B128" s="350" t="s">
        <v>58</v>
      </c>
      <c r="C128" s="374"/>
      <c r="D128" s="434"/>
      <c r="E128" s="434" t="s">
        <v>615</v>
      </c>
      <c r="F128" s="434" t="s">
        <v>616</v>
      </c>
      <c r="G128" s="434" t="s">
        <v>390</v>
      </c>
      <c r="H128" s="434" t="s">
        <v>391</v>
      </c>
      <c r="I128" s="434">
        <v>6286</v>
      </c>
      <c r="J128" s="456">
        <v>62</v>
      </c>
      <c r="K128" s="457">
        <f>Table_Household_Alloc[[#This Row],[Unit Entitlement]]/1000</f>
        <v>0.062</v>
      </c>
      <c r="L128" s="437">
        <f t="shared" si="2"/>
        <v>14.384</v>
      </c>
      <c r="M128" s="458"/>
      <c r="N128" s="438">
        <f>IF(Table_Household_Alloc[[#This Row],[PV Installed]]="Y",1,0)*Table_Household_Alloc[[#This Row],[Calculated Battery Allocation (kWh)]]</f>
        <v>0</v>
      </c>
      <c r="P128" s="434"/>
      <c r="Q128" s="434"/>
      <c r="R128" s="434"/>
      <c r="S128" s="434" t="s">
        <v>224</v>
      </c>
      <c r="T128" s="432" t="s">
        <v>617</v>
      </c>
      <c r="U128" s="440" t="s">
        <v>618</v>
      </c>
      <c r="V128" s="432" t="s">
        <v>619</v>
      </c>
      <c r="X128" s="470"/>
      <c r="Y128" s="443"/>
    </row>
    <row r="129" s="432" customFormat="1" ht="17.4" spans="1:25">
      <c r="A129" s="349">
        <v>21</v>
      </c>
      <c r="B129" s="350" t="s">
        <v>58</v>
      </c>
      <c r="C129" s="375"/>
      <c r="D129" s="434"/>
      <c r="E129" s="434" t="s">
        <v>620</v>
      </c>
      <c r="F129" s="434" t="s">
        <v>621</v>
      </c>
      <c r="G129" s="434" t="s">
        <v>390</v>
      </c>
      <c r="H129" s="434" t="s">
        <v>391</v>
      </c>
      <c r="I129" s="434">
        <v>6286</v>
      </c>
      <c r="J129" s="456">
        <v>61</v>
      </c>
      <c r="K129" s="457">
        <f>Table_Household_Alloc[[#This Row],[Unit Entitlement]]/1000</f>
        <v>0.061</v>
      </c>
      <c r="L129" s="437">
        <f t="shared" si="2"/>
        <v>14.152</v>
      </c>
      <c r="M129" s="458" t="str">
        <f>CONCATENATE("Symo ",Table_Household_Alloc[[#This Row],[Export Capacity (kW)]])</f>
        <v>Symo 10</v>
      </c>
      <c r="N129" s="438">
        <f>IF(Table_Household_Alloc[[#This Row],[PV Installed]]="Y",1,0)*Table_Household_Alloc[[#This Row],[Calculated Battery Allocation (kWh)]]</f>
        <v>14.152</v>
      </c>
      <c r="O129" s="432">
        <v>10</v>
      </c>
      <c r="P129" s="434" t="s">
        <v>222</v>
      </c>
      <c r="Q129" s="434" t="s">
        <v>222</v>
      </c>
      <c r="R129" s="434" t="s">
        <v>222</v>
      </c>
      <c r="S129" s="434" t="s">
        <v>235</v>
      </c>
      <c r="T129" s="432" t="s">
        <v>622</v>
      </c>
      <c r="U129" s="440" t="s">
        <v>623</v>
      </c>
      <c r="V129" s="432" t="s">
        <v>624</v>
      </c>
      <c r="X129" s="470">
        <v>44884</v>
      </c>
      <c r="Y129" s="443" t="s">
        <v>228</v>
      </c>
    </row>
    <row r="130" s="432" customFormat="1" ht="17.4" spans="1:25">
      <c r="A130" s="349">
        <v>22</v>
      </c>
      <c r="B130" s="350" t="s">
        <v>58</v>
      </c>
      <c r="C130" s="374"/>
      <c r="D130" s="434"/>
      <c r="E130" s="434" t="s">
        <v>625</v>
      </c>
      <c r="F130" s="434" t="s">
        <v>626</v>
      </c>
      <c r="G130" s="434" t="s">
        <v>390</v>
      </c>
      <c r="H130" s="434" t="s">
        <v>391</v>
      </c>
      <c r="I130" s="434">
        <v>6286</v>
      </c>
      <c r="J130" s="456">
        <v>61</v>
      </c>
      <c r="K130" s="457">
        <f>Table_Household_Alloc[[#This Row],[Unit Entitlement]]/1000</f>
        <v>0.061</v>
      </c>
      <c r="L130" s="437">
        <f t="shared" si="2"/>
        <v>14.152</v>
      </c>
      <c r="M130" s="458"/>
      <c r="N130" s="438">
        <f>IF(Table_Household_Alloc[[#This Row],[PV Installed]]="Y",1,0)*Table_Household_Alloc[[#This Row],[Calculated Battery Allocation (kWh)]]</f>
        <v>0</v>
      </c>
      <c r="P130" s="434"/>
      <c r="Q130" s="434"/>
      <c r="R130" s="434"/>
      <c r="S130" s="434" t="s">
        <v>308</v>
      </c>
      <c r="T130" s="432" t="s">
        <v>627</v>
      </c>
      <c r="U130" s="440" t="s">
        <v>628</v>
      </c>
      <c r="V130" s="432" t="s">
        <v>629</v>
      </c>
      <c r="X130" s="470"/>
      <c r="Y130" s="443"/>
    </row>
    <row r="131" s="432" customFormat="1" ht="18" spans="1:25">
      <c r="A131" s="357" t="s">
        <v>335</v>
      </c>
      <c r="B131" s="350" t="s">
        <v>58</v>
      </c>
      <c r="C131" s="351">
        <v>2902000956</v>
      </c>
      <c r="D131" s="434"/>
      <c r="E131" s="446" t="s">
        <v>336</v>
      </c>
      <c r="F131" s="433"/>
      <c r="G131" s="434"/>
      <c r="H131" s="434"/>
      <c r="I131" s="434"/>
      <c r="J131" s="435"/>
      <c r="K131" s="436">
        <f>Table_Household_Alloc[[#This Row],[Unit Entitlement]]/1000</f>
        <v>0</v>
      </c>
      <c r="L131" s="437"/>
      <c r="M131" s="434"/>
      <c r="N131" s="438">
        <f>IF(Table_Household_Alloc[[#This Row],[PV Installed]]="Y",1,0)*Table_Household_Alloc[[#This Row],[Calculated Battery Allocation (kWh)]]</f>
        <v>0</v>
      </c>
      <c r="T131" s="439"/>
      <c r="U131" s="440"/>
      <c r="V131" s="441"/>
      <c r="X131" s="442"/>
      <c r="Y131" s="443"/>
    </row>
    <row r="132" s="432" customFormat="1" ht="17.4" spans="1:25">
      <c r="A132" s="349" t="s">
        <v>337</v>
      </c>
      <c r="B132" s="350" t="s">
        <v>58</v>
      </c>
      <c r="C132" s="351">
        <v>2902000944</v>
      </c>
      <c r="D132" s="434" t="s">
        <v>338</v>
      </c>
      <c r="E132" s="446" t="s">
        <v>339</v>
      </c>
      <c r="F132" s="434"/>
      <c r="G132" s="434" t="s">
        <v>220</v>
      </c>
      <c r="H132" s="434" t="s">
        <v>221</v>
      </c>
      <c r="I132" s="434">
        <v>6286</v>
      </c>
      <c r="J132" s="452"/>
      <c r="K132" s="453">
        <f>Table_Household_Alloc[[#This Row],[Unit Entitlement]]/1000</f>
        <v>0</v>
      </c>
      <c r="L132" s="437">
        <f t="shared" ref="L132:L133" si="4">(J132/1000)*232</f>
        <v>0</v>
      </c>
      <c r="M132" s="458"/>
      <c r="N132" s="438">
        <f>IF(Table_Household_Alloc[[#This Row],[PV Installed]]="Y",1,0)*Table_Household_Alloc[[#This Row],[Calculated Battery Allocation (kWh)]]</f>
        <v>0</v>
      </c>
      <c r="P132" s="444"/>
      <c r="Q132" s="444"/>
      <c r="R132" s="434"/>
      <c r="S132" s="434"/>
      <c r="U132" s="440"/>
      <c r="X132" s="470"/>
      <c r="Y132" s="443"/>
    </row>
    <row r="133" s="432" customFormat="1" ht="17.4" spans="1:25">
      <c r="A133" s="349" t="s">
        <v>340</v>
      </c>
      <c r="B133" s="350" t="s">
        <v>58</v>
      </c>
      <c r="C133" s="351">
        <v>2912025226</v>
      </c>
      <c r="D133" s="434" t="s">
        <v>338</v>
      </c>
      <c r="E133" s="446" t="s">
        <v>341</v>
      </c>
      <c r="F133" s="434"/>
      <c r="G133" s="434" t="s">
        <v>220</v>
      </c>
      <c r="H133" s="434" t="s">
        <v>221</v>
      </c>
      <c r="I133" s="434">
        <v>6286</v>
      </c>
      <c r="J133" s="456"/>
      <c r="K133" s="457">
        <f>Table_Household_Alloc[[#This Row],[Unit Entitlement]]/1000</f>
        <v>0</v>
      </c>
      <c r="L133" s="437">
        <f t="shared" si="4"/>
        <v>0</v>
      </c>
      <c r="M133" s="458"/>
      <c r="N133" s="438">
        <f>IF(Table_Household_Alloc[[#This Row],[PV Installed]]="Y",1,0)*Table_Household_Alloc[[#This Row],[Calculated Battery Allocation (kWh)]]</f>
        <v>0</v>
      </c>
      <c r="P133" s="444"/>
      <c r="Q133" s="444"/>
      <c r="R133" s="434"/>
      <c r="S133" s="434"/>
      <c r="U133" s="440"/>
      <c r="X133" s="470"/>
      <c r="Y133" s="443"/>
    </row>
    <row r="134" s="432" customFormat="1" ht="18" spans="1:25">
      <c r="A134" s="362" t="s">
        <v>342</v>
      </c>
      <c r="B134" s="350" t="s">
        <v>58</v>
      </c>
      <c r="C134" s="351"/>
      <c r="D134" s="434"/>
      <c r="E134" s="433"/>
      <c r="F134" s="433"/>
      <c r="G134" s="434"/>
      <c r="H134" s="434"/>
      <c r="I134" s="434"/>
      <c r="J134" s="435"/>
      <c r="K134" s="436">
        <f>Table_Household_Alloc[[#This Row],[Unit Entitlement]]/1000</f>
        <v>0</v>
      </c>
      <c r="L134" s="437"/>
      <c r="M134" s="434"/>
      <c r="N134" s="438">
        <f>IF(Table_Household_Alloc[[#This Row],[PV Installed]]="Y",1,0)*Table_Household_Alloc[[#This Row],[Calculated Battery Allocation (kWh)]]</f>
        <v>0</v>
      </c>
      <c r="T134" s="439"/>
      <c r="U134" s="440"/>
      <c r="V134" s="441"/>
      <c r="X134" s="442"/>
      <c r="Y134" s="443"/>
    </row>
    <row r="135" s="432" customFormat="1" ht="18" spans="1:25">
      <c r="A135" s="363" t="s">
        <v>343</v>
      </c>
      <c r="B135" s="350" t="s">
        <v>58</v>
      </c>
      <c r="C135" s="351"/>
      <c r="D135" s="434"/>
      <c r="E135" s="433"/>
      <c r="F135" s="433"/>
      <c r="G135" s="434"/>
      <c r="H135" s="434"/>
      <c r="I135" s="434"/>
      <c r="J135" s="435"/>
      <c r="K135" s="436">
        <f>Table_Household_Alloc[[#This Row],[Unit Entitlement]]/1000</f>
        <v>0</v>
      </c>
      <c r="L135" s="437"/>
      <c r="M135" s="434"/>
      <c r="N135" s="438">
        <f>IF(Table_Household_Alloc[[#This Row],[PV Installed]]="Y",1,0)*Table_Household_Alloc[[#This Row],[Calculated Battery Allocation (kWh)]]</f>
        <v>0</v>
      </c>
      <c r="T135" s="439"/>
      <c r="U135" s="440"/>
      <c r="V135" s="441"/>
      <c r="X135" s="442"/>
      <c r="Y135" s="443"/>
    </row>
    <row r="136" s="432" customFormat="1" ht="17.4" spans="1:25">
      <c r="A136" s="349">
        <v>1</v>
      </c>
      <c r="B136" s="350" t="s">
        <v>59</v>
      </c>
      <c r="C136" s="354"/>
      <c r="D136" s="434"/>
      <c r="E136" s="434" t="s">
        <v>630</v>
      </c>
      <c r="F136" s="434" t="s">
        <v>631</v>
      </c>
      <c r="G136" s="434" t="s">
        <v>390</v>
      </c>
      <c r="H136" s="434" t="s">
        <v>391</v>
      </c>
      <c r="I136" s="434">
        <v>6286</v>
      </c>
      <c r="J136" s="456">
        <v>32</v>
      </c>
      <c r="K136" s="457">
        <f>Table_Household_Alloc[[#This Row],[Unit Entitlement]]/1000</f>
        <v>0.032</v>
      </c>
      <c r="L136" s="437">
        <f t="shared" si="2"/>
        <v>7.424</v>
      </c>
      <c r="M136" s="458"/>
      <c r="N136" s="438">
        <f>IF(Table_Household_Alloc[[#This Row],[PV Installed]]="Y",1,0)*Table_Household_Alloc[[#This Row],[Calculated Battery Allocation (kWh)]]</f>
        <v>0</v>
      </c>
      <c r="P136" s="434"/>
      <c r="Q136" s="489"/>
      <c r="R136" s="434"/>
      <c r="S136" s="434" t="s">
        <v>235</v>
      </c>
      <c r="T136" s="490" t="s">
        <v>632</v>
      </c>
      <c r="U136" s="440"/>
      <c r="V136" s="491" t="s">
        <v>633</v>
      </c>
      <c r="X136" s="492">
        <v>45588</v>
      </c>
      <c r="Y136" s="443" t="s">
        <v>228</v>
      </c>
    </row>
    <row r="137" s="432" customFormat="1" ht="17.4" spans="1:25">
      <c r="A137" s="349">
        <v>2</v>
      </c>
      <c r="B137" s="350" t="s">
        <v>59</v>
      </c>
      <c r="C137" s="354"/>
      <c r="D137" s="434"/>
      <c r="E137" s="434" t="s">
        <v>634</v>
      </c>
      <c r="F137" s="434" t="s">
        <v>635</v>
      </c>
      <c r="G137" s="434" t="s">
        <v>390</v>
      </c>
      <c r="H137" s="434" t="s">
        <v>391</v>
      </c>
      <c r="I137" s="434">
        <v>6286</v>
      </c>
      <c r="J137" s="456">
        <v>32</v>
      </c>
      <c r="K137" s="457">
        <f>Table_Household_Alloc[[#This Row],[Unit Entitlement]]/1000</f>
        <v>0.032</v>
      </c>
      <c r="L137" s="437">
        <f t="shared" si="2"/>
        <v>7.424</v>
      </c>
      <c r="M137" s="458"/>
      <c r="N137" s="438">
        <f>IF(Table_Household_Alloc[[#This Row],[PV Installed]]="Y",1,0)*Table_Household_Alloc[[#This Row],[Calculated Battery Allocation (kWh)]]</f>
        <v>0</v>
      </c>
      <c r="P137" s="434"/>
      <c r="Q137" s="434"/>
      <c r="R137" s="434"/>
      <c r="S137" s="434" t="s">
        <v>308</v>
      </c>
      <c r="T137" s="490" t="s">
        <v>636</v>
      </c>
      <c r="U137" s="440"/>
      <c r="V137" s="493" t="s">
        <v>637</v>
      </c>
      <c r="X137" s="492"/>
      <c r="Y137" s="443"/>
    </row>
    <row r="138" s="432" customFormat="1" ht="17.4" spans="1:25">
      <c r="A138" s="349">
        <v>3</v>
      </c>
      <c r="B138" s="350" t="s">
        <v>59</v>
      </c>
      <c r="C138" s="376"/>
      <c r="D138" s="434"/>
      <c r="E138" s="434" t="s">
        <v>638</v>
      </c>
      <c r="F138" s="434" t="s">
        <v>639</v>
      </c>
      <c r="G138" s="434" t="s">
        <v>390</v>
      </c>
      <c r="H138" s="434" t="s">
        <v>391</v>
      </c>
      <c r="I138" s="434">
        <v>6286</v>
      </c>
      <c r="J138" s="456">
        <v>34</v>
      </c>
      <c r="K138" s="457">
        <f>Table_Household_Alloc[[#This Row],[Unit Entitlement]]/1000</f>
        <v>0.034</v>
      </c>
      <c r="L138" s="437">
        <f t="shared" si="2"/>
        <v>7.888</v>
      </c>
      <c r="M138" s="458"/>
      <c r="N138" s="438">
        <f>IF(Table_Household_Alloc[[#This Row],[PV Installed]]="Y",1,0)*Table_Household_Alloc[[#This Row],[Calculated Battery Allocation (kWh)]]</f>
        <v>0</v>
      </c>
      <c r="P138" s="434"/>
      <c r="Q138" s="434"/>
      <c r="R138" s="434"/>
      <c r="S138" s="434" t="s">
        <v>308</v>
      </c>
      <c r="T138" s="490" t="s">
        <v>640</v>
      </c>
      <c r="U138" s="440"/>
      <c r="V138" s="493" t="s">
        <v>641</v>
      </c>
      <c r="X138" s="492"/>
      <c r="Y138" s="443"/>
    </row>
    <row r="139" s="432" customFormat="1" ht="17.4" spans="1:25">
      <c r="A139" s="349">
        <v>4</v>
      </c>
      <c r="B139" s="350" t="s">
        <v>59</v>
      </c>
      <c r="C139" s="351">
        <v>50002962</v>
      </c>
      <c r="D139" s="434"/>
      <c r="E139" s="434" t="s">
        <v>642</v>
      </c>
      <c r="F139" s="434" t="s">
        <v>643</v>
      </c>
      <c r="G139" s="434" t="s">
        <v>390</v>
      </c>
      <c r="H139" s="434" t="s">
        <v>391</v>
      </c>
      <c r="I139" s="434">
        <v>6286</v>
      </c>
      <c r="J139" s="456">
        <v>35</v>
      </c>
      <c r="K139" s="457">
        <f>Table_Household_Alloc[[#This Row],[Unit Entitlement]]/1000</f>
        <v>0.035</v>
      </c>
      <c r="L139" s="437">
        <f t="shared" si="2"/>
        <v>8.12</v>
      </c>
      <c r="M139" s="458" t="str">
        <f>CONCATENATE("Symo ",Table_Household_Alloc[[#This Row],[Export Capacity (kW)]])</f>
        <v>Symo 5</v>
      </c>
      <c r="N139" s="438">
        <f>IF(Table_Household_Alloc[[#This Row],[PV Installed]]="Y",1,0)*Table_Household_Alloc[[#This Row],[Calculated Battery Allocation (kWh)]]</f>
        <v>8.12</v>
      </c>
      <c r="O139" s="432">
        <v>5</v>
      </c>
      <c r="P139" s="434" t="s">
        <v>222</v>
      </c>
      <c r="Q139" s="434" t="s">
        <v>222</v>
      </c>
      <c r="R139" s="434" t="s">
        <v>222</v>
      </c>
      <c r="S139" s="434" t="s">
        <v>235</v>
      </c>
      <c r="T139" s="490" t="s">
        <v>644</v>
      </c>
      <c r="U139" s="440"/>
      <c r="V139" s="493" t="s">
        <v>586</v>
      </c>
      <c r="X139" s="494">
        <v>45040</v>
      </c>
      <c r="Y139" s="443" t="s">
        <v>228</v>
      </c>
    </row>
    <row r="140" s="432" customFormat="1" ht="17.4" spans="1:25">
      <c r="A140" s="349">
        <v>5</v>
      </c>
      <c r="B140" s="350" t="s">
        <v>59</v>
      </c>
      <c r="C140" s="376"/>
      <c r="D140" s="434"/>
      <c r="E140" s="434" t="s">
        <v>645</v>
      </c>
      <c r="F140" s="434" t="s">
        <v>646</v>
      </c>
      <c r="G140" s="434" t="s">
        <v>390</v>
      </c>
      <c r="H140" s="434" t="s">
        <v>391</v>
      </c>
      <c r="I140" s="434">
        <v>6286</v>
      </c>
      <c r="J140" s="456">
        <v>35</v>
      </c>
      <c r="K140" s="457">
        <f>Table_Household_Alloc[[#This Row],[Unit Entitlement]]/1000</f>
        <v>0.035</v>
      </c>
      <c r="L140" s="437">
        <f t="shared" si="2"/>
        <v>8.12</v>
      </c>
      <c r="M140" s="458"/>
      <c r="N140" s="438">
        <f>IF(Table_Household_Alloc[[#This Row],[PV Installed]]="Y",1,0)*Table_Household_Alloc[[#This Row],[Calculated Battery Allocation (kWh)]]</f>
        <v>0</v>
      </c>
      <c r="P140" s="434"/>
      <c r="Q140" s="434"/>
      <c r="R140" s="434"/>
      <c r="S140" s="434" t="s">
        <v>308</v>
      </c>
      <c r="T140" s="490" t="s">
        <v>647</v>
      </c>
      <c r="U140" s="440"/>
      <c r="V140" s="493" t="s">
        <v>648</v>
      </c>
      <c r="X140" s="492"/>
      <c r="Y140" s="443"/>
    </row>
    <row r="141" s="432" customFormat="1" ht="17.4" spans="1:25">
      <c r="A141" s="349">
        <v>6</v>
      </c>
      <c r="B141" s="350" t="s">
        <v>59</v>
      </c>
      <c r="C141" s="376"/>
      <c r="D141" s="434"/>
      <c r="E141" s="434" t="s">
        <v>649</v>
      </c>
      <c r="F141" s="434" t="s">
        <v>650</v>
      </c>
      <c r="G141" s="434" t="s">
        <v>390</v>
      </c>
      <c r="H141" s="434" t="s">
        <v>391</v>
      </c>
      <c r="I141" s="434">
        <v>6286</v>
      </c>
      <c r="J141" s="456">
        <v>29</v>
      </c>
      <c r="K141" s="457">
        <f>Table_Household_Alloc[[#This Row],[Unit Entitlement]]/1000</f>
        <v>0.029</v>
      </c>
      <c r="L141" s="437">
        <f t="shared" si="2"/>
        <v>6.728</v>
      </c>
      <c r="M141" s="458"/>
      <c r="N141" s="438">
        <f>IF(Table_Household_Alloc[[#This Row],[PV Installed]]="Y",1,0)*Table_Household_Alloc[[#This Row],[Calculated Battery Allocation (kWh)]]</f>
        <v>0</v>
      </c>
      <c r="P141" s="434"/>
      <c r="Q141" s="434"/>
      <c r="R141" s="434"/>
      <c r="S141" s="434" t="s">
        <v>308</v>
      </c>
      <c r="T141" s="490" t="s">
        <v>651</v>
      </c>
      <c r="U141" s="440"/>
      <c r="V141" s="493" t="s">
        <v>652</v>
      </c>
      <c r="X141" s="492"/>
      <c r="Y141" s="443"/>
    </row>
    <row r="142" s="432" customFormat="1" ht="17.4" spans="1:25">
      <c r="A142" s="349">
        <v>7</v>
      </c>
      <c r="B142" s="350" t="s">
        <v>59</v>
      </c>
      <c r="C142" s="351">
        <v>50003423</v>
      </c>
      <c r="D142" s="434"/>
      <c r="E142" s="434" t="s">
        <v>653</v>
      </c>
      <c r="F142" s="434" t="s">
        <v>654</v>
      </c>
      <c r="G142" s="434" t="s">
        <v>390</v>
      </c>
      <c r="H142" s="434" t="s">
        <v>391</v>
      </c>
      <c r="I142" s="434">
        <v>6286</v>
      </c>
      <c r="J142" s="456">
        <v>31</v>
      </c>
      <c r="K142" s="457">
        <f>Table_Household_Alloc[[#This Row],[Unit Entitlement]]/1000</f>
        <v>0.031</v>
      </c>
      <c r="L142" s="437">
        <f t="shared" si="2"/>
        <v>7.192</v>
      </c>
      <c r="M142" s="458" t="str">
        <f>CONCATENATE("Symo ",Table_Household_Alloc[[#This Row],[Export Capacity (kW)]])</f>
        <v>Symo 5</v>
      </c>
      <c r="N142" s="438">
        <f>IF(Table_Household_Alloc[[#This Row],[PV Installed]]="Y",1,0)*Table_Household_Alloc[[#This Row],[Calculated Battery Allocation (kWh)]]</f>
        <v>7.192</v>
      </c>
      <c r="O142" s="432">
        <v>5</v>
      </c>
      <c r="P142" s="434" t="s">
        <v>222</v>
      </c>
      <c r="Q142" s="434" t="s">
        <v>222</v>
      </c>
      <c r="R142" s="434" t="s">
        <v>222</v>
      </c>
      <c r="S142" s="434" t="s">
        <v>235</v>
      </c>
      <c r="T142" s="490" t="s">
        <v>655</v>
      </c>
      <c r="U142" s="440"/>
      <c r="V142" s="493" t="s">
        <v>656</v>
      </c>
      <c r="X142" s="495">
        <v>45295</v>
      </c>
      <c r="Y142" s="443" t="s">
        <v>228</v>
      </c>
    </row>
    <row r="143" s="432" customFormat="1" ht="17.4" spans="1:25">
      <c r="A143" s="349">
        <v>8</v>
      </c>
      <c r="B143" s="350" t="s">
        <v>59</v>
      </c>
      <c r="C143" s="376"/>
      <c r="D143" s="434"/>
      <c r="E143" s="434" t="s">
        <v>657</v>
      </c>
      <c r="F143" s="434" t="s">
        <v>658</v>
      </c>
      <c r="G143" s="434" t="s">
        <v>390</v>
      </c>
      <c r="H143" s="434" t="s">
        <v>391</v>
      </c>
      <c r="I143" s="434">
        <v>6286</v>
      </c>
      <c r="J143" s="456">
        <v>31</v>
      </c>
      <c r="K143" s="457">
        <f>Table_Household_Alloc[[#This Row],[Unit Entitlement]]/1000</f>
        <v>0.031</v>
      </c>
      <c r="L143" s="437">
        <f t="shared" si="2"/>
        <v>7.192</v>
      </c>
      <c r="M143" s="458"/>
      <c r="N143" s="438">
        <f>IF(Table_Household_Alloc[[#This Row],[PV Installed]]="Y",1,0)*Table_Household_Alloc[[#This Row],[Calculated Battery Allocation (kWh)]]</f>
        <v>0</v>
      </c>
      <c r="P143" s="434"/>
      <c r="Q143" s="434"/>
      <c r="R143" s="434"/>
      <c r="S143" s="434" t="s">
        <v>308</v>
      </c>
      <c r="T143" s="496" t="s">
        <v>659</v>
      </c>
      <c r="U143" s="440"/>
      <c r="V143" s="493" t="s">
        <v>660</v>
      </c>
      <c r="X143" s="492"/>
      <c r="Y143" s="443"/>
    </row>
    <row r="144" s="432" customFormat="1" ht="17.4" spans="1:25">
      <c r="A144" s="349">
        <v>9</v>
      </c>
      <c r="B144" s="350" t="s">
        <v>59</v>
      </c>
      <c r="C144" s="354"/>
      <c r="D144" s="434"/>
      <c r="E144" s="434" t="s">
        <v>661</v>
      </c>
      <c r="F144" s="434" t="s">
        <v>662</v>
      </c>
      <c r="G144" s="434" t="s">
        <v>390</v>
      </c>
      <c r="H144" s="434" t="s">
        <v>391</v>
      </c>
      <c r="I144" s="434">
        <v>6286</v>
      </c>
      <c r="J144" s="456">
        <v>45</v>
      </c>
      <c r="K144" s="457">
        <f>Table_Household_Alloc[[#This Row],[Unit Entitlement]]/1000</f>
        <v>0.045</v>
      </c>
      <c r="L144" s="437">
        <f t="shared" si="2"/>
        <v>10.44</v>
      </c>
      <c r="M144" s="458"/>
      <c r="N144" s="438">
        <f>IF(Table_Household_Alloc[[#This Row],[PV Installed]]="Y",1,0)*Table_Household_Alloc[[#This Row],[Calculated Battery Allocation (kWh)]]</f>
        <v>0</v>
      </c>
      <c r="P144" s="434"/>
      <c r="Q144" s="434"/>
      <c r="R144" s="434"/>
      <c r="S144" s="434" t="s">
        <v>224</v>
      </c>
      <c r="T144" s="490" t="s">
        <v>663</v>
      </c>
      <c r="U144" s="440"/>
      <c r="V144" s="493" t="s">
        <v>664</v>
      </c>
      <c r="X144" s="492"/>
      <c r="Y144" s="443"/>
    </row>
    <row r="145" s="432" customFormat="1" ht="17.4" spans="1:25">
      <c r="A145" s="349">
        <v>10</v>
      </c>
      <c r="B145" s="350" t="s">
        <v>59</v>
      </c>
      <c r="C145" s="354"/>
      <c r="D145" s="434"/>
      <c r="E145" s="434" t="s">
        <v>665</v>
      </c>
      <c r="F145" s="434" t="s">
        <v>666</v>
      </c>
      <c r="G145" s="434" t="s">
        <v>390</v>
      </c>
      <c r="H145" s="434" t="s">
        <v>391</v>
      </c>
      <c r="I145" s="434">
        <v>6286</v>
      </c>
      <c r="J145" s="456">
        <v>45</v>
      </c>
      <c r="K145" s="457">
        <f>Table_Household_Alloc[[#This Row],[Unit Entitlement]]/1000</f>
        <v>0.045</v>
      </c>
      <c r="L145" s="437">
        <f t="shared" si="2"/>
        <v>10.44</v>
      </c>
      <c r="M145" s="458"/>
      <c r="N145" s="438">
        <f>IF(Table_Household_Alloc[[#This Row],[PV Installed]]="Y",1,0)*Table_Household_Alloc[[#This Row],[Calculated Battery Allocation (kWh)]]</f>
        <v>0</v>
      </c>
      <c r="P145" s="434"/>
      <c r="Q145" s="434"/>
      <c r="R145" s="434"/>
      <c r="S145" s="434" t="s">
        <v>308</v>
      </c>
      <c r="T145" s="490" t="s">
        <v>667</v>
      </c>
      <c r="U145" s="440"/>
      <c r="V145" s="493" t="s">
        <v>668</v>
      </c>
      <c r="X145" s="492"/>
      <c r="Y145" s="443"/>
    </row>
    <row r="146" s="432" customFormat="1" ht="17.4" spans="1:25">
      <c r="A146" s="349">
        <v>11</v>
      </c>
      <c r="B146" s="350" t="s">
        <v>59</v>
      </c>
      <c r="C146" s="376"/>
      <c r="D146" s="434"/>
      <c r="E146" s="434" t="s">
        <v>669</v>
      </c>
      <c r="F146" s="434" t="s">
        <v>670</v>
      </c>
      <c r="G146" s="434" t="s">
        <v>390</v>
      </c>
      <c r="H146" s="434" t="s">
        <v>391</v>
      </c>
      <c r="I146" s="434">
        <v>6286</v>
      </c>
      <c r="J146" s="456">
        <v>45</v>
      </c>
      <c r="K146" s="457">
        <f>Table_Household_Alloc[[#This Row],[Unit Entitlement]]/1000</f>
        <v>0.045</v>
      </c>
      <c r="L146" s="437">
        <f t="shared" si="2"/>
        <v>10.44</v>
      </c>
      <c r="M146" s="458"/>
      <c r="N146" s="438">
        <f>IF(Table_Household_Alloc[[#This Row],[PV Installed]]="Y",1,0)*Table_Household_Alloc[[#This Row],[Calculated Battery Allocation (kWh)]]</f>
        <v>0</v>
      </c>
      <c r="P146" s="434"/>
      <c r="Q146" s="434"/>
      <c r="R146" s="434"/>
      <c r="S146" s="434" t="s">
        <v>224</v>
      </c>
      <c r="T146" s="490" t="s">
        <v>671</v>
      </c>
      <c r="U146" s="440"/>
      <c r="V146" s="493" t="s">
        <v>672</v>
      </c>
      <c r="X146" s="492"/>
      <c r="Y146" s="443"/>
    </row>
    <row r="147" s="432" customFormat="1" ht="17.4" spans="1:25">
      <c r="A147" s="349">
        <v>12</v>
      </c>
      <c r="B147" s="350" t="s">
        <v>59</v>
      </c>
      <c r="C147" s="354"/>
      <c r="D147" s="434"/>
      <c r="E147" s="434" t="s">
        <v>673</v>
      </c>
      <c r="F147" s="434" t="s">
        <v>674</v>
      </c>
      <c r="G147" s="434" t="s">
        <v>390</v>
      </c>
      <c r="H147" s="434" t="s">
        <v>391</v>
      </c>
      <c r="I147" s="434">
        <v>6286</v>
      </c>
      <c r="J147" s="456">
        <v>45</v>
      </c>
      <c r="K147" s="457">
        <f>Table_Household_Alloc[[#This Row],[Unit Entitlement]]/1000</f>
        <v>0.045</v>
      </c>
      <c r="L147" s="437">
        <f t="shared" si="2"/>
        <v>10.44</v>
      </c>
      <c r="M147" s="458"/>
      <c r="N147" s="438">
        <f>IF(Table_Household_Alloc[[#This Row],[PV Installed]]="Y",1,0)*Table_Household_Alloc[[#This Row],[Calculated Battery Allocation (kWh)]]</f>
        <v>0</v>
      </c>
      <c r="P147" s="434"/>
      <c r="Q147" s="434"/>
      <c r="R147" s="434"/>
      <c r="S147" s="434" t="s">
        <v>224</v>
      </c>
      <c r="T147" s="490" t="s">
        <v>675</v>
      </c>
      <c r="U147" s="440"/>
      <c r="V147" s="493" t="s">
        <v>676</v>
      </c>
      <c r="X147" s="492"/>
      <c r="Y147" s="443"/>
    </row>
    <row r="148" s="432" customFormat="1" ht="17.4" spans="1:25">
      <c r="A148" s="349">
        <v>13</v>
      </c>
      <c r="B148" s="350" t="s">
        <v>59</v>
      </c>
      <c r="C148" s="376"/>
      <c r="D148" s="434"/>
      <c r="E148" s="434" t="s">
        <v>677</v>
      </c>
      <c r="F148" s="434" t="s">
        <v>678</v>
      </c>
      <c r="G148" s="434" t="s">
        <v>390</v>
      </c>
      <c r="H148" s="434" t="s">
        <v>391</v>
      </c>
      <c r="I148" s="434">
        <v>6286</v>
      </c>
      <c r="J148" s="456">
        <v>45</v>
      </c>
      <c r="K148" s="457">
        <f>Table_Household_Alloc[[#This Row],[Unit Entitlement]]/1000</f>
        <v>0.045</v>
      </c>
      <c r="L148" s="437">
        <f t="shared" si="2"/>
        <v>10.44</v>
      </c>
      <c r="M148" s="458"/>
      <c r="N148" s="438">
        <f>IF(Table_Household_Alloc[[#This Row],[PV Installed]]="Y",1,0)*Table_Household_Alloc[[#This Row],[Calculated Battery Allocation (kWh)]]</f>
        <v>0</v>
      </c>
      <c r="P148" s="434"/>
      <c r="Q148" s="434"/>
      <c r="R148" s="434"/>
      <c r="S148" s="434" t="s">
        <v>308</v>
      </c>
      <c r="T148" s="490"/>
      <c r="U148" s="440"/>
      <c r="V148" s="493" t="s">
        <v>679</v>
      </c>
      <c r="X148" s="492"/>
      <c r="Y148" s="443"/>
    </row>
    <row r="149" s="432" customFormat="1" ht="30" spans="1:25">
      <c r="A149" s="349">
        <v>14</v>
      </c>
      <c r="B149" s="350" t="s">
        <v>59</v>
      </c>
      <c r="C149" s="354"/>
      <c r="D149" s="434"/>
      <c r="E149" s="434" t="s">
        <v>680</v>
      </c>
      <c r="F149" s="434" t="s">
        <v>681</v>
      </c>
      <c r="G149" s="434" t="s">
        <v>390</v>
      </c>
      <c r="H149" s="434" t="s">
        <v>391</v>
      </c>
      <c r="I149" s="434">
        <v>6286</v>
      </c>
      <c r="J149" s="456">
        <v>45</v>
      </c>
      <c r="K149" s="457">
        <f>Table_Household_Alloc[[#This Row],[Unit Entitlement]]/1000</f>
        <v>0.045</v>
      </c>
      <c r="L149" s="437">
        <f t="shared" si="2"/>
        <v>10.44</v>
      </c>
      <c r="M149" s="458"/>
      <c r="N149" s="438">
        <f>IF(Table_Household_Alloc[[#This Row],[PV Installed]]="Y",1,0)*Table_Household_Alloc[[#This Row],[Calculated Battery Allocation (kWh)]]</f>
        <v>0</v>
      </c>
      <c r="P149" s="434"/>
      <c r="Q149" s="434"/>
      <c r="R149" s="434"/>
      <c r="S149" s="434" t="s">
        <v>308</v>
      </c>
      <c r="T149" s="490" t="s">
        <v>682</v>
      </c>
      <c r="U149" s="440"/>
      <c r="V149" s="493" t="s">
        <v>683</v>
      </c>
      <c r="X149" s="492"/>
      <c r="Y149" s="443"/>
    </row>
    <row r="150" s="432" customFormat="1" ht="17.4" spans="1:25">
      <c r="A150" s="349">
        <v>15</v>
      </c>
      <c r="B150" s="350" t="s">
        <v>59</v>
      </c>
      <c r="C150" s="376"/>
      <c r="D150" s="434"/>
      <c r="E150" s="434" t="s">
        <v>684</v>
      </c>
      <c r="F150" s="434" t="s">
        <v>685</v>
      </c>
      <c r="G150" s="434" t="s">
        <v>390</v>
      </c>
      <c r="H150" s="434" t="s">
        <v>391</v>
      </c>
      <c r="I150" s="434">
        <v>6286</v>
      </c>
      <c r="J150" s="456">
        <v>21</v>
      </c>
      <c r="K150" s="457">
        <f>Table_Household_Alloc[[#This Row],[Unit Entitlement]]/1000</f>
        <v>0.021</v>
      </c>
      <c r="L150" s="437">
        <f t="shared" si="2"/>
        <v>4.872</v>
      </c>
      <c r="M150" s="458"/>
      <c r="N150" s="438">
        <f>IF(Table_Household_Alloc[[#This Row],[PV Installed]]="Y",1,0)*Table_Household_Alloc[[#This Row],[Calculated Battery Allocation (kWh)]]</f>
        <v>0</v>
      </c>
      <c r="P150" s="434"/>
      <c r="Q150" s="434"/>
      <c r="R150" s="434"/>
      <c r="S150" s="434" t="s">
        <v>235</v>
      </c>
      <c r="T150" s="490" t="s">
        <v>686</v>
      </c>
      <c r="U150" s="440"/>
      <c r="V150" s="493" t="s">
        <v>154</v>
      </c>
      <c r="X150" s="495">
        <v>45008</v>
      </c>
      <c r="Y150" s="443" t="s">
        <v>228</v>
      </c>
    </row>
    <row r="151" s="432" customFormat="1" ht="17.4" spans="1:25">
      <c r="A151" s="349">
        <v>16</v>
      </c>
      <c r="B151" s="350" t="s">
        <v>59</v>
      </c>
      <c r="C151" s="376"/>
      <c r="D151" s="434"/>
      <c r="E151" s="434" t="s">
        <v>687</v>
      </c>
      <c r="F151" s="434" t="s">
        <v>688</v>
      </c>
      <c r="G151" s="434" t="s">
        <v>390</v>
      </c>
      <c r="H151" s="434" t="s">
        <v>391</v>
      </c>
      <c r="I151" s="434">
        <v>6286</v>
      </c>
      <c r="J151" s="456">
        <v>22</v>
      </c>
      <c r="K151" s="457">
        <f>Table_Household_Alloc[[#This Row],[Unit Entitlement]]/1000</f>
        <v>0.022</v>
      </c>
      <c r="L151" s="437">
        <f t="shared" si="2"/>
        <v>5.104</v>
      </c>
      <c r="M151" s="458"/>
      <c r="N151" s="438">
        <f>IF(Table_Household_Alloc[[#This Row],[PV Installed]]="Y",1,0)*Table_Household_Alloc[[#This Row],[Calculated Battery Allocation (kWh)]]</f>
        <v>0</v>
      </c>
      <c r="P151" s="434"/>
      <c r="Q151" s="434"/>
      <c r="R151" s="434"/>
      <c r="S151" s="434" t="s">
        <v>235</v>
      </c>
      <c r="T151" s="496" t="s">
        <v>689</v>
      </c>
      <c r="U151" s="440"/>
      <c r="V151" s="493" t="s">
        <v>690</v>
      </c>
      <c r="X151" s="497">
        <v>45323</v>
      </c>
      <c r="Y151" s="443" t="s">
        <v>228</v>
      </c>
    </row>
    <row r="152" s="432" customFormat="1" ht="17.4" spans="1:25">
      <c r="A152" s="349">
        <v>17</v>
      </c>
      <c r="B152" s="350" t="s">
        <v>59</v>
      </c>
      <c r="C152" s="376"/>
      <c r="D152" s="434"/>
      <c r="E152" s="434" t="s">
        <v>691</v>
      </c>
      <c r="F152" s="434" t="s">
        <v>692</v>
      </c>
      <c r="G152" s="434" t="s">
        <v>390</v>
      </c>
      <c r="H152" s="434" t="s">
        <v>391</v>
      </c>
      <c r="I152" s="434">
        <v>6286</v>
      </c>
      <c r="J152" s="456">
        <v>22</v>
      </c>
      <c r="K152" s="457">
        <f>Table_Household_Alloc[[#This Row],[Unit Entitlement]]/1000</f>
        <v>0.022</v>
      </c>
      <c r="L152" s="437">
        <f t="shared" si="2"/>
        <v>5.104</v>
      </c>
      <c r="M152" s="458"/>
      <c r="N152" s="438">
        <f>IF(Table_Household_Alloc[[#This Row],[PV Installed]]="Y",1,0)*Table_Household_Alloc[[#This Row],[Calculated Battery Allocation (kWh)]]</f>
        <v>0</v>
      </c>
      <c r="P152" s="434"/>
      <c r="Q152" s="434"/>
      <c r="R152" s="434"/>
      <c r="S152" s="434" t="s">
        <v>308</v>
      </c>
      <c r="T152" s="490" t="s">
        <v>693</v>
      </c>
      <c r="U152" s="440"/>
      <c r="V152" s="493" t="s">
        <v>694</v>
      </c>
      <c r="X152" s="492"/>
      <c r="Y152" s="443"/>
    </row>
    <row r="153" s="432" customFormat="1" ht="17.4" spans="1:25">
      <c r="A153" s="349">
        <v>18</v>
      </c>
      <c r="B153" s="350" t="s">
        <v>59</v>
      </c>
      <c r="C153" s="354"/>
      <c r="D153" s="434"/>
      <c r="E153" s="434" t="s">
        <v>695</v>
      </c>
      <c r="F153" s="434" t="s">
        <v>696</v>
      </c>
      <c r="G153" s="434" t="s">
        <v>390</v>
      </c>
      <c r="H153" s="434" t="s">
        <v>391</v>
      </c>
      <c r="I153" s="434">
        <v>6286</v>
      </c>
      <c r="J153" s="456">
        <v>22</v>
      </c>
      <c r="K153" s="457">
        <f>Table_Household_Alloc[[#This Row],[Unit Entitlement]]/1000</f>
        <v>0.022</v>
      </c>
      <c r="L153" s="437">
        <f t="shared" si="2"/>
        <v>5.104</v>
      </c>
      <c r="M153" s="458"/>
      <c r="N153" s="438">
        <f>IF(Table_Household_Alloc[[#This Row],[PV Installed]]="Y",1,0)*Table_Household_Alloc[[#This Row],[Calculated Battery Allocation (kWh)]]</f>
        <v>0</v>
      </c>
      <c r="P153" s="434"/>
      <c r="Q153" s="434"/>
      <c r="R153" s="434"/>
      <c r="S153" s="434" t="s">
        <v>235</v>
      </c>
      <c r="T153" s="490" t="s">
        <v>697</v>
      </c>
      <c r="U153" s="440"/>
      <c r="V153" s="493" t="s">
        <v>698</v>
      </c>
      <c r="X153" s="492">
        <v>45504</v>
      </c>
      <c r="Y153" s="443" t="s">
        <v>228</v>
      </c>
    </row>
    <row r="154" s="432" customFormat="1" ht="17.4" spans="1:25">
      <c r="A154" s="349">
        <v>19</v>
      </c>
      <c r="B154" s="350" t="s">
        <v>59</v>
      </c>
      <c r="C154" s="351">
        <v>50003387</v>
      </c>
      <c r="D154" s="434"/>
      <c r="E154" s="434" t="s">
        <v>699</v>
      </c>
      <c r="F154" s="434" t="s">
        <v>700</v>
      </c>
      <c r="G154" s="434" t="s">
        <v>390</v>
      </c>
      <c r="H154" s="434" t="s">
        <v>391</v>
      </c>
      <c r="I154" s="434">
        <v>6286</v>
      </c>
      <c r="J154" s="456">
        <v>24</v>
      </c>
      <c r="K154" s="457">
        <f>Table_Household_Alloc[[#This Row],[Unit Entitlement]]/1000</f>
        <v>0.024</v>
      </c>
      <c r="L154" s="437">
        <f t="shared" si="2"/>
        <v>5.568</v>
      </c>
      <c r="M154" s="458" t="str">
        <f>CONCATENATE("Symo ",Table_Household_Alloc[[#This Row],[Export Capacity (kW)]])</f>
        <v>Symo 5</v>
      </c>
      <c r="N154" s="438">
        <f>IF(Table_Household_Alloc[[#This Row],[PV Installed]]="Y",1,0)*Table_Household_Alloc[[#This Row],[Calculated Battery Allocation (kWh)]]</f>
        <v>5.568</v>
      </c>
      <c r="O154" s="432">
        <v>5</v>
      </c>
      <c r="P154" s="434" t="s">
        <v>222</v>
      </c>
      <c r="Q154" s="434" t="s">
        <v>222</v>
      </c>
      <c r="R154" s="434" t="s">
        <v>222</v>
      </c>
      <c r="S154" s="434" t="s">
        <v>235</v>
      </c>
      <c r="T154" s="490" t="s">
        <v>701</v>
      </c>
      <c r="U154" s="440"/>
      <c r="V154" s="493" t="s">
        <v>702</v>
      </c>
      <c r="X154" s="498">
        <v>45044</v>
      </c>
      <c r="Y154" s="443" t="s">
        <v>228</v>
      </c>
    </row>
    <row r="155" s="432" customFormat="1" ht="17.4" spans="1:25">
      <c r="A155" s="349">
        <v>20</v>
      </c>
      <c r="B155" s="350" t="s">
        <v>59</v>
      </c>
      <c r="C155" s="376"/>
      <c r="D155" s="434"/>
      <c r="E155" s="434" t="s">
        <v>703</v>
      </c>
      <c r="F155" s="434" t="s">
        <v>704</v>
      </c>
      <c r="G155" s="434" t="s">
        <v>390</v>
      </c>
      <c r="H155" s="434" t="s">
        <v>391</v>
      </c>
      <c r="I155" s="434">
        <v>6286</v>
      </c>
      <c r="J155" s="456">
        <v>51</v>
      </c>
      <c r="K155" s="457">
        <f>Table_Household_Alloc[[#This Row],[Unit Entitlement]]/1000</f>
        <v>0.051</v>
      </c>
      <c r="L155" s="437">
        <f t="shared" ref="L155:L187" si="5">J155/1000*232</f>
        <v>11.832</v>
      </c>
      <c r="M155" s="458"/>
      <c r="N155" s="438">
        <f>IF(Table_Household_Alloc[[#This Row],[PV Installed]]="Y",1,0)*Table_Household_Alloc[[#This Row],[Calculated Battery Allocation (kWh)]]</f>
        <v>0</v>
      </c>
      <c r="P155" s="434"/>
      <c r="Q155" s="434"/>
      <c r="R155" s="434"/>
      <c r="S155" s="434" t="s">
        <v>224</v>
      </c>
      <c r="T155" s="490" t="s">
        <v>705</v>
      </c>
      <c r="U155" s="440"/>
      <c r="V155" s="493" t="s">
        <v>706</v>
      </c>
      <c r="X155" s="492"/>
      <c r="Y155" s="443"/>
    </row>
    <row r="156" s="432" customFormat="1" ht="17.4" spans="1:25">
      <c r="A156" s="349">
        <v>21</v>
      </c>
      <c r="B156" s="350" t="s">
        <v>59</v>
      </c>
      <c r="C156" s="376"/>
      <c r="D156" s="434"/>
      <c r="E156" s="434" t="s">
        <v>707</v>
      </c>
      <c r="F156" s="434" t="s">
        <v>708</v>
      </c>
      <c r="G156" s="434" t="s">
        <v>390</v>
      </c>
      <c r="H156" s="434" t="s">
        <v>391</v>
      </c>
      <c r="I156" s="434">
        <v>6286</v>
      </c>
      <c r="J156" s="456">
        <v>45</v>
      </c>
      <c r="K156" s="457">
        <f>Table_Household_Alloc[[#This Row],[Unit Entitlement]]/1000</f>
        <v>0.045</v>
      </c>
      <c r="L156" s="437">
        <f t="shared" si="5"/>
        <v>10.44</v>
      </c>
      <c r="M156" s="458"/>
      <c r="N156" s="438">
        <f>IF(Table_Household_Alloc[[#This Row],[PV Installed]]="Y",1,0)*Table_Household_Alloc[[#This Row],[Calculated Battery Allocation (kWh)]]</f>
        <v>0</v>
      </c>
      <c r="P156" s="434"/>
      <c r="Q156" s="434"/>
      <c r="R156" s="434"/>
      <c r="S156" s="434" t="s">
        <v>308</v>
      </c>
      <c r="T156" s="490" t="s">
        <v>709</v>
      </c>
      <c r="U156" s="440"/>
      <c r="V156" s="493" t="s">
        <v>710</v>
      </c>
      <c r="X156" s="492"/>
      <c r="Y156" s="443"/>
    </row>
    <row r="157" s="432" customFormat="1" ht="30" spans="1:25">
      <c r="A157" s="349">
        <v>22</v>
      </c>
      <c r="B157" s="350" t="s">
        <v>59</v>
      </c>
      <c r="C157" s="351">
        <v>50002397</v>
      </c>
      <c r="D157" s="434"/>
      <c r="E157" s="434" t="s">
        <v>711</v>
      </c>
      <c r="F157" s="434" t="s">
        <v>712</v>
      </c>
      <c r="G157" s="434" t="s">
        <v>390</v>
      </c>
      <c r="H157" s="434" t="s">
        <v>391</v>
      </c>
      <c r="I157" s="434">
        <v>6286</v>
      </c>
      <c r="J157" s="456">
        <v>44</v>
      </c>
      <c r="K157" s="457">
        <f>Table_Household_Alloc[[#This Row],[Unit Entitlement]]/1000</f>
        <v>0.044</v>
      </c>
      <c r="L157" s="437">
        <f t="shared" si="5"/>
        <v>10.208</v>
      </c>
      <c r="M157" s="458" t="str">
        <f>CONCATENATE("Symo ",Table_Household_Alloc[[#This Row],[Export Capacity (kW)]])</f>
        <v>Symo 5</v>
      </c>
      <c r="N157" s="438">
        <f>IF(Table_Household_Alloc[[#This Row],[PV Installed]]="Y",1,0)*Table_Household_Alloc[[#This Row],[Calculated Battery Allocation (kWh)]]</f>
        <v>10.208</v>
      </c>
      <c r="O157" s="432">
        <v>5</v>
      </c>
      <c r="P157" s="434" t="s">
        <v>222</v>
      </c>
      <c r="Q157" s="434" t="s">
        <v>222</v>
      </c>
      <c r="R157" s="434" t="s">
        <v>222</v>
      </c>
      <c r="S157" s="434" t="s">
        <v>235</v>
      </c>
      <c r="T157" s="490" t="s">
        <v>713</v>
      </c>
      <c r="U157" s="440"/>
      <c r="V157" s="493" t="s">
        <v>714</v>
      </c>
      <c r="X157" s="499">
        <v>45412</v>
      </c>
      <c r="Y157" s="443" t="s">
        <v>228</v>
      </c>
    </row>
    <row r="158" s="432" customFormat="1" ht="17.4" spans="1:25">
      <c r="A158" s="349">
        <v>23</v>
      </c>
      <c r="B158" s="350" t="s">
        <v>59</v>
      </c>
      <c r="C158" s="376"/>
      <c r="D158" s="434"/>
      <c r="E158" s="434" t="s">
        <v>715</v>
      </c>
      <c r="F158" s="434" t="s">
        <v>716</v>
      </c>
      <c r="G158" s="434" t="s">
        <v>390</v>
      </c>
      <c r="H158" s="434" t="s">
        <v>391</v>
      </c>
      <c r="I158" s="434">
        <v>6286</v>
      </c>
      <c r="J158" s="456">
        <v>44</v>
      </c>
      <c r="K158" s="457">
        <f>Table_Household_Alloc[[#This Row],[Unit Entitlement]]/1000</f>
        <v>0.044</v>
      </c>
      <c r="L158" s="437">
        <f t="shared" si="5"/>
        <v>10.208</v>
      </c>
      <c r="M158" s="458"/>
      <c r="N158" s="438">
        <f>IF(Table_Household_Alloc[[#This Row],[PV Installed]]="Y",1,0)*Table_Household_Alloc[[#This Row],[Calculated Battery Allocation (kWh)]]</f>
        <v>0</v>
      </c>
      <c r="P158" s="434"/>
      <c r="Q158" s="434"/>
      <c r="R158" s="434"/>
      <c r="S158" s="434" t="s">
        <v>308</v>
      </c>
      <c r="T158" s="490" t="s">
        <v>717</v>
      </c>
      <c r="U158" s="440"/>
      <c r="V158" s="493" t="s">
        <v>718</v>
      </c>
      <c r="X158" s="492"/>
      <c r="Y158" s="443"/>
    </row>
    <row r="159" s="432" customFormat="1" ht="30" spans="1:25">
      <c r="A159" s="349">
        <v>24</v>
      </c>
      <c r="B159" s="350" t="s">
        <v>59</v>
      </c>
      <c r="C159" s="351">
        <v>50002985</v>
      </c>
      <c r="D159" s="434"/>
      <c r="E159" s="434" t="s">
        <v>719</v>
      </c>
      <c r="F159" s="434" t="s">
        <v>720</v>
      </c>
      <c r="G159" s="434" t="s">
        <v>390</v>
      </c>
      <c r="H159" s="434" t="s">
        <v>391</v>
      </c>
      <c r="I159" s="434">
        <v>6286</v>
      </c>
      <c r="J159" s="456">
        <v>44</v>
      </c>
      <c r="K159" s="457">
        <f>Table_Household_Alloc[[#This Row],[Unit Entitlement]]/1000</f>
        <v>0.044</v>
      </c>
      <c r="L159" s="437">
        <f t="shared" si="5"/>
        <v>10.208</v>
      </c>
      <c r="M159" s="458" t="str">
        <f>CONCATENATE("Symo ",Table_Household_Alloc[[#This Row],[Export Capacity (kW)]])</f>
        <v>Symo 10</v>
      </c>
      <c r="N159" s="438">
        <f>IF(Table_Household_Alloc[[#This Row],[PV Installed]]="Y",1,0)*Table_Household_Alloc[[#This Row],[Calculated Battery Allocation (kWh)]]</f>
        <v>10.208</v>
      </c>
      <c r="O159" s="432">
        <v>10</v>
      </c>
      <c r="P159" s="434" t="s">
        <v>222</v>
      </c>
      <c r="Q159" s="434" t="s">
        <v>222</v>
      </c>
      <c r="R159" s="434" t="s">
        <v>222</v>
      </c>
      <c r="S159" s="434" t="s">
        <v>235</v>
      </c>
      <c r="T159" s="500" t="s">
        <v>721</v>
      </c>
      <c r="U159" s="440"/>
      <c r="V159" s="493" t="s">
        <v>722</v>
      </c>
      <c r="X159" s="499">
        <v>45058</v>
      </c>
      <c r="Y159" s="443" t="s">
        <v>228</v>
      </c>
    </row>
    <row r="160" s="432" customFormat="1" ht="17.4" spans="1:25">
      <c r="A160" s="349">
        <v>25</v>
      </c>
      <c r="B160" s="350" t="s">
        <v>59</v>
      </c>
      <c r="C160" s="351">
        <v>50002966</v>
      </c>
      <c r="D160" s="434"/>
      <c r="E160" s="434" t="s">
        <v>723</v>
      </c>
      <c r="F160" s="434" t="s">
        <v>724</v>
      </c>
      <c r="G160" s="434" t="s">
        <v>390</v>
      </c>
      <c r="H160" s="434" t="s">
        <v>391</v>
      </c>
      <c r="I160" s="434">
        <v>6286</v>
      </c>
      <c r="J160" s="456">
        <v>44</v>
      </c>
      <c r="K160" s="457">
        <f>Table_Household_Alloc[[#This Row],[Unit Entitlement]]/1000</f>
        <v>0.044</v>
      </c>
      <c r="L160" s="437">
        <f t="shared" si="5"/>
        <v>10.208</v>
      </c>
      <c r="M160" s="458" t="str">
        <f>CONCATENATE("Symo ",Table_Household_Alloc[[#This Row],[Export Capacity (kW)]])</f>
        <v>Symo 5</v>
      </c>
      <c r="N160" s="438">
        <f>IF(Table_Household_Alloc[[#This Row],[PV Installed]]="Y",1,0)*Table_Household_Alloc[[#This Row],[Calculated Battery Allocation (kWh)]]</f>
        <v>10.208</v>
      </c>
      <c r="O160" s="432">
        <v>5</v>
      </c>
      <c r="P160" s="434" t="s">
        <v>222</v>
      </c>
      <c r="Q160" s="434" t="s">
        <v>222</v>
      </c>
      <c r="R160" s="434" t="s">
        <v>222</v>
      </c>
      <c r="S160" s="434" t="s">
        <v>235</v>
      </c>
      <c r="T160" s="490" t="s">
        <v>725</v>
      </c>
      <c r="U160" s="440"/>
      <c r="V160" s="493" t="s">
        <v>726</v>
      </c>
      <c r="X160" s="492">
        <v>45219</v>
      </c>
      <c r="Y160" s="443" t="s">
        <v>228</v>
      </c>
    </row>
    <row r="161" s="432" customFormat="1" ht="17.4" spans="1:25">
      <c r="A161" s="349">
        <v>26</v>
      </c>
      <c r="B161" s="350" t="s">
        <v>59</v>
      </c>
      <c r="C161" s="374"/>
      <c r="D161" s="434"/>
      <c r="E161" s="434" t="s">
        <v>727</v>
      </c>
      <c r="F161" s="434" t="s">
        <v>728</v>
      </c>
      <c r="G161" s="434" t="s">
        <v>390</v>
      </c>
      <c r="H161" s="434" t="s">
        <v>391</v>
      </c>
      <c r="I161" s="434">
        <v>6286</v>
      </c>
      <c r="J161" s="456">
        <v>44</v>
      </c>
      <c r="K161" s="457">
        <f>Table_Household_Alloc[[#This Row],[Unit Entitlement]]/1000</f>
        <v>0.044</v>
      </c>
      <c r="L161" s="437">
        <f t="shared" si="5"/>
        <v>10.208</v>
      </c>
      <c r="M161" s="458"/>
      <c r="N161" s="438">
        <f>IF(Table_Household_Alloc[[#This Row],[PV Installed]]="Y",1,0)*Table_Household_Alloc[[#This Row],[Calculated Battery Allocation (kWh)]]</f>
        <v>0</v>
      </c>
      <c r="P161" s="434"/>
      <c r="Q161" s="434"/>
      <c r="R161" s="434"/>
      <c r="S161" s="434" t="s">
        <v>308</v>
      </c>
      <c r="T161" s="490" t="s">
        <v>729</v>
      </c>
      <c r="U161" s="440"/>
      <c r="V161" s="493" t="s">
        <v>730</v>
      </c>
      <c r="X161" s="492"/>
      <c r="Y161" s="443"/>
    </row>
    <row r="162" s="432" customFormat="1" ht="17.4" spans="1:25">
      <c r="A162" s="349">
        <v>27</v>
      </c>
      <c r="B162" s="350" t="s">
        <v>59</v>
      </c>
      <c r="C162" s="374"/>
      <c r="D162" s="434"/>
      <c r="E162" s="434" t="s">
        <v>731</v>
      </c>
      <c r="F162" s="434" t="s">
        <v>732</v>
      </c>
      <c r="G162" s="434" t="s">
        <v>390</v>
      </c>
      <c r="H162" s="434" t="s">
        <v>391</v>
      </c>
      <c r="I162" s="434">
        <v>6286</v>
      </c>
      <c r="J162" s="456">
        <v>44</v>
      </c>
      <c r="K162" s="457">
        <f>Table_Household_Alloc[[#This Row],[Unit Entitlement]]/1000</f>
        <v>0.044</v>
      </c>
      <c r="L162" s="437">
        <f t="shared" si="5"/>
        <v>10.208</v>
      </c>
      <c r="M162" s="458"/>
      <c r="N162" s="438">
        <f>IF(Table_Household_Alloc[[#This Row],[PV Installed]]="Y",1,0)*Table_Household_Alloc[[#This Row],[Calculated Battery Allocation (kWh)]]</f>
        <v>0</v>
      </c>
      <c r="P162" s="434"/>
      <c r="Q162" s="434"/>
      <c r="R162" s="434"/>
      <c r="S162" s="434" t="s">
        <v>224</v>
      </c>
      <c r="T162" s="490" t="s">
        <v>733</v>
      </c>
      <c r="U162" s="440"/>
      <c r="V162" s="493" t="s">
        <v>734</v>
      </c>
      <c r="X162" s="492"/>
      <c r="Y162" s="443"/>
    </row>
    <row r="163" s="432" customFormat="1" ht="18" spans="1:25">
      <c r="A163" s="357" t="s">
        <v>335</v>
      </c>
      <c r="B163" s="350" t="s">
        <v>59</v>
      </c>
      <c r="C163" s="351">
        <v>2911041070</v>
      </c>
      <c r="D163" s="434"/>
      <c r="E163" s="446" t="s">
        <v>336</v>
      </c>
      <c r="F163" s="433"/>
      <c r="G163" s="434"/>
      <c r="H163" s="434"/>
      <c r="I163" s="434"/>
      <c r="J163" s="435"/>
      <c r="K163" s="436">
        <f>Table_Household_Alloc[[#This Row],[Unit Entitlement]]/1000</f>
        <v>0</v>
      </c>
      <c r="L163" s="437"/>
      <c r="M163" s="434"/>
      <c r="N163" s="438">
        <f>IF(Table_Household_Alloc[[#This Row],[PV Installed]]="Y",1,0)*Table_Household_Alloc[[#This Row],[Calculated Battery Allocation (kWh)]]</f>
        <v>0</v>
      </c>
      <c r="T163" s="439"/>
      <c r="U163" s="440"/>
      <c r="V163" s="441"/>
      <c r="X163" s="442"/>
      <c r="Y163" s="443"/>
    </row>
    <row r="164" s="432" customFormat="1" ht="17.4" spans="1:25">
      <c r="A164" s="349" t="s">
        <v>337</v>
      </c>
      <c r="B164" s="350" t="s">
        <v>59</v>
      </c>
      <c r="C164" s="351">
        <v>2911041113</v>
      </c>
      <c r="D164" s="434" t="s">
        <v>338</v>
      </c>
      <c r="E164" s="446" t="s">
        <v>339</v>
      </c>
      <c r="F164" s="434"/>
      <c r="G164" s="434" t="s">
        <v>220</v>
      </c>
      <c r="H164" s="434" t="s">
        <v>221</v>
      </c>
      <c r="I164" s="434">
        <v>6286</v>
      </c>
      <c r="J164" s="452"/>
      <c r="K164" s="453">
        <f>Table_Household_Alloc[[#This Row],[Unit Entitlement]]/1000</f>
        <v>0</v>
      </c>
      <c r="L164" s="437">
        <f t="shared" ref="L164:L165" si="6">(J164/1000)*232</f>
        <v>0</v>
      </c>
      <c r="M164" s="458"/>
      <c r="N164" s="438">
        <f>IF(Table_Household_Alloc[[#This Row],[PV Installed]]="Y",1,0)*Table_Household_Alloc[[#This Row],[Calculated Battery Allocation (kWh)]]</f>
        <v>0</v>
      </c>
      <c r="P164" s="444"/>
      <c r="Q164" s="444"/>
      <c r="R164" s="434"/>
      <c r="S164" s="434"/>
      <c r="U164" s="440"/>
      <c r="X164" s="470"/>
      <c r="Y164" s="443"/>
    </row>
    <row r="165" s="432" customFormat="1" ht="17.4" spans="1:25">
      <c r="A165" s="349" t="s">
        <v>340</v>
      </c>
      <c r="B165" s="350" t="s">
        <v>59</v>
      </c>
      <c r="C165" s="354"/>
      <c r="D165" s="434" t="s">
        <v>338</v>
      </c>
      <c r="E165" s="446" t="s">
        <v>341</v>
      </c>
      <c r="F165" s="434"/>
      <c r="G165" s="434" t="s">
        <v>220</v>
      </c>
      <c r="H165" s="434" t="s">
        <v>221</v>
      </c>
      <c r="I165" s="434">
        <v>6286</v>
      </c>
      <c r="J165" s="456"/>
      <c r="K165" s="457">
        <f>Table_Household_Alloc[[#This Row],[Unit Entitlement]]/1000</f>
        <v>0</v>
      </c>
      <c r="L165" s="437">
        <f t="shared" si="6"/>
        <v>0</v>
      </c>
      <c r="M165" s="458"/>
      <c r="N165" s="438">
        <f>IF(Table_Household_Alloc[[#This Row],[PV Installed]]="Y",1,0)*Table_Household_Alloc[[#This Row],[Calculated Battery Allocation (kWh)]]</f>
        <v>0</v>
      </c>
      <c r="P165" s="444"/>
      <c r="Q165" s="444"/>
      <c r="R165" s="434"/>
      <c r="S165" s="434"/>
      <c r="U165" s="440"/>
      <c r="X165" s="470"/>
      <c r="Y165" s="443"/>
    </row>
    <row r="166" s="432" customFormat="1" ht="18" spans="1:25">
      <c r="A166" s="362" t="s">
        <v>342</v>
      </c>
      <c r="B166" s="350" t="s">
        <v>59</v>
      </c>
      <c r="C166" s="377"/>
      <c r="D166" s="434"/>
      <c r="E166" s="433"/>
      <c r="F166" s="433"/>
      <c r="G166" s="434"/>
      <c r="H166" s="434"/>
      <c r="I166" s="434"/>
      <c r="J166" s="435"/>
      <c r="K166" s="436">
        <f>Table_Household_Alloc[[#This Row],[Unit Entitlement]]/1000</f>
        <v>0</v>
      </c>
      <c r="L166" s="437"/>
      <c r="M166" s="434"/>
      <c r="N166" s="438">
        <f>IF(Table_Household_Alloc[[#This Row],[PV Installed]]="Y",1,0)*Table_Household_Alloc[[#This Row],[Calculated Battery Allocation (kWh)]]</f>
        <v>0</v>
      </c>
      <c r="T166" s="439"/>
      <c r="U166" s="440"/>
      <c r="V166" s="441"/>
      <c r="X166" s="442"/>
      <c r="Y166" s="443"/>
    </row>
    <row r="167" s="432" customFormat="1" ht="18" spans="1:25">
      <c r="A167" s="363" t="s">
        <v>343</v>
      </c>
      <c r="B167" s="350" t="s">
        <v>59</v>
      </c>
      <c r="C167" s="377"/>
      <c r="D167" s="434"/>
      <c r="E167" s="433"/>
      <c r="F167" s="433"/>
      <c r="G167" s="434"/>
      <c r="H167" s="434"/>
      <c r="I167" s="434"/>
      <c r="J167" s="435"/>
      <c r="K167" s="436">
        <f>Table_Household_Alloc[[#This Row],[Unit Entitlement]]/1000</f>
        <v>0</v>
      </c>
      <c r="L167" s="437"/>
      <c r="M167" s="434"/>
      <c r="N167" s="438">
        <f>IF(Table_Household_Alloc[[#This Row],[PV Installed]]="Y",1,0)*Table_Household_Alloc[[#This Row],[Calculated Battery Allocation (kWh)]]</f>
        <v>0</v>
      </c>
      <c r="T167" s="439"/>
      <c r="U167" s="440"/>
      <c r="V167" s="441"/>
      <c r="X167" s="442"/>
      <c r="Y167" s="443"/>
    </row>
    <row r="168" s="432" customFormat="1" ht="31.2" spans="1:25">
      <c r="A168" s="378">
        <v>1</v>
      </c>
      <c r="B168" s="350" t="s">
        <v>60</v>
      </c>
      <c r="C168" s="354"/>
      <c r="D168" s="434"/>
      <c r="E168" s="445" t="s">
        <v>735</v>
      </c>
      <c r="F168" s="445" t="s">
        <v>736</v>
      </c>
      <c r="G168" s="434" t="s">
        <v>390</v>
      </c>
      <c r="H168" s="434" t="s">
        <v>391</v>
      </c>
      <c r="I168" s="434">
        <v>6286</v>
      </c>
      <c r="J168" s="488">
        <v>82</v>
      </c>
      <c r="K168" s="436">
        <f>Table_Household_Alloc[[#This Row],[Unit Entitlement]]/1000</f>
        <v>0.082</v>
      </c>
      <c r="L168" s="437">
        <f t="shared" si="5"/>
        <v>19.024</v>
      </c>
      <c r="M168" s="434"/>
      <c r="N168" s="438">
        <f>IF(Table_Household_Alloc[[#This Row],[PV Installed]]="Y",1,0)*Table_Household_Alloc[[#This Row],[Calculated Battery Allocation (kWh)]]</f>
        <v>0</v>
      </c>
      <c r="S168" s="445" t="s">
        <v>737</v>
      </c>
      <c r="T168" s="501" t="s">
        <v>738</v>
      </c>
      <c r="U168" s="440"/>
      <c r="V168" s="502" t="s">
        <v>739</v>
      </c>
      <c r="X168" s="503"/>
      <c r="Y168" s="443"/>
    </row>
    <row r="169" s="432" customFormat="1" ht="18" spans="1:25">
      <c r="A169" s="378">
        <v>2</v>
      </c>
      <c r="B169" s="350" t="s">
        <v>60</v>
      </c>
      <c r="C169" s="354"/>
      <c r="D169" s="434"/>
      <c r="E169" s="445" t="s">
        <v>740</v>
      </c>
      <c r="F169" s="445" t="s">
        <v>741</v>
      </c>
      <c r="G169" s="434" t="s">
        <v>390</v>
      </c>
      <c r="H169" s="434" t="s">
        <v>391</v>
      </c>
      <c r="I169" s="434">
        <v>6286</v>
      </c>
      <c r="J169" s="488">
        <v>58</v>
      </c>
      <c r="K169" s="436">
        <f>Table_Household_Alloc[[#This Row],[Unit Entitlement]]/1000</f>
        <v>0.058</v>
      </c>
      <c r="L169" s="437">
        <f t="shared" si="5"/>
        <v>13.456</v>
      </c>
      <c r="M169" s="434"/>
      <c r="N169" s="438">
        <f>IF(Table_Household_Alloc[[#This Row],[PV Installed]]="Y",1,0)*Table_Household_Alloc[[#This Row],[Calculated Battery Allocation (kWh)]]</f>
        <v>0</v>
      </c>
      <c r="S169" s="432" t="s">
        <v>742</v>
      </c>
      <c r="T169" s="501" t="s">
        <v>743</v>
      </c>
      <c r="U169" s="440" t="s">
        <v>744</v>
      </c>
      <c r="V169" s="504" t="s">
        <v>745</v>
      </c>
      <c r="X169" s="503"/>
      <c r="Y169" s="443"/>
    </row>
    <row r="170" s="432" customFormat="1" ht="18" spans="1:25">
      <c r="A170" s="378">
        <v>3</v>
      </c>
      <c r="B170" s="350" t="s">
        <v>60</v>
      </c>
      <c r="C170" s="376"/>
      <c r="D170" s="434"/>
      <c r="E170" s="445" t="s">
        <v>746</v>
      </c>
      <c r="F170" s="445" t="s">
        <v>747</v>
      </c>
      <c r="G170" s="434" t="s">
        <v>390</v>
      </c>
      <c r="H170" s="434" t="s">
        <v>391</v>
      </c>
      <c r="I170" s="434">
        <v>6286</v>
      </c>
      <c r="J170" s="488">
        <v>57</v>
      </c>
      <c r="K170" s="436">
        <f>Table_Household_Alloc[[#This Row],[Unit Entitlement]]/1000</f>
        <v>0.057</v>
      </c>
      <c r="L170" s="437">
        <f t="shared" si="5"/>
        <v>13.224</v>
      </c>
      <c r="M170" s="434"/>
      <c r="N170" s="438">
        <f>IF(Table_Household_Alloc[[#This Row],[PV Installed]]="Y",1,0)*Table_Household_Alloc[[#This Row],[Calculated Battery Allocation (kWh)]]</f>
        <v>0</v>
      </c>
      <c r="S170" s="432" t="s">
        <v>308</v>
      </c>
      <c r="T170" s="501" t="s">
        <v>748</v>
      </c>
      <c r="U170" s="440" t="s">
        <v>749</v>
      </c>
      <c r="V170" s="504" t="s">
        <v>750</v>
      </c>
      <c r="X170" s="503"/>
      <c r="Y170" s="443"/>
    </row>
    <row r="171" s="432" customFormat="1" ht="30" spans="1:25">
      <c r="A171" s="378">
        <v>4</v>
      </c>
      <c r="B171" s="350" t="s">
        <v>60</v>
      </c>
      <c r="C171" s="351">
        <v>50002962</v>
      </c>
      <c r="D171" s="434"/>
      <c r="E171" s="445" t="s">
        <v>751</v>
      </c>
      <c r="F171" s="445" t="s">
        <v>752</v>
      </c>
      <c r="G171" s="434" t="s">
        <v>390</v>
      </c>
      <c r="H171" s="434" t="s">
        <v>391</v>
      </c>
      <c r="I171" s="434">
        <v>6286</v>
      </c>
      <c r="J171" s="488">
        <v>56</v>
      </c>
      <c r="K171" s="436">
        <f>Table_Household_Alloc[[#This Row],[Unit Entitlement]]/1000</f>
        <v>0.056</v>
      </c>
      <c r="L171" s="437">
        <f t="shared" si="5"/>
        <v>12.992</v>
      </c>
      <c r="M171" s="434"/>
      <c r="N171" s="438">
        <f>IF(Table_Household_Alloc[[#This Row],[PV Installed]]="Y",1,0)*Table_Household_Alloc[[#This Row],[Calculated Battery Allocation (kWh)]]</f>
        <v>0</v>
      </c>
      <c r="S171" s="432" t="s">
        <v>308</v>
      </c>
      <c r="T171" s="501" t="s">
        <v>753</v>
      </c>
      <c r="U171" s="440"/>
      <c r="V171" s="504" t="s">
        <v>754</v>
      </c>
      <c r="X171" s="503"/>
      <c r="Y171" s="443"/>
    </row>
    <row r="172" s="432" customFormat="1" ht="30" spans="1:25">
      <c r="A172" s="378">
        <v>5.2</v>
      </c>
      <c r="B172" s="350" t="s">
        <v>60</v>
      </c>
      <c r="C172" s="487"/>
      <c r="D172" s="434"/>
      <c r="E172" s="445" t="s">
        <v>755</v>
      </c>
      <c r="F172" s="445" t="s">
        <v>756</v>
      </c>
      <c r="G172" s="434" t="s">
        <v>390</v>
      </c>
      <c r="H172" s="434" t="s">
        <v>391</v>
      </c>
      <c r="I172" s="434">
        <v>6286</v>
      </c>
      <c r="J172" s="488">
        <v>55</v>
      </c>
      <c r="K172" s="436">
        <f>Table_Household_Alloc[[#This Row],[Unit Entitlement]]/1000</f>
        <v>0.055</v>
      </c>
      <c r="L172" s="437">
        <f t="shared" si="5"/>
        <v>12.76</v>
      </c>
      <c r="M172" s="434"/>
      <c r="N172" s="438">
        <f>IF(Table_Household_Alloc[[#This Row],[PV Installed]]="Y",1,0)*Table_Household_Alloc[[#This Row],[Calculated Battery Allocation (kWh)]]</f>
        <v>0</v>
      </c>
      <c r="S172" s="432" t="s">
        <v>235</v>
      </c>
      <c r="T172" s="501" t="s">
        <v>757</v>
      </c>
      <c r="U172" s="440"/>
      <c r="V172" s="504" t="s">
        <v>758</v>
      </c>
      <c r="X172" s="503">
        <v>45245</v>
      </c>
      <c r="Y172" s="508">
        <v>45546</v>
      </c>
    </row>
    <row r="173" s="432" customFormat="1" ht="18" spans="1:25">
      <c r="A173" s="378">
        <v>5</v>
      </c>
      <c r="B173" s="350" t="s">
        <v>60</v>
      </c>
      <c r="C173" s="487"/>
      <c r="D173" s="434"/>
      <c r="E173" s="445" t="s">
        <v>759</v>
      </c>
      <c r="F173" s="445" t="s">
        <v>756</v>
      </c>
      <c r="G173" s="434" t="s">
        <v>390</v>
      </c>
      <c r="H173" s="434" t="s">
        <v>391</v>
      </c>
      <c r="I173" s="434">
        <v>6286</v>
      </c>
      <c r="J173" s="488">
        <v>55</v>
      </c>
      <c r="K173" s="436">
        <f>Table_Household_Alloc[[#This Row],[Unit Entitlement]]/1000</f>
        <v>0.055</v>
      </c>
      <c r="L173" s="437">
        <f t="shared" si="5"/>
        <v>12.76</v>
      </c>
      <c r="M173" s="434"/>
      <c r="N173" s="438">
        <f>IF(Table_Household_Alloc[[#This Row],[PV Installed]]="Y",1,0)*Table_Household_Alloc[[#This Row],[Calculated Battery Allocation (kWh)]]</f>
        <v>0</v>
      </c>
      <c r="S173" s="432" t="s">
        <v>235</v>
      </c>
      <c r="T173" s="432" t="s">
        <v>760</v>
      </c>
      <c r="U173" s="440"/>
      <c r="V173" s="504" t="s">
        <v>761</v>
      </c>
      <c r="X173" s="503">
        <v>45547</v>
      </c>
      <c r="Y173" s="443" t="s">
        <v>228</v>
      </c>
    </row>
    <row r="174" s="432" customFormat="1" ht="18" spans="1:25">
      <c r="A174" s="378">
        <v>6</v>
      </c>
      <c r="B174" s="350" t="s">
        <v>60</v>
      </c>
      <c r="C174" s="376"/>
      <c r="D174" s="434"/>
      <c r="E174" s="445" t="s">
        <v>762</v>
      </c>
      <c r="F174" s="445" t="s">
        <v>763</v>
      </c>
      <c r="G174" s="434" t="s">
        <v>390</v>
      </c>
      <c r="H174" s="434" t="s">
        <v>391</v>
      </c>
      <c r="I174" s="434">
        <v>6286</v>
      </c>
      <c r="J174" s="488">
        <v>55</v>
      </c>
      <c r="K174" s="436">
        <f>Table_Household_Alloc[[#This Row],[Unit Entitlement]]/1000</f>
        <v>0.055</v>
      </c>
      <c r="L174" s="437">
        <f t="shared" si="5"/>
        <v>12.76</v>
      </c>
      <c r="M174" s="434"/>
      <c r="N174" s="438">
        <f>IF(Table_Household_Alloc[[#This Row],[PV Installed]]="Y",1,0)*Table_Household_Alloc[[#This Row],[Calculated Battery Allocation (kWh)]]</f>
        <v>0</v>
      </c>
      <c r="S174" s="432" t="s">
        <v>235</v>
      </c>
      <c r="T174" s="501" t="s">
        <v>764</v>
      </c>
      <c r="U174" s="440"/>
      <c r="V174" s="505" t="s">
        <v>765</v>
      </c>
      <c r="X174" s="503">
        <v>45547</v>
      </c>
      <c r="Y174" s="443" t="s">
        <v>228</v>
      </c>
    </row>
    <row r="175" s="432" customFormat="1" ht="18" spans="1:25">
      <c r="A175" s="378">
        <v>7</v>
      </c>
      <c r="B175" s="350" t="s">
        <v>60</v>
      </c>
      <c r="C175" s="351">
        <v>50003423</v>
      </c>
      <c r="D175" s="434"/>
      <c r="E175" s="445" t="s">
        <v>766</v>
      </c>
      <c r="F175" s="445" t="s">
        <v>767</v>
      </c>
      <c r="G175" s="434" t="s">
        <v>390</v>
      </c>
      <c r="H175" s="434" t="s">
        <v>391</v>
      </c>
      <c r="I175" s="434">
        <v>6286</v>
      </c>
      <c r="J175" s="488">
        <v>60</v>
      </c>
      <c r="K175" s="436">
        <f>Table_Household_Alloc[[#This Row],[Unit Entitlement]]/1000</f>
        <v>0.06</v>
      </c>
      <c r="L175" s="437">
        <f t="shared" si="5"/>
        <v>13.92</v>
      </c>
      <c r="M175" s="434"/>
      <c r="N175" s="438">
        <f>IF(Table_Household_Alloc[[#This Row],[PV Installed]]="Y",1,0)*Table_Household_Alloc[[#This Row],[Calculated Battery Allocation (kWh)]]</f>
        <v>0</v>
      </c>
      <c r="S175" s="432" t="s">
        <v>235</v>
      </c>
      <c r="T175" s="501" t="s">
        <v>768</v>
      </c>
      <c r="U175" s="440"/>
      <c r="V175" s="504" t="s">
        <v>769</v>
      </c>
      <c r="X175" s="503">
        <v>45247</v>
      </c>
      <c r="Y175" s="443" t="s">
        <v>228</v>
      </c>
    </row>
    <row r="176" s="432" customFormat="1" ht="18" spans="1:25">
      <c r="A176" s="378">
        <v>8</v>
      </c>
      <c r="B176" s="350" t="s">
        <v>60</v>
      </c>
      <c r="C176" s="354"/>
      <c r="D176" s="434"/>
      <c r="E176" s="445" t="s">
        <v>770</v>
      </c>
      <c r="F176" s="445" t="s">
        <v>771</v>
      </c>
      <c r="G176" s="434" t="s">
        <v>390</v>
      </c>
      <c r="H176" s="434" t="s">
        <v>391</v>
      </c>
      <c r="I176" s="434">
        <v>6286</v>
      </c>
      <c r="J176" s="488">
        <v>60</v>
      </c>
      <c r="K176" s="436">
        <f>Table_Household_Alloc[[#This Row],[Unit Entitlement]]/1000</f>
        <v>0.06</v>
      </c>
      <c r="L176" s="437">
        <f t="shared" si="5"/>
        <v>13.92</v>
      </c>
      <c r="M176" s="434"/>
      <c r="N176" s="438">
        <f>IF(Table_Household_Alloc[[#This Row],[PV Installed]]="Y",1,0)*Table_Household_Alloc[[#This Row],[Calculated Battery Allocation (kWh)]]</f>
        <v>0</v>
      </c>
      <c r="S176" s="432" t="s">
        <v>235</v>
      </c>
      <c r="T176" s="501" t="s">
        <v>772</v>
      </c>
      <c r="U176" s="440" t="s">
        <v>773</v>
      </c>
      <c r="V176" s="504" t="s">
        <v>169</v>
      </c>
      <c r="X176" s="503">
        <v>45485</v>
      </c>
      <c r="Y176" s="443" t="s">
        <v>228</v>
      </c>
    </row>
    <row r="177" s="432" customFormat="1" ht="18" spans="1:25">
      <c r="A177" s="378">
        <v>9</v>
      </c>
      <c r="B177" s="350" t="s">
        <v>60</v>
      </c>
      <c r="C177" s="354"/>
      <c r="D177" s="434"/>
      <c r="E177" s="445" t="s">
        <v>774</v>
      </c>
      <c r="F177" s="445" t="s">
        <v>775</v>
      </c>
      <c r="G177" s="434" t="s">
        <v>390</v>
      </c>
      <c r="H177" s="434" t="s">
        <v>391</v>
      </c>
      <c r="I177" s="434">
        <v>6286</v>
      </c>
      <c r="J177" s="488">
        <v>64</v>
      </c>
      <c r="K177" s="436">
        <f>Table_Household_Alloc[[#This Row],[Unit Entitlement]]/1000</f>
        <v>0.064</v>
      </c>
      <c r="L177" s="437">
        <f t="shared" si="5"/>
        <v>14.848</v>
      </c>
      <c r="M177" s="434"/>
      <c r="N177" s="438">
        <f>IF(Table_Household_Alloc[[#This Row],[PV Installed]]="Y",1,0)*Table_Household_Alloc[[#This Row],[Calculated Battery Allocation (kWh)]]</f>
        <v>0</v>
      </c>
      <c r="S177" s="432" t="s">
        <v>308</v>
      </c>
      <c r="T177" s="501" t="s">
        <v>776</v>
      </c>
      <c r="U177" s="440" t="s">
        <v>777</v>
      </c>
      <c r="V177" s="502" t="s">
        <v>778</v>
      </c>
      <c r="X177" s="503"/>
      <c r="Y177" s="443"/>
    </row>
    <row r="178" s="432" customFormat="1" ht="18" spans="1:25">
      <c r="A178" s="378">
        <v>10</v>
      </c>
      <c r="B178" s="350" t="s">
        <v>60</v>
      </c>
      <c r="C178" s="376"/>
      <c r="D178" s="434"/>
      <c r="E178" s="445" t="s">
        <v>779</v>
      </c>
      <c r="F178" s="445" t="s">
        <v>780</v>
      </c>
      <c r="G178" s="434" t="s">
        <v>390</v>
      </c>
      <c r="H178" s="434" t="s">
        <v>391</v>
      </c>
      <c r="I178" s="434">
        <v>6286</v>
      </c>
      <c r="J178" s="488">
        <v>64</v>
      </c>
      <c r="K178" s="436">
        <f>Table_Household_Alloc[[#This Row],[Unit Entitlement]]/1000</f>
        <v>0.064</v>
      </c>
      <c r="L178" s="437">
        <f t="shared" si="5"/>
        <v>14.848</v>
      </c>
      <c r="M178" s="434"/>
      <c r="N178" s="438">
        <f>IF(Table_Household_Alloc[[#This Row],[PV Installed]]="Y",1,0)*Table_Household_Alloc[[#This Row],[Calculated Battery Allocation (kWh)]]</f>
        <v>0</v>
      </c>
      <c r="S178" s="432" t="s">
        <v>742</v>
      </c>
      <c r="T178" s="501" t="s">
        <v>781</v>
      </c>
      <c r="U178" s="440"/>
      <c r="V178" s="504" t="s">
        <v>782</v>
      </c>
      <c r="X178" s="503"/>
      <c r="Y178" s="443"/>
    </row>
    <row r="179" s="432" customFormat="1" ht="18" spans="1:25">
      <c r="A179" s="378">
        <v>11</v>
      </c>
      <c r="B179" s="350" t="s">
        <v>60</v>
      </c>
      <c r="C179" s="354"/>
      <c r="D179" s="434"/>
      <c r="E179" s="445" t="s">
        <v>783</v>
      </c>
      <c r="F179" s="445" t="s">
        <v>784</v>
      </c>
      <c r="G179" s="434" t="s">
        <v>390</v>
      </c>
      <c r="H179" s="434" t="s">
        <v>391</v>
      </c>
      <c r="I179" s="434">
        <v>6286</v>
      </c>
      <c r="J179" s="488">
        <v>64</v>
      </c>
      <c r="K179" s="436">
        <f>Table_Household_Alloc[[#This Row],[Unit Entitlement]]/1000</f>
        <v>0.064</v>
      </c>
      <c r="L179" s="437">
        <f t="shared" si="5"/>
        <v>14.848</v>
      </c>
      <c r="M179" s="434"/>
      <c r="N179" s="438">
        <f>IF(Table_Household_Alloc[[#This Row],[PV Installed]]="Y",1,0)*Table_Household_Alloc[[#This Row],[Calculated Battery Allocation (kWh)]]</f>
        <v>0</v>
      </c>
      <c r="S179" s="432" t="s">
        <v>308</v>
      </c>
      <c r="T179" s="501" t="s">
        <v>785</v>
      </c>
      <c r="U179" s="440"/>
      <c r="V179" s="504" t="s">
        <v>786</v>
      </c>
      <c r="X179" s="503"/>
      <c r="Y179" s="443"/>
    </row>
    <row r="180" s="432" customFormat="1" ht="18" spans="1:25">
      <c r="A180" s="378">
        <v>12</v>
      </c>
      <c r="B180" s="350" t="s">
        <v>60</v>
      </c>
      <c r="C180" s="376"/>
      <c r="D180" s="434"/>
      <c r="E180" s="445" t="s">
        <v>787</v>
      </c>
      <c r="F180" s="445" t="s">
        <v>788</v>
      </c>
      <c r="G180" s="434" t="s">
        <v>390</v>
      </c>
      <c r="H180" s="434" t="s">
        <v>391</v>
      </c>
      <c r="I180" s="434">
        <v>6286</v>
      </c>
      <c r="J180" s="488">
        <v>64</v>
      </c>
      <c r="K180" s="436">
        <f>Table_Household_Alloc[[#This Row],[Unit Entitlement]]/1000</f>
        <v>0.064</v>
      </c>
      <c r="L180" s="437">
        <f t="shared" si="5"/>
        <v>14.848</v>
      </c>
      <c r="M180" s="434"/>
      <c r="N180" s="438">
        <f>IF(Table_Household_Alloc[[#This Row],[PV Installed]]="Y",1,0)*Table_Household_Alloc[[#This Row],[Calculated Battery Allocation (kWh)]]</f>
        <v>0</v>
      </c>
      <c r="S180" s="432" t="s">
        <v>308</v>
      </c>
      <c r="T180" s="501" t="s">
        <v>789</v>
      </c>
      <c r="U180" s="440" t="s">
        <v>790</v>
      </c>
      <c r="V180" s="504" t="s">
        <v>791</v>
      </c>
      <c r="X180" s="503"/>
      <c r="Y180" s="443"/>
    </row>
    <row r="181" s="432" customFormat="1" ht="18" spans="1:25">
      <c r="A181" s="378">
        <v>13</v>
      </c>
      <c r="B181" s="350" t="s">
        <v>60</v>
      </c>
      <c r="C181" s="354"/>
      <c r="D181" s="434"/>
      <c r="E181" s="445" t="s">
        <v>792</v>
      </c>
      <c r="F181" s="445" t="s">
        <v>793</v>
      </c>
      <c r="G181" s="434" t="s">
        <v>390</v>
      </c>
      <c r="H181" s="434" t="s">
        <v>391</v>
      </c>
      <c r="I181" s="434">
        <v>6286</v>
      </c>
      <c r="J181" s="488">
        <v>64</v>
      </c>
      <c r="K181" s="436">
        <f>Table_Household_Alloc[[#This Row],[Unit Entitlement]]/1000</f>
        <v>0.064</v>
      </c>
      <c r="L181" s="437">
        <f t="shared" si="5"/>
        <v>14.848</v>
      </c>
      <c r="M181" s="434"/>
      <c r="N181" s="438">
        <f>IF(Table_Household_Alloc[[#This Row],[PV Installed]]="Y",1,0)*Table_Household_Alloc[[#This Row],[Calculated Battery Allocation (kWh)]]</f>
        <v>0</v>
      </c>
      <c r="S181" s="432" t="s">
        <v>235</v>
      </c>
      <c r="T181" s="501" t="s">
        <v>794</v>
      </c>
      <c r="U181" s="440" t="s">
        <v>795</v>
      </c>
      <c r="V181" s="506" t="s">
        <v>163</v>
      </c>
      <c r="X181" s="611" t="s">
        <v>796</v>
      </c>
      <c r="Y181" s="443" t="s">
        <v>228</v>
      </c>
    </row>
    <row r="182" s="432" customFormat="1" ht="18" spans="1:25">
      <c r="A182" s="378">
        <v>14</v>
      </c>
      <c r="B182" s="350" t="s">
        <v>60</v>
      </c>
      <c r="C182" s="376"/>
      <c r="D182" s="434"/>
      <c r="E182" s="445" t="s">
        <v>797</v>
      </c>
      <c r="F182" s="445" t="s">
        <v>798</v>
      </c>
      <c r="G182" s="434" t="s">
        <v>390</v>
      </c>
      <c r="H182" s="434" t="s">
        <v>391</v>
      </c>
      <c r="I182" s="434">
        <v>6286</v>
      </c>
      <c r="J182" s="488">
        <v>63</v>
      </c>
      <c r="K182" s="436">
        <f>Table_Household_Alloc[[#This Row],[Unit Entitlement]]/1000</f>
        <v>0.063</v>
      </c>
      <c r="L182" s="437">
        <f t="shared" si="5"/>
        <v>14.616</v>
      </c>
      <c r="M182" s="434"/>
      <c r="N182" s="438">
        <f>IF(Table_Household_Alloc[[#This Row],[PV Installed]]="Y",1,0)*Table_Household_Alloc[[#This Row],[Calculated Battery Allocation (kWh)]]</f>
        <v>0</v>
      </c>
      <c r="S182" s="432" t="s">
        <v>224</v>
      </c>
      <c r="T182" s="501" t="s">
        <v>799</v>
      </c>
      <c r="U182" s="440" t="s">
        <v>800</v>
      </c>
      <c r="V182" s="502" t="s">
        <v>801</v>
      </c>
      <c r="X182" s="503"/>
      <c r="Y182" s="443"/>
    </row>
    <row r="183" s="432" customFormat="1" ht="18" spans="1:25">
      <c r="A183" s="378">
        <v>15</v>
      </c>
      <c r="B183" s="350" t="s">
        <v>60</v>
      </c>
      <c r="C183" s="376"/>
      <c r="D183" s="434"/>
      <c r="E183" s="445" t="s">
        <v>802</v>
      </c>
      <c r="F183" s="445" t="s">
        <v>803</v>
      </c>
      <c r="G183" s="434" t="s">
        <v>390</v>
      </c>
      <c r="H183" s="434" t="s">
        <v>391</v>
      </c>
      <c r="I183" s="434">
        <v>6286</v>
      </c>
      <c r="J183" s="488">
        <v>26</v>
      </c>
      <c r="K183" s="436">
        <f>Table_Household_Alloc[[#This Row],[Unit Entitlement]]/1000</f>
        <v>0.026</v>
      </c>
      <c r="L183" s="437">
        <f t="shared" si="5"/>
        <v>6.032</v>
      </c>
      <c r="M183" s="434"/>
      <c r="N183" s="438">
        <f>IF(Table_Household_Alloc[[#This Row],[PV Installed]]="Y",1,0)*Table_Household_Alloc[[#This Row],[Calculated Battery Allocation (kWh)]]</f>
        <v>0</v>
      </c>
      <c r="S183" s="432" t="s">
        <v>308</v>
      </c>
      <c r="T183" s="501" t="s">
        <v>804</v>
      </c>
      <c r="U183" s="440"/>
      <c r="V183" s="505" t="s">
        <v>805</v>
      </c>
      <c r="X183" s="503"/>
      <c r="Y183" s="443"/>
    </row>
    <row r="184" s="432" customFormat="1" ht="18" spans="1:25">
      <c r="A184" s="378">
        <v>16</v>
      </c>
      <c r="B184" s="350" t="s">
        <v>60</v>
      </c>
      <c r="C184" s="376"/>
      <c r="D184" s="434"/>
      <c r="E184" s="445" t="s">
        <v>806</v>
      </c>
      <c r="F184" s="445" t="s">
        <v>807</v>
      </c>
      <c r="G184" s="434" t="s">
        <v>390</v>
      </c>
      <c r="H184" s="434" t="s">
        <v>391</v>
      </c>
      <c r="I184" s="434">
        <v>6286</v>
      </c>
      <c r="J184" s="488">
        <v>26</v>
      </c>
      <c r="K184" s="436">
        <f>Table_Household_Alloc[[#This Row],[Unit Entitlement]]/1000</f>
        <v>0.026</v>
      </c>
      <c r="L184" s="437">
        <f t="shared" si="5"/>
        <v>6.032</v>
      </c>
      <c r="M184" s="434"/>
      <c r="N184" s="438">
        <f>IF(Table_Household_Alloc[[#This Row],[PV Installed]]="Y",1,0)*Table_Household_Alloc[[#This Row],[Calculated Battery Allocation (kWh)]]</f>
        <v>0</v>
      </c>
      <c r="S184" s="432" t="s">
        <v>308</v>
      </c>
      <c r="T184" s="501" t="s">
        <v>808</v>
      </c>
      <c r="U184" s="440"/>
      <c r="V184" s="505" t="s">
        <v>809</v>
      </c>
      <c r="X184" s="503"/>
      <c r="Y184" s="443"/>
    </row>
    <row r="185" s="432" customFormat="1" ht="18" spans="1:25">
      <c r="A185" s="378">
        <v>17</v>
      </c>
      <c r="B185" s="350" t="s">
        <v>60</v>
      </c>
      <c r="C185" s="354"/>
      <c r="D185" s="434"/>
      <c r="E185" s="445" t="s">
        <v>810</v>
      </c>
      <c r="F185" s="445" t="s">
        <v>811</v>
      </c>
      <c r="G185" s="434" t="s">
        <v>390</v>
      </c>
      <c r="H185" s="434" t="s">
        <v>391</v>
      </c>
      <c r="I185" s="434">
        <v>6286</v>
      </c>
      <c r="J185" s="488">
        <v>26</v>
      </c>
      <c r="K185" s="436">
        <f>Table_Household_Alloc[[#This Row],[Unit Entitlement]]/1000</f>
        <v>0.026</v>
      </c>
      <c r="L185" s="437">
        <f t="shared" si="5"/>
        <v>6.032</v>
      </c>
      <c r="M185" s="434"/>
      <c r="N185" s="438">
        <f>IF(Table_Household_Alloc[[#This Row],[PV Installed]]="Y",1,0)*Table_Household_Alloc[[#This Row],[Calculated Battery Allocation (kWh)]]</f>
        <v>0</v>
      </c>
      <c r="S185" s="432" t="s">
        <v>308</v>
      </c>
      <c r="T185" s="501" t="s">
        <v>812</v>
      </c>
      <c r="U185" s="440"/>
      <c r="V185" s="504" t="s">
        <v>813</v>
      </c>
      <c r="X185" s="503"/>
      <c r="Y185" s="443"/>
    </row>
    <row r="186" s="432" customFormat="1" ht="18" spans="1:25">
      <c r="A186" s="378">
        <v>18</v>
      </c>
      <c r="B186" s="350" t="s">
        <v>60</v>
      </c>
      <c r="C186" s="354"/>
      <c r="D186" s="434"/>
      <c r="E186" s="445" t="s">
        <v>814</v>
      </c>
      <c r="F186" s="445" t="s">
        <v>815</v>
      </c>
      <c r="G186" s="434" t="s">
        <v>390</v>
      </c>
      <c r="H186" s="434" t="s">
        <v>391</v>
      </c>
      <c r="I186" s="434">
        <v>6286</v>
      </c>
      <c r="J186" s="488">
        <v>26</v>
      </c>
      <c r="K186" s="436">
        <f>Table_Household_Alloc[[#This Row],[Unit Entitlement]]/1000</f>
        <v>0.026</v>
      </c>
      <c r="L186" s="437">
        <f t="shared" si="5"/>
        <v>6.032</v>
      </c>
      <c r="M186" s="434"/>
      <c r="N186" s="438">
        <f>IF(Table_Household_Alloc[[#This Row],[PV Installed]]="Y",1,0)*Table_Household_Alloc[[#This Row],[Calculated Battery Allocation (kWh)]]</f>
        <v>0</v>
      </c>
      <c r="S186" s="432" t="s">
        <v>224</v>
      </c>
      <c r="T186" s="501" t="s">
        <v>816</v>
      </c>
      <c r="U186" s="440"/>
      <c r="V186" s="504" t="s">
        <v>817</v>
      </c>
      <c r="X186" s="503"/>
      <c r="Y186" s="443"/>
    </row>
    <row r="187" s="432" customFormat="1" ht="18" spans="1:25">
      <c r="A187" s="378">
        <v>19</v>
      </c>
      <c r="B187" s="350" t="s">
        <v>60</v>
      </c>
      <c r="C187" s="351">
        <v>50003387</v>
      </c>
      <c r="D187" s="434"/>
      <c r="E187" s="445" t="s">
        <v>818</v>
      </c>
      <c r="F187" s="445" t="s">
        <v>819</v>
      </c>
      <c r="G187" s="434" t="s">
        <v>390</v>
      </c>
      <c r="H187" s="434" t="s">
        <v>391</v>
      </c>
      <c r="I187" s="434">
        <v>6286</v>
      </c>
      <c r="J187" s="488">
        <v>30</v>
      </c>
      <c r="K187" s="436">
        <f>Table_Household_Alloc[[#This Row],[Unit Entitlement]]/1000</f>
        <v>0.03</v>
      </c>
      <c r="L187" s="437">
        <f t="shared" si="5"/>
        <v>6.96</v>
      </c>
      <c r="M187" s="434"/>
      <c r="N187" s="438">
        <f>IF(Table_Household_Alloc[[#This Row],[PV Installed]]="Y",1,0)*Table_Household_Alloc[[#This Row],[Calculated Battery Allocation (kWh)]]</f>
        <v>0</v>
      </c>
      <c r="S187" s="432" t="s">
        <v>235</v>
      </c>
      <c r="T187" s="501" t="s">
        <v>820</v>
      </c>
      <c r="U187" s="440" t="s">
        <v>821</v>
      </c>
      <c r="V187" s="504" t="s">
        <v>822</v>
      </c>
      <c r="X187" s="611" t="s">
        <v>796</v>
      </c>
      <c r="Y187" s="443" t="s">
        <v>228</v>
      </c>
    </row>
    <row r="188" s="432" customFormat="1" ht="18" spans="1:25">
      <c r="A188" s="357" t="s">
        <v>335</v>
      </c>
      <c r="B188" s="350" t="s">
        <v>60</v>
      </c>
      <c r="C188" s="351">
        <v>2911041070</v>
      </c>
      <c r="D188" s="434"/>
      <c r="E188" s="446" t="s">
        <v>336</v>
      </c>
      <c r="F188" s="445"/>
      <c r="G188" s="434"/>
      <c r="H188" s="434"/>
      <c r="I188" s="434"/>
      <c r="J188" s="480"/>
      <c r="K188" s="436">
        <f>Table_Household_Alloc[[#This Row],[Unit Entitlement]]/1000</f>
        <v>0</v>
      </c>
      <c r="L188" s="437"/>
      <c r="M188" s="434"/>
      <c r="N188" s="438">
        <f>IF(Table_Household_Alloc[[#This Row],[PV Installed]]="Y",1,0)*Table_Household_Alloc[[#This Row],[Calculated Battery Allocation (kWh)]]</f>
        <v>0</v>
      </c>
      <c r="T188" s="439"/>
      <c r="U188" s="440"/>
      <c r="V188" s="507"/>
      <c r="X188" s="442"/>
      <c r="Y188" s="443"/>
    </row>
    <row r="189" s="432" customFormat="1" ht="17.4" spans="1:25">
      <c r="A189" s="349" t="s">
        <v>337</v>
      </c>
      <c r="B189" s="350" t="s">
        <v>60</v>
      </c>
      <c r="C189" s="351">
        <v>2911041113</v>
      </c>
      <c r="D189" s="434" t="s">
        <v>338</v>
      </c>
      <c r="E189" s="446" t="s">
        <v>339</v>
      </c>
      <c r="F189" s="434"/>
      <c r="G189" s="434" t="s">
        <v>220</v>
      </c>
      <c r="H189" s="434" t="s">
        <v>221</v>
      </c>
      <c r="I189" s="434">
        <v>6286</v>
      </c>
      <c r="J189" s="452"/>
      <c r="K189" s="453">
        <f>Table_Household_Alloc[[#This Row],[Unit Entitlement]]/1000</f>
        <v>0</v>
      </c>
      <c r="L189" s="437">
        <f t="shared" ref="L189:L190" si="7">(J189/1000)*232</f>
        <v>0</v>
      </c>
      <c r="M189" s="434"/>
      <c r="N189" s="438">
        <f>IF(Table_Household_Alloc[[#This Row],[PV Installed]]="Y",1,0)*Table_Household_Alloc[[#This Row],[Calculated Battery Allocation (kWh)]]</f>
        <v>0</v>
      </c>
      <c r="P189" s="444"/>
      <c r="Q189" s="444"/>
      <c r="R189" s="434"/>
      <c r="S189" s="434"/>
      <c r="U189" s="440"/>
      <c r="X189" s="470"/>
      <c r="Y189" s="443"/>
    </row>
    <row r="190" s="432" customFormat="1" ht="17.4" spans="1:25">
      <c r="A190" s="379" t="s">
        <v>340</v>
      </c>
      <c r="B190" s="380" t="s">
        <v>60</v>
      </c>
      <c r="C190" s="381"/>
      <c r="D190" s="434" t="s">
        <v>338</v>
      </c>
      <c r="E190" s="446" t="s">
        <v>341</v>
      </c>
      <c r="F190" s="434"/>
      <c r="G190" s="434" t="s">
        <v>220</v>
      </c>
      <c r="H190" s="434" t="s">
        <v>221</v>
      </c>
      <c r="I190" s="434">
        <v>6286</v>
      </c>
      <c r="J190" s="456"/>
      <c r="K190" s="457">
        <f>Table_Household_Alloc[[#This Row],[Unit Entitlement]]/1000</f>
        <v>0</v>
      </c>
      <c r="L190" s="437">
        <f t="shared" si="7"/>
        <v>0</v>
      </c>
      <c r="M190" s="434"/>
      <c r="N190" s="438">
        <f>IF(Table_Household_Alloc[[#This Row],[PV Installed]]="Y",1,0)*Table_Household_Alloc[[#This Row],[Calculated Battery Allocation (kWh)]]</f>
        <v>0</v>
      </c>
      <c r="P190" s="444"/>
      <c r="Q190" s="444"/>
      <c r="R190" s="434"/>
      <c r="S190" s="434"/>
      <c r="U190" s="440"/>
      <c r="X190" s="470"/>
      <c r="Y190" s="443"/>
    </row>
    <row r="191" s="432" customFormat="1" ht="18" spans="1:25">
      <c r="A191" s="362" t="s">
        <v>342</v>
      </c>
      <c r="B191" s="380" t="s">
        <v>60</v>
      </c>
      <c r="C191" s="377"/>
      <c r="D191" s="434"/>
      <c r="E191" s="433"/>
      <c r="F191" s="433"/>
      <c r="G191" s="434"/>
      <c r="H191" s="434"/>
      <c r="I191" s="434"/>
      <c r="J191" s="435"/>
      <c r="K191" s="436">
        <f>Table_Household_Alloc[[#This Row],[Unit Entitlement]]/1000</f>
        <v>0</v>
      </c>
      <c r="L191" s="437"/>
      <c r="M191" s="434"/>
      <c r="N191" s="438">
        <f>IF(Table_Household_Alloc[[#This Row],[PV Installed]]="Y",1,0)*Table_Household_Alloc[[#This Row],[Calculated Battery Allocation (kWh)]]</f>
        <v>0</v>
      </c>
      <c r="T191" s="439"/>
      <c r="U191" s="440"/>
      <c r="V191" s="441"/>
      <c r="X191" s="442"/>
      <c r="Y191" s="443"/>
    </row>
    <row r="192" s="432" customFormat="1" ht="18" spans="1:25">
      <c r="A192" s="363" t="s">
        <v>343</v>
      </c>
      <c r="B192" s="380" t="s">
        <v>60</v>
      </c>
      <c r="C192" s="383"/>
      <c r="D192" s="434"/>
      <c r="E192" s="433"/>
      <c r="F192" s="433"/>
      <c r="G192" s="434"/>
      <c r="H192" s="434"/>
      <c r="I192" s="434"/>
      <c r="J192" s="435"/>
      <c r="K192" s="436">
        <f>Table_Household_Alloc[[#This Row],[Unit Entitlement]]/1000</f>
        <v>0</v>
      </c>
      <c r="L192" s="437"/>
      <c r="M192" s="434"/>
      <c r="N192" s="438">
        <f>IF(Table_Household_Alloc[[#This Row],[PV Installed]]="Y",1,0)*Table_Household_Alloc[[#This Row],[Calculated Battery Allocation (kWh)]]</f>
        <v>0</v>
      </c>
      <c r="T192" s="439"/>
      <c r="U192" s="440"/>
      <c r="V192" s="441"/>
      <c r="X192" s="442"/>
      <c r="Y192" s="443"/>
    </row>
    <row r="193" spans="11:30">
      <c r="K193" s="436">
        <f>Table_Household_Alloc[[#This Row],[Unit Entitlement]]/1000</f>
        <v>0</v>
      </c>
      <c r="N193" s="438">
        <f>IF(Table_Household_Alloc[[#This Row],[PV Installed]]="Y",1,0)*Table_Household_Alloc[[#This Row],[Calculated Battery Allocation (kWh)]]</f>
        <v>0</v>
      </c>
      <c r="Z193" s="434"/>
      <c r="AA193" s="434"/>
      <c r="AB193" s="434"/>
      <c r="AC193" s="434"/>
      <c r="AD193" s="434"/>
    </row>
  </sheetData>
  <conditionalFormatting sqref="N2:N193">
    <cfRule type="cellIs" dxfId="35" priority="1" operator="equal">
      <formula>0</formula>
    </cfRule>
  </conditionalFormatting>
  <hyperlinks>
    <hyperlink ref="V173" r:id="rId4" display="brunomartinangeli09@gmail.com"/>
    <hyperlink ref="V187" r:id="rId5" display="Chloe_lovelidge@hotmail.com "/>
    <hyperlink ref="V186" r:id="rId6" display="meish.b98@gmail.com"/>
    <hyperlink ref="V185" r:id="rId7" display="riverlcp@gmail.com "/>
    <hyperlink ref="V181" r:id="rId8" display="jasonmchattan@gmail.com"/>
    <hyperlink ref="V180" r:id="rId9" display="fiona_skoglund@hotmail.com"/>
    <hyperlink ref="V179" r:id="rId10" display="pamezdroz@protonmail.com"/>
    <hyperlink ref="V178" r:id="rId11" display="msannieawilson@gmail.com"/>
    <hyperlink ref="V176" r:id="rId12" display="timjcthomson@gmail.com"/>
    <hyperlink ref="V175" r:id="rId13" display="karenkotze@outlook.com"/>
    <hyperlink ref="V172" r:id="rId14" display="hansendagmarvandiest@gmail.com"/>
    <hyperlink ref="V171" r:id="rId15" display="bronwyn_edwards@yahoo.com.au"/>
    <hyperlink ref="V170" r:id="rId16" display="sarahhewer@me.com"/>
    <hyperlink ref="V169" r:id="rId17" display="ggreenwell2@outlook.com"/>
    <hyperlink ref="V25" r:id="rId18" display="0437445630"/>
    <hyperlink ref="V24" r:id="rId19" display="0406351722"/>
    <hyperlink ref="V23" r:id="rId20" display="0499270453"/>
    <hyperlink ref="V22" r:id="rId21" display="0456121155"/>
    <hyperlink ref="V21" r:id="rId22" display="0439968661"/>
    <hyperlink ref="V20" r:id="rId23" display="0493385725"/>
    <hyperlink ref="V19" r:id="rId24" display="0408751379"/>
    <hyperlink ref="V18" r:id="rId25" display="0407076552"/>
    <hyperlink ref="V17" r:id="rId26" display="0413993452"/>
    <hyperlink ref="V16" r:id="rId27" display="0409770316"/>
    <hyperlink ref="V15" r:id="rId28" display="0475716267"/>
    <hyperlink ref="V14" r:id="rId29" display="0418946078"/>
    <hyperlink ref="V13" r:id="rId30" display="0428088590"/>
    <hyperlink ref="V12" r:id="rId31" display="0427444150"/>
    <hyperlink ref="V11" r:id="rId32" display="0410416005"/>
    <hyperlink ref="V10" r:id="rId33" display="0408323274"/>
    <hyperlink ref="V9" r:id="rId34" display="0433290368"/>
    <hyperlink ref="V8" r:id="rId35" display="0425890670"/>
    <hyperlink ref="V7" r:id="rId36" display="0417950370"/>
    <hyperlink ref="V6" r:id="rId37" display="0408744572"/>
    <hyperlink ref="V5" r:id="rId38" display="0412261482"/>
    <hyperlink ref="V4" r:id="rId39" display="0424154036"/>
    <hyperlink ref="V3" r:id="rId40" display="0416732634"/>
    <hyperlink ref="V2" r:id="rId41" display="0457 578 078"/>
  </hyperlinks>
  <pageMargins left="0.7" right="0.7" top="0.75" bottom="0.75" header="0.3" footer="0.3"/>
  <pageSetup paperSize="9" orientation="portrait"/>
  <headerFooter/>
  <legacy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J17"/>
  <sheetViews>
    <sheetView zoomScale="132" zoomScaleNormal="132" workbookViewId="0">
      <selection activeCell="I28" sqref="I28"/>
    </sheetView>
  </sheetViews>
  <sheetFormatPr defaultColWidth="11" defaultRowHeight="13.8"/>
  <cols>
    <col min="1" max="1" width="8.66666666666667" style="428" customWidth="1"/>
    <col min="2" max="3" width="7.5" style="428" customWidth="1"/>
    <col min="4" max="5" width="11.6666666666667" style="2" customWidth="1"/>
    <col min="6" max="6" width="12.1666666666667" style="2" customWidth="1"/>
    <col min="7" max="7" width="13.5" style="2" customWidth="1"/>
    <col min="8" max="8" width="12.3333333333333" customWidth="1"/>
    <col min="9" max="9" width="12" customWidth="1"/>
    <col min="10" max="10" width="16.1666666666667" customWidth="1"/>
  </cols>
  <sheetData>
    <row r="1" ht="64" customHeight="1" spans="1:10">
      <c r="A1" s="429" t="s">
        <v>34</v>
      </c>
      <c r="B1" s="429" t="s">
        <v>823</v>
      </c>
      <c r="C1" s="429" t="s">
        <v>824</v>
      </c>
      <c r="D1" s="429" t="s">
        <v>825</v>
      </c>
      <c r="E1" s="429" t="s">
        <v>826</v>
      </c>
      <c r="F1" s="430" t="s">
        <v>827</v>
      </c>
      <c r="G1" s="430" t="s">
        <v>828</v>
      </c>
      <c r="H1" s="430" t="s">
        <v>829</v>
      </c>
      <c r="I1" s="430" t="s">
        <v>830</v>
      </c>
      <c r="J1" s="430" t="s">
        <v>831</v>
      </c>
    </row>
    <row r="2" spans="1:10">
      <c r="A2" s="131" t="s">
        <v>44</v>
      </c>
      <c r="B2" s="385">
        <v>2025</v>
      </c>
      <c r="C2" s="385">
        <v>1</v>
      </c>
      <c r="D2" s="385">
        <v>33.93</v>
      </c>
      <c r="E2" s="385">
        <v>11281.06</v>
      </c>
      <c r="F2" s="385">
        <v>10.16</v>
      </c>
      <c r="G2" s="385">
        <v>-434.32</v>
      </c>
      <c r="H2" s="385">
        <v>170.5</v>
      </c>
      <c r="I2" s="385">
        <v>15.54</v>
      </c>
      <c r="J2" s="385">
        <v>-238.12</v>
      </c>
    </row>
    <row r="3" spans="1:10">
      <c r="A3" s="131" t="s">
        <v>44</v>
      </c>
      <c r="B3" s="385">
        <v>2025</v>
      </c>
      <c r="C3" s="385">
        <v>2</v>
      </c>
      <c r="D3" s="385">
        <v>9.73</v>
      </c>
      <c r="E3" s="385">
        <v>10654.83</v>
      </c>
      <c r="F3" s="385">
        <v>2.92</v>
      </c>
      <c r="G3" s="385">
        <v>-410.21</v>
      </c>
      <c r="H3" s="385">
        <v>154</v>
      </c>
      <c r="I3" s="385">
        <v>12.85</v>
      </c>
      <c r="J3" s="385">
        <v>-240.45</v>
      </c>
    </row>
    <row r="4" spans="1:10">
      <c r="A4" s="131" t="s">
        <v>48</v>
      </c>
      <c r="B4" s="385">
        <v>2025</v>
      </c>
      <c r="C4" s="385">
        <v>1</v>
      </c>
      <c r="D4" s="385">
        <v>12.07</v>
      </c>
      <c r="E4" s="385">
        <v>17535.52</v>
      </c>
      <c r="F4" s="385">
        <v>3.62</v>
      </c>
      <c r="G4" s="385">
        <v>-675.11</v>
      </c>
      <c r="H4" s="385">
        <v>170.5</v>
      </c>
      <c r="I4" s="385">
        <v>18.04</v>
      </c>
      <c r="J4" s="385">
        <v>-482.96</v>
      </c>
    </row>
    <row r="5" spans="1:10">
      <c r="A5" s="131" t="s">
        <v>48</v>
      </c>
      <c r="B5" s="385">
        <v>2025</v>
      </c>
      <c r="C5" s="385">
        <v>2</v>
      </c>
      <c r="D5" s="385">
        <v>13.33</v>
      </c>
      <c r="E5" s="385">
        <v>13942.64</v>
      </c>
      <c r="F5" s="385">
        <v>3.99</v>
      </c>
      <c r="G5" s="385">
        <v>-536.79</v>
      </c>
      <c r="H5" s="385">
        <v>154</v>
      </c>
      <c r="I5" s="385">
        <v>16.57</v>
      </c>
      <c r="J5" s="385">
        <v>-362.23</v>
      </c>
    </row>
    <row r="6" spans="1:10">
      <c r="A6" s="131" t="s">
        <v>52</v>
      </c>
      <c r="B6" s="385">
        <v>2025</v>
      </c>
      <c r="C6" s="385">
        <v>1</v>
      </c>
      <c r="D6" s="385">
        <v>44.48</v>
      </c>
      <c r="E6" s="385">
        <v>13074.94</v>
      </c>
      <c r="F6" s="385">
        <v>13.32</v>
      </c>
      <c r="G6" s="385">
        <v>-503.38</v>
      </c>
      <c r="H6" s="385">
        <v>170.5</v>
      </c>
      <c r="I6" s="385">
        <v>22.22</v>
      </c>
      <c r="J6" s="385">
        <v>-297.34</v>
      </c>
    </row>
    <row r="7" spans="1:10">
      <c r="A7" s="131" t="s">
        <v>52</v>
      </c>
      <c r="B7" s="385">
        <v>2025</v>
      </c>
      <c r="C7" s="385">
        <v>2</v>
      </c>
      <c r="D7" s="385">
        <v>46.06</v>
      </c>
      <c r="E7" s="385">
        <v>12380.74</v>
      </c>
      <c r="F7" s="385">
        <v>13.78</v>
      </c>
      <c r="G7" s="385">
        <v>-476.66</v>
      </c>
      <c r="H7" s="385">
        <v>154</v>
      </c>
      <c r="I7" s="385">
        <v>19.29</v>
      </c>
      <c r="J7" s="385">
        <v>-289.59</v>
      </c>
    </row>
    <row r="8" spans="1:10">
      <c r="A8" s="131" t="s">
        <v>54</v>
      </c>
      <c r="B8" s="385">
        <v>2025</v>
      </c>
      <c r="C8" s="385">
        <v>1</v>
      </c>
      <c r="D8" s="385">
        <v>68.36</v>
      </c>
      <c r="E8" s="385">
        <v>9864.97</v>
      </c>
      <c r="F8" s="385">
        <v>21.46</v>
      </c>
      <c r="G8" s="385">
        <v>-379.8</v>
      </c>
      <c r="H8" s="385">
        <v>178.78</v>
      </c>
      <c r="I8" s="385">
        <v>0</v>
      </c>
      <c r="J8" s="385">
        <v>-179.55</v>
      </c>
    </row>
    <row r="9" spans="1:10">
      <c r="A9" s="131" t="s">
        <v>54</v>
      </c>
      <c r="B9" s="385">
        <v>2025</v>
      </c>
      <c r="C9" s="385">
        <v>2</v>
      </c>
      <c r="D9" s="385">
        <v>60.15</v>
      </c>
      <c r="E9" s="385">
        <v>9289.63</v>
      </c>
      <c r="F9" s="385">
        <v>18.89</v>
      </c>
      <c r="G9" s="385">
        <v>-357.64</v>
      </c>
      <c r="H9" s="385">
        <v>161.48</v>
      </c>
      <c r="I9" s="385">
        <v>0</v>
      </c>
      <c r="J9" s="385">
        <v>-177.28</v>
      </c>
    </row>
    <row r="10" spans="1:10">
      <c r="A10" s="131" t="s">
        <v>58</v>
      </c>
      <c r="B10" s="385">
        <v>2025</v>
      </c>
      <c r="C10" s="385">
        <v>1</v>
      </c>
      <c r="D10" s="385">
        <v>25.59</v>
      </c>
      <c r="E10" s="385">
        <v>13715.2</v>
      </c>
      <c r="F10" s="385">
        <v>8.04</v>
      </c>
      <c r="G10" s="385">
        <v>-528.04</v>
      </c>
      <c r="H10" s="385">
        <v>178.78</v>
      </c>
      <c r="I10" s="385">
        <v>0</v>
      </c>
      <c r="J10" s="385">
        <v>-341.22</v>
      </c>
    </row>
    <row r="11" spans="1:10">
      <c r="A11" s="131" t="s">
        <v>58</v>
      </c>
      <c r="B11" s="385">
        <v>2025</v>
      </c>
      <c r="C11" s="385">
        <v>2</v>
      </c>
      <c r="D11" s="385">
        <v>20.76</v>
      </c>
      <c r="E11" s="385">
        <v>10080.49</v>
      </c>
      <c r="F11" s="385">
        <v>6.52</v>
      </c>
      <c r="G11" s="385">
        <v>-388.1</v>
      </c>
      <c r="H11" s="385">
        <v>161.48</v>
      </c>
      <c r="I11" s="385">
        <v>0</v>
      </c>
      <c r="J11" s="385">
        <v>-220.1</v>
      </c>
    </row>
    <row r="12" spans="1:10">
      <c r="A12" s="131" t="s">
        <v>59</v>
      </c>
      <c r="B12" s="385">
        <v>2025</v>
      </c>
      <c r="C12" s="385">
        <v>1</v>
      </c>
      <c r="D12" s="385">
        <v>397.4</v>
      </c>
      <c r="E12" s="385">
        <v>5237.2</v>
      </c>
      <c r="F12" s="385">
        <v>124.77</v>
      </c>
      <c r="G12" s="385">
        <v>-201.63</v>
      </c>
      <c r="H12" s="385">
        <v>178.78</v>
      </c>
      <c r="I12" s="385">
        <v>0</v>
      </c>
      <c r="J12" s="385">
        <v>101.93</v>
      </c>
    </row>
    <row r="13" spans="1:10">
      <c r="A13" s="131" t="s">
        <v>59</v>
      </c>
      <c r="B13" s="385">
        <v>2025</v>
      </c>
      <c r="C13" s="385">
        <v>2</v>
      </c>
      <c r="D13" s="385">
        <v>1319.47</v>
      </c>
      <c r="E13" s="385">
        <v>7643.82</v>
      </c>
      <c r="F13" s="385">
        <v>414.27</v>
      </c>
      <c r="G13" s="385">
        <v>-294.28</v>
      </c>
      <c r="H13" s="385">
        <v>161.48</v>
      </c>
      <c r="I13" s="385">
        <v>0</v>
      </c>
      <c r="J13" s="385">
        <v>281.47</v>
      </c>
    </row>
    <row r="14" spans="1:10">
      <c r="A14" s="131" t="s">
        <v>60</v>
      </c>
      <c r="B14" s="385">
        <v>2025</v>
      </c>
      <c r="C14" s="385">
        <v>1</v>
      </c>
      <c r="D14" s="385">
        <v>79.58</v>
      </c>
      <c r="E14" s="385">
        <v>7581.04</v>
      </c>
      <c r="F14" s="385">
        <v>24.99</v>
      </c>
      <c r="G14" s="385">
        <v>-291.86</v>
      </c>
      <c r="H14" s="385">
        <v>178.78</v>
      </c>
      <c r="I14" s="385">
        <v>0</v>
      </c>
      <c r="J14" s="385">
        <v>-88.09</v>
      </c>
    </row>
    <row r="15" spans="1:10">
      <c r="A15" s="131" t="s">
        <v>60</v>
      </c>
      <c r="B15" s="385">
        <v>2025</v>
      </c>
      <c r="C15" s="385">
        <v>2</v>
      </c>
      <c r="D15" s="385">
        <v>60.76</v>
      </c>
      <c r="E15" s="385">
        <v>8019.21</v>
      </c>
      <c r="F15" s="385">
        <v>19.07</v>
      </c>
      <c r="G15" s="385">
        <v>-308.75</v>
      </c>
      <c r="H15" s="385">
        <v>161.48</v>
      </c>
      <c r="I15" s="385">
        <v>0</v>
      </c>
      <c r="J15" s="385">
        <v>-128.19</v>
      </c>
    </row>
    <row r="16" spans="1:10">
      <c r="A16" s="131" t="s">
        <v>832</v>
      </c>
      <c r="B16" s="385">
        <v>2025</v>
      </c>
      <c r="C16" s="385">
        <v>1</v>
      </c>
      <c r="D16" s="385">
        <v>317</v>
      </c>
      <c r="E16" s="385">
        <v>4859.91</v>
      </c>
      <c r="F16" s="385">
        <v>99.52</v>
      </c>
      <c r="G16" s="385">
        <v>-187.11</v>
      </c>
      <c r="H16" s="385">
        <v>178.78</v>
      </c>
      <c r="I16" s="385">
        <v>0</v>
      </c>
      <c r="J16" s="385">
        <v>91.19</v>
      </c>
    </row>
    <row r="17" spans="1:10">
      <c r="A17" s="131" t="s">
        <v>832</v>
      </c>
      <c r="B17" s="385">
        <v>2025</v>
      </c>
      <c r="C17" s="385">
        <v>2</v>
      </c>
      <c r="D17" s="385">
        <v>235.52</v>
      </c>
      <c r="E17" s="385">
        <v>4016</v>
      </c>
      <c r="F17" s="385">
        <v>73.95</v>
      </c>
      <c r="G17" s="385">
        <v>-154.62</v>
      </c>
      <c r="H17" s="385">
        <v>161.48</v>
      </c>
      <c r="I17" s="385">
        <v>0</v>
      </c>
      <c r="J17" s="385">
        <v>80.82</v>
      </c>
    </row>
  </sheetData>
  <conditionalFormatting sqref="F1:J1">
    <cfRule type="cellIs" dxfId="36" priority="1" operator="lessThan">
      <formula>0</formula>
    </cfRule>
  </conditionalFormatting>
  <pageMargins left="0.7" right="0.7" top="0.75" bottom="0.75" header="0.3" footer="0.3"/>
  <pageSetup paperSize="9" orientation="portrait"/>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K191"/>
  <sheetViews>
    <sheetView zoomScale="85" zoomScaleNormal="85" workbookViewId="0">
      <pane xSplit="1" topLeftCell="B1" activePane="topRight" state="frozen"/>
      <selection/>
      <selection pane="topRight" activeCell="J28" sqref="J28"/>
    </sheetView>
  </sheetViews>
  <sheetFormatPr defaultColWidth="11" defaultRowHeight="15"/>
  <cols>
    <col min="1" max="1" width="6.5" style="387" customWidth="1"/>
    <col min="2" max="2" width="10.8333333333333" style="388"/>
    <col min="3" max="3" width="18.6666666666667" style="388" customWidth="1"/>
    <col min="4" max="4" width="19" customWidth="1"/>
    <col min="5" max="6" width="13.5" customWidth="1"/>
    <col min="7" max="7" width="13.1666666666667" customWidth="1"/>
    <col min="8" max="8" width="13.5" customWidth="1"/>
    <col min="9" max="9" width="13.3333333333333" customWidth="1"/>
    <col min="10" max="10" width="11" customWidth="1"/>
    <col min="12" max="12" width="11.6666666666667" customWidth="1"/>
  </cols>
  <sheetData>
    <row r="1" ht="15.6" spans="1:10">
      <c r="A1" s="389" t="s">
        <v>191</v>
      </c>
      <c r="B1" s="390" t="s">
        <v>192</v>
      </c>
      <c r="C1" s="390" t="s">
        <v>193</v>
      </c>
      <c r="D1" s="334" t="s">
        <v>833</v>
      </c>
      <c r="E1" s="334" t="s">
        <v>834</v>
      </c>
      <c r="F1" s="391" t="s">
        <v>835</v>
      </c>
      <c r="G1" s="391" t="s">
        <v>836</v>
      </c>
      <c r="H1" s="392" t="s">
        <v>837</v>
      </c>
      <c r="I1" s="391" t="s">
        <v>838</v>
      </c>
      <c r="J1" s="367" t="s">
        <v>839</v>
      </c>
    </row>
    <row r="2" ht="17.4" spans="1:10">
      <c r="A2" s="393">
        <v>1</v>
      </c>
      <c r="B2" s="394" t="s">
        <v>44</v>
      </c>
      <c r="C2" s="395">
        <v>50002845</v>
      </c>
      <c r="D2" s="396">
        <v>0</v>
      </c>
      <c r="E2" s="396">
        <v>0</v>
      </c>
      <c r="F2" s="397">
        <v>0</v>
      </c>
      <c r="G2" s="397"/>
      <c r="H2" s="398">
        <v>0</v>
      </c>
      <c r="I2" s="398">
        <v>5</v>
      </c>
      <c r="J2" s="398">
        <v>12</v>
      </c>
    </row>
    <row r="3" ht="17.4" spans="1:10">
      <c r="A3" s="393">
        <v>2</v>
      </c>
      <c r="B3" s="394" t="s">
        <v>44</v>
      </c>
      <c r="C3" s="395">
        <v>50002862</v>
      </c>
      <c r="D3" s="396">
        <v>154</v>
      </c>
      <c r="E3" s="396">
        <v>193</v>
      </c>
      <c r="F3" s="397">
        <v>200</v>
      </c>
      <c r="G3" s="397"/>
      <c r="H3" s="398">
        <v>217</v>
      </c>
      <c r="I3" s="398">
        <v>252</v>
      </c>
      <c r="J3" s="398">
        <v>302</v>
      </c>
    </row>
    <row r="4" ht="17.4" spans="1:10">
      <c r="A4" s="393">
        <v>3</v>
      </c>
      <c r="B4" s="394" t="s">
        <v>44</v>
      </c>
      <c r="C4" s="395">
        <v>50002872</v>
      </c>
      <c r="D4" s="396">
        <v>3330</v>
      </c>
      <c r="E4" s="396">
        <v>4152</v>
      </c>
      <c r="F4" s="397">
        <v>5885</v>
      </c>
      <c r="G4" s="397">
        <v>7147</v>
      </c>
      <c r="H4" s="398"/>
      <c r="I4" s="398">
        <v>8271</v>
      </c>
      <c r="J4" s="398">
        <v>8830</v>
      </c>
    </row>
    <row r="5" ht="17.4" spans="1:10">
      <c r="A5" s="393">
        <v>4</v>
      </c>
      <c r="B5" s="394" t="s">
        <v>44</v>
      </c>
      <c r="C5" s="395">
        <v>50002869</v>
      </c>
      <c r="D5" s="396">
        <v>1658.51</v>
      </c>
      <c r="E5" s="396">
        <v>2242</v>
      </c>
      <c r="F5" s="397">
        <v>3297.66</v>
      </c>
      <c r="G5" s="397">
        <v>4012</v>
      </c>
      <c r="H5" s="398"/>
      <c r="I5" s="398">
        <v>4542</v>
      </c>
      <c r="J5" s="398">
        <v>4855</v>
      </c>
    </row>
    <row r="6" ht="17.4" spans="1:10">
      <c r="A6" s="393">
        <v>5</v>
      </c>
      <c r="B6" s="394" t="s">
        <v>44</v>
      </c>
      <c r="C6" s="395">
        <v>50002879</v>
      </c>
      <c r="D6" s="396">
        <v>2500</v>
      </c>
      <c r="E6" s="396">
        <v>2698</v>
      </c>
      <c r="F6" s="397">
        <v>3033.57</v>
      </c>
      <c r="G6" s="397">
        <v>3287</v>
      </c>
      <c r="H6" s="398"/>
      <c r="I6" s="398">
        <v>3545</v>
      </c>
      <c r="J6" s="398">
        <v>3673</v>
      </c>
    </row>
    <row r="7" ht="17.4" spans="1:10">
      <c r="A7" s="393">
        <v>6</v>
      </c>
      <c r="B7" s="394" t="s">
        <v>44</v>
      </c>
      <c r="C7" s="395">
        <v>50002865</v>
      </c>
      <c r="D7" s="396">
        <v>4614</v>
      </c>
      <c r="E7" s="396">
        <v>5036</v>
      </c>
      <c r="F7" s="397">
        <v>6545.69</v>
      </c>
      <c r="G7" s="397">
        <v>7860</v>
      </c>
      <c r="H7" s="398"/>
      <c r="I7" s="398">
        <v>8639</v>
      </c>
      <c r="J7" s="398">
        <v>8918</v>
      </c>
    </row>
    <row r="8" ht="17.4" spans="1:10">
      <c r="A8" s="393">
        <v>7</v>
      </c>
      <c r="B8" s="394" t="s">
        <v>44</v>
      </c>
      <c r="C8" s="395">
        <v>50002887</v>
      </c>
      <c r="D8" s="396">
        <v>5556</v>
      </c>
      <c r="E8" s="396">
        <v>6178</v>
      </c>
      <c r="F8" s="397">
        <v>7086</v>
      </c>
      <c r="G8" s="397"/>
      <c r="H8" s="398">
        <v>7678</v>
      </c>
      <c r="I8" s="398">
        <v>8272</v>
      </c>
      <c r="J8" s="398">
        <v>8725</v>
      </c>
    </row>
    <row r="9" ht="17.4" spans="1:10">
      <c r="A9" s="393">
        <v>8</v>
      </c>
      <c r="B9" s="394" t="s">
        <v>44</v>
      </c>
      <c r="C9" s="395">
        <v>50002846</v>
      </c>
      <c r="D9" s="396">
        <v>17</v>
      </c>
      <c r="E9" s="396">
        <v>62</v>
      </c>
      <c r="F9" s="397">
        <v>1347</v>
      </c>
      <c r="G9" s="397">
        <v>2312</v>
      </c>
      <c r="H9" s="398"/>
      <c r="I9" s="398">
        <v>3006</v>
      </c>
      <c r="J9" s="398">
        <v>3404</v>
      </c>
    </row>
    <row r="10" ht="17.4" spans="1:10">
      <c r="A10" s="393">
        <v>9</v>
      </c>
      <c r="B10" s="394" t="s">
        <v>44</v>
      </c>
      <c r="C10" s="395">
        <v>50002885</v>
      </c>
      <c r="D10" s="396">
        <v>9455</v>
      </c>
      <c r="E10" s="396">
        <v>10505</v>
      </c>
      <c r="F10" s="397">
        <v>11763</v>
      </c>
      <c r="G10" s="397"/>
      <c r="H10" s="398">
        <v>12689</v>
      </c>
      <c r="I10" s="398">
        <v>13606</v>
      </c>
      <c r="J10" s="398">
        <v>14226</v>
      </c>
    </row>
    <row r="11" ht="17.4" spans="1:10">
      <c r="A11" s="393">
        <v>10</v>
      </c>
      <c r="B11" s="394" t="s">
        <v>44</v>
      </c>
      <c r="C11" s="395">
        <v>50002850</v>
      </c>
      <c r="D11" s="396">
        <v>2297</v>
      </c>
      <c r="E11" s="396">
        <v>2548</v>
      </c>
      <c r="F11" s="397">
        <v>3196.09</v>
      </c>
      <c r="G11" s="397">
        <v>3549</v>
      </c>
      <c r="H11" s="398"/>
      <c r="I11" s="398">
        <v>3930</v>
      </c>
      <c r="J11" s="398">
        <v>4324</v>
      </c>
    </row>
    <row r="12" ht="17.4" spans="1:10">
      <c r="A12" s="393">
        <v>11</v>
      </c>
      <c r="B12" s="394" t="s">
        <v>44</v>
      </c>
      <c r="C12" s="395">
        <v>50002848</v>
      </c>
      <c r="D12" s="396">
        <v>1025</v>
      </c>
      <c r="E12" s="396">
        <v>1059</v>
      </c>
      <c r="F12" s="397">
        <v>1104.64</v>
      </c>
      <c r="G12" s="397">
        <v>1138</v>
      </c>
      <c r="H12" s="398"/>
      <c r="I12" s="398">
        <v>1173</v>
      </c>
      <c r="J12" s="406">
        <v>1194</v>
      </c>
    </row>
    <row r="13" ht="17.4" spans="1:10">
      <c r="A13" s="393">
        <v>12</v>
      </c>
      <c r="B13" s="394" t="s">
        <v>44</v>
      </c>
      <c r="C13" s="395">
        <v>50002847</v>
      </c>
      <c r="D13" s="396">
        <v>0</v>
      </c>
      <c r="E13" s="396">
        <v>0</v>
      </c>
      <c r="F13" s="397">
        <v>0</v>
      </c>
      <c r="G13" s="397"/>
      <c r="H13" s="398">
        <v>0</v>
      </c>
      <c r="I13" s="398">
        <v>34</v>
      </c>
      <c r="J13" s="398">
        <v>42</v>
      </c>
    </row>
    <row r="14" ht="17.4" spans="1:10">
      <c r="A14" s="393">
        <v>13</v>
      </c>
      <c r="B14" s="394" t="s">
        <v>44</v>
      </c>
      <c r="C14" s="395">
        <v>50002739</v>
      </c>
      <c r="D14" s="396">
        <v>3754</v>
      </c>
      <c r="E14" s="396">
        <v>4117</v>
      </c>
      <c r="F14" s="397">
        <v>4598.5</v>
      </c>
      <c r="G14" s="397">
        <v>4840</v>
      </c>
      <c r="H14" s="398"/>
      <c r="I14" s="398">
        <v>5168</v>
      </c>
      <c r="J14" s="398">
        <v>5392</v>
      </c>
    </row>
    <row r="15" ht="17.4" spans="1:10">
      <c r="A15" s="393">
        <v>14</v>
      </c>
      <c r="B15" s="394" t="s">
        <v>44</v>
      </c>
      <c r="C15" s="395">
        <v>50002709</v>
      </c>
      <c r="D15" s="396">
        <v>0</v>
      </c>
      <c r="E15" s="396">
        <v>2</v>
      </c>
      <c r="F15" s="397">
        <v>26</v>
      </c>
      <c r="G15" s="397"/>
      <c r="H15" s="398">
        <v>95</v>
      </c>
      <c r="I15" s="398">
        <v>213</v>
      </c>
      <c r="J15" s="398">
        <v>501</v>
      </c>
    </row>
    <row r="16" ht="17.4" spans="1:10">
      <c r="A16" s="393">
        <v>15</v>
      </c>
      <c r="B16" s="394" t="s">
        <v>44</v>
      </c>
      <c r="C16" s="395">
        <v>50002714</v>
      </c>
      <c r="D16" s="396">
        <v>426</v>
      </c>
      <c r="E16" s="396">
        <v>570</v>
      </c>
      <c r="F16" s="397">
        <v>570</v>
      </c>
      <c r="G16" s="397"/>
      <c r="H16" s="398">
        <v>571</v>
      </c>
      <c r="I16" s="398">
        <v>571</v>
      </c>
      <c r="J16" s="398">
        <v>571</v>
      </c>
    </row>
    <row r="17" ht="17.4" spans="1:10">
      <c r="A17" s="393">
        <v>16</v>
      </c>
      <c r="B17" s="394" t="s">
        <v>44</v>
      </c>
      <c r="C17" s="395">
        <v>50002855</v>
      </c>
      <c r="D17" s="396">
        <v>455</v>
      </c>
      <c r="E17" s="396">
        <v>907</v>
      </c>
      <c r="F17" s="397">
        <v>1537.61</v>
      </c>
      <c r="G17" s="397">
        <v>2060</v>
      </c>
      <c r="H17" s="398"/>
      <c r="I17" s="398">
        <v>2536</v>
      </c>
      <c r="J17" s="398">
        <v>2846</v>
      </c>
    </row>
    <row r="18" ht="17.4" spans="1:10">
      <c r="A18" s="393">
        <v>17</v>
      </c>
      <c r="B18" s="394" t="s">
        <v>44</v>
      </c>
      <c r="C18" s="395">
        <v>50002877</v>
      </c>
      <c r="D18" s="396">
        <v>11075</v>
      </c>
      <c r="E18" s="396">
        <v>12991</v>
      </c>
      <c r="F18" s="397">
        <v>16647.34</v>
      </c>
      <c r="G18" s="397">
        <v>18767</v>
      </c>
      <c r="H18" s="398"/>
      <c r="I18" s="398">
        <v>20977</v>
      </c>
      <c r="J18" s="398">
        <v>22060</v>
      </c>
    </row>
    <row r="19" ht="17.4" spans="1:10">
      <c r="A19" s="393">
        <v>18</v>
      </c>
      <c r="B19" s="394" t="s">
        <v>44</v>
      </c>
      <c r="C19" s="399"/>
      <c r="D19" s="396">
        <v>0</v>
      </c>
      <c r="E19" s="396">
        <v>0</v>
      </c>
      <c r="F19" s="397">
        <v>0</v>
      </c>
      <c r="G19" s="397"/>
      <c r="H19" s="398">
        <v>0</v>
      </c>
      <c r="I19" s="398">
        <v>0</v>
      </c>
      <c r="J19" s="398">
        <v>0</v>
      </c>
    </row>
    <row r="20" ht="17.4" spans="1:10">
      <c r="A20" s="393">
        <v>19</v>
      </c>
      <c r="B20" s="394" t="s">
        <v>44</v>
      </c>
      <c r="C20" s="395">
        <v>50002864</v>
      </c>
      <c r="D20" s="396">
        <v>2270</v>
      </c>
      <c r="E20" s="396">
        <v>2483</v>
      </c>
      <c r="F20" s="397">
        <v>2819.8</v>
      </c>
      <c r="G20" s="397">
        <v>3000</v>
      </c>
      <c r="H20" s="398"/>
      <c r="I20" s="398">
        <v>3203</v>
      </c>
      <c r="J20" s="398">
        <v>3327</v>
      </c>
    </row>
    <row r="21" ht="17.4" spans="1:10">
      <c r="A21" s="393">
        <v>20</v>
      </c>
      <c r="B21" s="394" t="s">
        <v>44</v>
      </c>
      <c r="C21" s="395">
        <v>50002710</v>
      </c>
      <c r="D21" s="396">
        <v>2601</v>
      </c>
      <c r="E21" s="396">
        <v>2781</v>
      </c>
      <c r="F21" s="397">
        <v>3120.21</v>
      </c>
      <c r="G21" s="397">
        <v>3389</v>
      </c>
      <c r="H21" s="398"/>
      <c r="I21" s="398">
        <v>3644</v>
      </c>
      <c r="J21" s="398">
        <v>3772</v>
      </c>
    </row>
    <row r="22" ht="17.4" spans="1:10">
      <c r="A22" s="393">
        <v>21</v>
      </c>
      <c r="B22" s="394" t="s">
        <v>44</v>
      </c>
      <c r="C22" s="395">
        <v>50002719</v>
      </c>
      <c r="D22" s="396">
        <v>1225</v>
      </c>
      <c r="E22" s="396">
        <v>1316</v>
      </c>
      <c r="F22" s="397">
        <v>1471.61</v>
      </c>
      <c r="G22" s="397">
        <v>1590</v>
      </c>
      <c r="H22" s="398"/>
      <c r="I22" s="398">
        <v>1682</v>
      </c>
      <c r="J22" s="398">
        <v>1735</v>
      </c>
    </row>
    <row r="23" ht="17.4" spans="1:10">
      <c r="A23" s="393">
        <v>22</v>
      </c>
      <c r="B23" s="394" t="s">
        <v>44</v>
      </c>
      <c r="C23" s="395">
        <v>50002876</v>
      </c>
      <c r="D23" s="396">
        <v>4040</v>
      </c>
      <c r="E23" s="396">
        <v>4239</v>
      </c>
      <c r="F23" s="397">
        <v>4589.33</v>
      </c>
      <c r="G23" s="397">
        <v>4843</v>
      </c>
      <c r="H23" s="398"/>
      <c r="I23" s="398">
        <v>5052</v>
      </c>
      <c r="J23" s="398">
        <v>5169</v>
      </c>
    </row>
    <row r="24" ht="17.4" spans="1:10">
      <c r="A24" s="393">
        <v>23</v>
      </c>
      <c r="B24" s="394" t="s">
        <v>44</v>
      </c>
      <c r="C24" s="395">
        <v>50002860</v>
      </c>
      <c r="D24" s="396">
        <v>2297</v>
      </c>
      <c r="E24" s="396">
        <v>2429</v>
      </c>
      <c r="F24" s="397">
        <v>2786.87</v>
      </c>
      <c r="G24" s="397">
        <v>3041</v>
      </c>
      <c r="H24" s="398"/>
      <c r="I24" s="398">
        <v>3181</v>
      </c>
      <c r="J24" s="398">
        <v>3257</v>
      </c>
    </row>
    <row r="25" ht="17.4" spans="1:10">
      <c r="A25" s="393">
        <v>24</v>
      </c>
      <c r="B25" s="394" t="s">
        <v>44</v>
      </c>
      <c r="C25" s="395">
        <v>50002649</v>
      </c>
      <c r="D25" s="396">
        <v>0</v>
      </c>
      <c r="E25" s="396">
        <v>0</v>
      </c>
      <c r="F25" s="397">
        <v>0</v>
      </c>
      <c r="G25" s="397"/>
      <c r="H25" s="398">
        <v>18</v>
      </c>
      <c r="I25" s="398">
        <v>27</v>
      </c>
      <c r="J25" s="398">
        <v>38</v>
      </c>
    </row>
    <row r="26" ht="18" spans="1:10">
      <c r="A26" s="400" t="s">
        <v>335</v>
      </c>
      <c r="B26" s="394" t="s">
        <v>44</v>
      </c>
      <c r="C26" s="395">
        <v>40002686</v>
      </c>
      <c r="D26" s="396">
        <v>2686.84</v>
      </c>
      <c r="E26" s="396">
        <v>14090.38</v>
      </c>
      <c r="F26" s="396">
        <v>32077.16</v>
      </c>
      <c r="G26" s="397">
        <v>44721</v>
      </c>
      <c r="H26" s="396"/>
      <c r="I26" s="396">
        <v>59297</v>
      </c>
      <c r="J26" s="398">
        <v>67826</v>
      </c>
    </row>
    <row r="27" ht="17.4" spans="1:10">
      <c r="A27" s="393" t="s">
        <v>337</v>
      </c>
      <c r="B27" s="394" t="s">
        <v>44</v>
      </c>
      <c r="C27" s="395">
        <v>40002693</v>
      </c>
      <c r="D27" s="396">
        <v>0</v>
      </c>
      <c r="E27" s="396">
        <v>209.39</v>
      </c>
      <c r="F27" s="397">
        <v>1646.88</v>
      </c>
      <c r="G27" s="397">
        <v>2831</v>
      </c>
      <c r="H27" s="398"/>
      <c r="I27" s="398">
        <v>4535</v>
      </c>
      <c r="J27" s="398">
        <v>6152</v>
      </c>
    </row>
    <row r="28" ht="17.4" spans="1:10">
      <c r="A28" s="393" t="s">
        <v>340</v>
      </c>
      <c r="B28" s="394" t="s">
        <v>44</v>
      </c>
      <c r="C28" s="395">
        <v>50002858</v>
      </c>
      <c r="D28" s="396">
        <v>2819.46</v>
      </c>
      <c r="E28" s="396">
        <v>3565.94</v>
      </c>
      <c r="F28" s="397">
        <v>4127.37</v>
      </c>
      <c r="G28" s="397">
        <v>4326</v>
      </c>
      <c r="H28" s="398"/>
      <c r="I28" s="398">
        <v>4913</v>
      </c>
      <c r="J28" s="398">
        <v>5343</v>
      </c>
    </row>
    <row r="29" ht="18" spans="1:10">
      <c r="A29" s="401" t="s">
        <v>342</v>
      </c>
      <c r="B29" s="394" t="s">
        <v>44</v>
      </c>
      <c r="C29" s="395">
        <v>40002852</v>
      </c>
      <c r="D29" s="396"/>
      <c r="E29" s="396"/>
      <c r="F29" s="397"/>
      <c r="G29" s="397"/>
      <c r="H29" s="402"/>
      <c r="I29" s="402">
        <v>157</v>
      </c>
      <c r="J29" s="398">
        <v>166</v>
      </c>
    </row>
    <row r="30" ht="18" spans="1:10">
      <c r="A30" s="403" t="s">
        <v>343</v>
      </c>
      <c r="B30" s="394" t="s">
        <v>44</v>
      </c>
      <c r="C30" s="395">
        <v>40002693</v>
      </c>
      <c r="D30" s="396"/>
      <c r="E30" s="396"/>
      <c r="F30" s="397"/>
      <c r="G30" s="397"/>
      <c r="H30" s="402"/>
      <c r="I30" s="402">
        <v>232</v>
      </c>
      <c r="J30" s="398">
        <v>251</v>
      </c>
    </row>
    <row r="31" ht="17.4" spans="1:10">
      <c r="A31" s="393">
        <v>1</v>
      </c>
      <c r="B31" s="394" t="s">
        <v>48</v>
      </c>
      <c r="C31" s="404">
        <v>50003409</v>
      </c>
      <c r="D31" s="396">
        <v>4530</v>
      </c>
      <c r="E31" s="396">
        <v>4701</v>
      </c>
      <c r="F31" s="396">
        <v>5443.32</v>
      </c>
      <c r="G31" s="396"/>
      <c r="H31" s="402">
        <v>5990.04</v>
      </c>
      <c r="I31" s="402">
        <v>6200</v>
      </c>
      <c r="J31" s="402">
        <v>6302</v>
      </c>
    </row>
    <row r="32" ht="17.4" spans="1:10">
      <c r="A32" s="393">
        <v>2</v>
      </c>
      <c r="B32" s="394" t="s">
        <v>48</v>
      </c>
      <c r="C32" s="404">
        <v>50003436</v>
      </c>
      <c r="D32" s="396">
        <v>1679</v>
      </c>
      <c r="E32" s="396">
        <v>2331</v>
      </c>
      <c r="F32" s="396">
        <v>3416.3</v>
      </c>
      <c r="G32" s="396"/>
      <c r="H32" s="402">
        <v>3923.86</v>
      </c>
      <c r="I32" s="402">
        <v>4133</v>
      </c>
      <c r="J32" s="402">
        <v>4305</v>
      </c>
    </row>
    <row r="33" ht="17.4" spans="1:10">
      <c r="A33" s="393">
        <v>3</v>
      </c>
      <c r="B33" s="394" t="s">
        <v>48</v>
      </c>
      <c r="C33" s="404">
        <v>50004064</v>
      </c>
      <c r="D33" s="396">
        <v>594</v>
      </c>
      <c r="E33" s="396">
        <v>1137</v>
      </c>
      <c r="F33" s="396">
        <v>1765.3</v>
      </c>
      <c r="G33" s="396"/>
      <c r="H33" s="402">
        <v>2232.7</v>
      </c>
      <c r="I33" s="402">
        <v>2521</v>
      </c>
      <c r="J33" s="402">
        <v>2701</v>
      </c>
    </row>
    <row r="34" ht="17.4" spans="1:10">
      <c r="A34" s="393">
        <v>4</v>
      </c>
      <c r="B34" s="394" t="s">
        <v>48</v>
      </c>
      <c r="C34" s="404">
        <v>50003414</v>
      </c>
      <c r="D34" s="396">
        <v>102</v>
      </c>
      <c r="E34" s="396">
        <v>114</v>
      </c>
      <c r="F34" s="396">
        <v>126</v>
      </c>
      <c r="G34" s="396"/>
      <c r="H34" s="402">
        <v>156</v>
      </c>
      <c r="I34" s="402">
        <v>188</v>
      </c>
      <c r="J34" s="402">
        <v>268</v>
      </c>
    </row>
    <row r="35" ht="17.4" spans="1:10">
      <c r="A35" s="393">
        <v>5</v>
      </c>
      <c r="B35" s="394" t="s">
        <v>48</v>
      </c>
      <c r="C35" s="404">
        <v>50003389</v>
      </c>
      <c r="D35" s="396">
        <v>10220</v>
      </c>
      <c r="E35" s="396">
        <v>10700</v>
      </c>
      <c r="F35" s="396">
        <v>11494.07</v>
      </c>
      <c r="G35" s="396"/>
      <c r="H35" s="402">
        <v>12012.6</v>
      </c>
      <c r="I35" s="402">
        <v>12384</v>
      </c>
      <c r="J35" s="402">
        <v>12657</v>
      </c>
    </row>
    <row r="36" ht="17.4" spans="1:10">
      <c r="A36" s="393">
        <v>6</v>
      </c>
      <c r="B36" s="394" t="s">
        <v>48</v>
      </c>
      <c r="C36" s="404">
        <v>50002969</v>
      </c>
      <c r="D36" s="396">
        <v>3937</v>
      </c>
      <c r="E36" s="396">
        <v>4341</v>
      </c>
      <c r="F36" s="396">
        <v>5453.28</v>
      </c>
      <c r="G36" s="396"/>
      <c r="H36" s="402">
        <v>6621.05</v>
      </c>
      <c r="I36" s="402">
        <v>7108</v>
      </c>
      <c r="J36" s="402">
        <v>7388</v>
      </c>
    </row>
    <row r="37" ht="17.4" spans="1:10">
      <c r="A37" s="393">
        <v>7</v>
      </c>
      <c r="B37" s="394" t="s">
        <v>48</v>
      </c>
      <c r="C37" s="404">
        <v>50002951</v>
      </c>
      <c r="D37" s="396">
        <v>6063</v>
      </c>
      <c r="E37" s="396">
        <v>6514</v>
      </c>
      <c r="F37" s="396">
        <v>7105.58</v>
      </c>
      <c r="G37" s="396"/>
      <c r="H37" s="402">
        <v>8010.78</v>
      </c>
      <c r="I37" s="402">
        <v>8532</v>
      </c>
      <c r="J37" s="402">
        <v>8816</v>
      </c>
    </row>
    <row r="38" ht="17.4" spans="1:10">
      <c r="A38" s="393">
        <v>8</v>
      </c>
      <c r="B38" s="394" t="s">
        <v>48</v>
      </c>
      <c r="C38" s="404">
        <v>50002959</v>
      </c>
      <c r="D38" s="396">
        <v>2378</v>
      </c>
      <c r="E38" s="396">
        <v>3049</v>
      </c>
      <c r="F38" s="396">
        <v>3644.67</v>
      </c>
      <c r="G38" s="396"/>
      <c r="H38" s="402">
        <v>4022.29</v>
      </c>
      <c r="I38" s="402">
        <v>4410</v>
      </c>
      <c r="J38" s="402">
        <v>4764</v>
      </c>
    </row>
    <row r="39" ht="17.4" spans="1:10">
      <c r="A39" s="393">
        <v>9</v>
      </c>
      <c r="B39" s="394" t="s">
        <v>48</v>
      </c>
      <c r="C39" s="399"/>
      <c r="D39" s="396">
        <v>0</v>
      </c>
      <c r="E39" s="396">
        <v>0</v>
      </c>
      <c r="F39" s="396">
        <v>0</v>
      </c>
      <c r="G39" s="396"/>
      <c r="H39" s="402"/>
      <c r="I39" s="402"/>
      <c r="J39" s="402"/>
    </row>
    <row r="40" ht="17.4" spans="1:10">
      <c r="A40" s="393">
        <v>10</v>
      </c>
      <c r="B40" s="394" t="s">
        <v>48</v>
      </c>
      <c r="C40" s="404">
        <v>50003420</v>
      </c>
      <c r="D40" s="396">
        <v>4776</v>
      </c>
      <c r="E40" s="396">
        <v>5124</v>
      </c>
      <c r="F40" s="396">
        <v>5898.31</v>
      </c>
      <c r="G40" s="396"/>
      <c r="H40" s="402">
        <v>6484.91</v>
      </c>
      <c r="I40" s="402">
        <v>6876</v>
      </c>
      <c r="J40" s="402">
        <v>7104</v>
      </c>
    </row>
    <row r="41" ht="17.4" spans="1:10">
      <c r="A41" s="393">
        <v>11</v>
      </c>
      <c r="B41" s="394" t="s">
        <v>48</v>
      </c>
      <c r="C41" s="405">
        <v>50003410</v>
      </c>
      <c r="D41" s="396">
        <v>14777</v>
      </c>
      <c r="E41" s="396">
        <v>15333</v>
      </c>
      <c r="F41" s="396">
        <v>17203.61</v>
      </c>
      <c r="G41" s="396"/>
      <c r="H41" s="402">
        <v>19213.57</v>
      </c>
      <c r="I41" s="402">
        <v>20006</v>
      </c>
      <c r="J41" s="402">
        <v>20313</v>
      </c>
    </row>
    <row r="42" ht="17.4" spans="1:10">
      <c r="A42" s="393">
        <v>12</v>
      </c>
      <c r="B42" s="394" t="s">
        <v>48</v>
      </c>
      <c r="C42" s="404">
        <v>50003418</v>
      </c>
      <c r="D42" s="396">
        <v>4054</v>
      </c>
      <c r="E42" s="396">
        <v>4380</v>
      </c>
      <c r="F42" s="396">
        <v>4732.36</v>
      </c>
      <c r="G42" s="396"/>
      <c r="H42" s="402">
        <v>5001.61</v>
      </c>
      <c r="I42" s="402">
        <v>5260</v>
      </c>
      <c r="J42" s="402">
        <v>5448</v>
      </c>
    </row>
    <row r="43" ht="17.4" spans="1:10">
      <c r="A43" s="393">
        <v>13</v>
      </c>
      <c r="B43" s="394" t="s">
        <v>48</v>
      </c>
      <c r="C43" s="404">
        <v>50002859</v>
      </c>
      <c r="D43" s="396">
        <v>7149</v>
      </c>
      <c r="E43" s="396">
        <v>7632</v>
      </c>
      <c r="F43" s="396">
        <v>8977</v>
      </c>
      <c r="G43" s="396"/>
      <c r="H43" s="402">
        <v>10306.98</v>
      </c>
      <c r="I43" s="402">
        <v>10946</v>
      </c>
      <c r="J43" s="402">
        <v>11250</v>
      </c>
    </row>
    <row r="44" ht="17.4" spans="1:10">
      <c r="A44" s="393">
        <v>14</v>
      </c>
      <c r="B44" s="394" t="s">
        <v>48</v>
      </c>
      <c r="C44" s="404">
        <v>50003396</v>
      </c>
      <c r="D44" s="396">
        <v>183</v>
      </c>
      <c r="E44" s="396">
        <v>1359</v>
      </c>
      <c r="F44" s="396">
        <v>3065.4</v>
      </c>
      <c r="G44" s="396"/>
      <c r="H44" s="402">
        <v>4143.62</v>
      </c>
      <c r="I44" s="402">
        <v>4820</v>
      </c>
      <c r="J44" s="402">
        <v>5206</v>
      </c>
    </row>
    <row r="45" ht="17.4" spans="1:10">
      <c r="A45" s="393">
        <v>15</v>
      </c>
      <c r="B45" s="394" t="s">
        <v>48</v>
      </c>
      <c r="C45" s="404">
        <v>50003401</v>
      </c>
      <c r="D45" s="396">
        <v>3807</v>
      </c>
      <c r="E45" s="396">
        <v>4051</v>
      </c>
      <c r="F45" s="396">
        <v>4461.85</v>
      </c>
      <c r="G45" s="396"/>
      <c r="H45" s="402">
        <v>4721.91</v>
      </c>
      <c r="I45" s="402">
        <v>4892</v>
      </c>
      <c r="J45" s="402">
        <v>5040</v>
      </c>
    </row>
    <row r="46" ht="17.4" spans="1:10">
      <c r="A46" s="393">
        <v>16</v>
      </c>
      <c r="B46" s="394" t="s">
        <v>48</v>
      </c>
      <c r="C46" s="404">
        <v>50003430</v>
      </c>
      <c r="D46" s="396">
        <v>5421</v>
      </c>
      <c r="E46" s="396">
        <v>5869</v>
      </c>
      <c r="F46" s="396">
        <v>6394.51</v>
      </c>
      <c r="G46" s="396"/>
      <c r="H46" s="402">
        <v>6882.04</v>
      </c>
      <c r="I46" s="402">
        <v>7246</v>
      </c>
      <c r="J46" s="402">
        <v>7493</v>
      </c>
    </row>
    <row r="47" ht="17.4" spans="1:10">
      <c r="A47" s="393">
        <v>17</v>
      </c>
      <c r="B47" s="394" t="s">
        <v>48</v>
      </c>
      <c r="C47" s="404">
        <v>50003415</v>
      </c>
      <c r="D47" s="396">
        <v>4584</v>
      </c>
      <c r="E47" s="396">
        <v>4804</v>
      </c>
      <c r="F47" s="396">
        <v>5098</v>
      </c>
      <c r="G47" s="396"/>
      <c r="H47" s="402">
        <v>5177</v>
      </c>
      <c r="I47" s="402">
        <v>5345</v>
      </c>
      <c r="J47" s="402">
        <v>5548</v>
      </c>
    </row>
    <row r="48" ht="17.4" spans="1:10">
      <c r="A48" s="393">
        <v>18</v>
      </c>
      <c r="B48" s="394" t="s">
        <v>48</v>
      </c>
      <c r="C48" s="404">
        <v>50002895</v>
      </c>
      <c r="D48" s="396">
        <v>2598</v>
      </c>
      <c r="E48" s="396">
        <v>4059</v>
      </c>
      <c r="F48" s="396">
        <v>5447</v>
      </c>
      <c r="G48" s="396"/>
      <c r="H48" s="402">
        <v>6402</v>
      </c>
      <c r="I48" s="402">
        <v>7710</v>
      </c>
      <c r="J48" s="402">
        <v>8339</v>
      </c>
    </row>
    <row r="49" ht="17.4" spans="1:10">
      <c r="A49" s="393">
        <v>19</v>
      </c>
      <c r="B49" s="394" t="s">
        <v>48</v>
      </c>
      <c r="C49" s="404">
        <v>50003432</v>
      </c>
      <c r="D49" s="396">
        <v>2943</v>
      </c>
      <c r="E49" s="396">
        <v>3111</v>
      </c>
      <c r="F49" s="396">
        <v>3336.82</v>
      </c>
      <c r="G49" s="396"/>
      <c r="H49" s="402">
        <v>3477.55</v>
      </c>
      <c r="I49" s="402">
        <v>3621</v>
      </c>
      <c r="J49" s="402">
        <v>3734</v>
      </c>
    </row>
    <row r="50" ht="17.4" spans="1:10">
      <c r="A50" s="393">
        <v>20</v>
      </c>
      <c r="B50" s="394" t="s">
        <v>48</v>
      </c>
      <c r="C50" s="404">
        <v>50002972</v>
      </c>
      <c r="D50" s="396">
        <v>7692</v>
      </c>
      <c r="E50" s="396">
        <v>8257</v>
      </c>
      <c r="F50" s="396">
        <v>9309.98</v>
      </c>
      <c r="G50" s="396"/>
      <c r="H50" s="402">
        <v>10030.08</v>
      </c>
      <c r="I50" s="402">
        <v>10535</v>
      </c>
      <c r="J50" s="402">
        <v>10841</v>
      </c>
    </row>
    <row r="51" ht="17.4" spans="1:10">
      <c r="A51" s="393">
        <v>21</v>
      </c>
      <c r="B51" s="394" t="s">
        <v>48</v>
      </c>
      <c r="C51" s="404">
        <v>50002650</v>
      </c>
      <c r="D51" s="396">
        <v>8532</v>
      </c>
      <c r="E51" s="396">
        <v>9362</v>
      </c>
      <c r="F51" s="396">
        <v>10850.49</v>
      </c>
      <c r="G51" s="396"/>
      <c r="H51" s="402">
        <v>11951.93</v>
      </c>
      <c r="I51" s="402">
        <v>12589</v>
      </c>
      <c r="J51" s="402">
        <v>13063</v>
      </c>
    </row>
    <row r="52" ht="18" spans="1:10">
      <c r="A52" s="400" t="s">
        <v>335</v>
      </c>
      <c r="B52" s="394" t="s">
        <v>48</v>
      </c>
      <c r="C52" s="404">
        <v>40002670</v>
      </c>
      <c r="D52" s="396">
        <v>2994.53</v>
      </c>
      <c r="E52" s="396">
        <v>16774.87</v>
      </c>
      <c r="F52" s="396">
        <v>36287.57</v>
      </c>
      <c r="G52" s="396"/>
      <c r="H52" s="402">
        <v>53456</v>
      </c>
      <c r="I52" s="402">
        <v>65774</v>
      </c>
      <c r="J52" s="402">
        <v>73412</v>
      </c>
    </row>
    <row r="53" ht="17.4" spans="1:10">
      <c r="A53" s="393" t="s">
        <v>337</v>
      </c>
      <c r="B53" s="394" t="s">
        <v>48</v>
      </c>
      <c r="C53" s="404">
        <v>40002667</v>
      </c>
      <c r="D53" s="396">
        <v>0</v>
      </c>
      <c r="E53" s="396">
        <v>573.98</v>
      </c>
      <c r="F53" s="396">
        <v>2192.17</v>
      </c>
      <c r="G53" s="396"/>
      <c r="H53" s="402">
        <v>2917.32</v>
      </c>
      <c r="I53" s="402">
        <v>4038</v>
      </c>
      <c r="J53" s="402">
        <v>4645</v>
      </c>
    </row>
    <row r="54" ht="17.4" spans="1:10">
      <c r="A54" s="393" t="s">
        <v>340</v>
      </c>
      <c r="B54" s="394" t="s">
        <v>48</v>
      </c>
      <c r="C54" s="404">
        <v>50003399</v>
      </c>
      <c r="D54" s="396">
        <v>2962.64</v>
      </c>
      <c r="E54" s="396">
        <v>4507</v>
      </c>
      <c r="F54" s="396">
        <v>5116.63</v>
      </c>
      <c r="G54" s="396"/>
      <c r="H54" s="402">
        <v>5851.25</v>
      </c>
      <c r="I54" s="402">
        <v>7136</v>
      </c>
      <c r="J54" s="402">
        <v>8127</v>
      </c>
    </row>
    <row r="55" ht="18" spans="1:10">
      <c r="A55" s="401" t="s">
        <v>342</v>
      </c>
      <c r="B55" s="394" t="s">
        <v>48</v>
      </c>
      <c r="C55" s="404"/>
      <c r="D55" s="396"/>
      <c r="E55" s="396"/>
      <c r="F55" s="396"/>
      <c r="G55" s="396"/>
      <c r="H55" s="402"/>
      <c r="I55" s="402">
        <v>129</v>
      </c>
      <c r="J55" s="407">
        <v>129</v>
      </c>
    </row>
    <row r="56" ht="18" spans="1:10">
      <c r="A56" s="403" t="s">
        <v>343</v>
      </c>
      <c r="B56" s="394" t="s">
        <v>48</v>
      </c>
      <c r="C56" s="404"/>
      <c r="D56" s="396"/>
      <c r="E56" s="396"/>
      <c r="F56" s="396"/>
      <c r="G56" s="396"/>
      <c r="H56" s="402"/>
      <c r="I56" s="402">
        <v>204</v>
      </c>
      <c r="J56" s="407">
        <v>204</v>
      </c>
    </row>
    <row r="57" ht="17.4" spans="1:10">
      <c r="A57" s="393">
        <v>1</v>
      </c>
      <c r="B57" s="394" t="s">
        <v>52</v>
      </c>
      <c r="C57" s="404">
        <v>50003397</v>
      </c>
      <c r="D57" s="396">
        <v>6177</v>
      </c>
      <c r="E57" s="396">
        <v>6575</v>
      </c>
      <c r="F57" s="396">
        <v>7272.25</v>
      </c>
      <c r="G57" s="396"/>
      <c r="H57" s="402">
        <v>7838.17</v>
      </c>
      <c r="I57" s="402">
        <v>8252</v>
      </c>
      <c r="J57" s="402">
        <v>8549</v>
      </c>
    </row>
    <row r="58" ht="17.4" spans="1:10">
      <c r="A58" s="393">
        <v>2</v>
      </c>
      <c r="B58" s="394" t="s">
        <v>52</v>
      </c>
      <c r="C58" s="404">
        <v>50003402</v>
      </c>
      <c r="D58" s="396">
        <v>2694</v>
      </c>
      <c r="E58" s="396">
        <v>2919</v>
      </c>
      <c r="F58" s="396">
        <v>3307.24</v>
      </c>
      <c r="G58" s="396"/>
      <c r="H58" s="402">
        <v>3594.1</v>
      </c>
      <c r="I58" s="402">
        <v>3795</v>
      </c>
      <c r="J58" s="402">
        <v>3940</v>
      </c>
    </row>
    <row r="59" ht="17.4" spans="1:10">
      <c r="A59" s="393">
        <v>3</v>
      </c>
      <c r="B59" s="394" t="s">
        <v>52</v>
      </c>
      <c r="C59" s="404">
        <v>50003431</v>
      </c>
      <c r="D59" s="396">
        <v>1847</v>
      </c>
      <c r="E59" s="396">
        <v>2157</v>
      </c>
      <c r="F59" s="396">
        <v>2635.52</v>
      </c>
      <c r="G59" s="396"/>
      <c r="H59" s="402">
        <v>2961.07</v>
      </c>
      <c r="I59" s="402">
        <v>3227</v>
      </c>
      <c r="J59" s="402">
        <v>3414</v>
      </c>
    </row>
    <row r="60" ht="17.4" spans="1:10">
      <c r="A60" s="393">
        <v>4</v>
      </c>
      <c r="B60" s="394" t="s">
        <v>52</v>
      </c>
      <c r="C60" s="404">
        <v>50003394</v>
      </c>
      <c r="D60" s="396">
        <v>1137</v>
      </c>
      <c r="E60" s="396">
        <v>1399</v>
      </c>
      <c r="F60" s="396">
        <v>1985.58</v>
      </c>
      <c r="G60" s="396"/>
      <c r="H60" s="402">
        <v>2578.83</v>
      </c>
      <c r="I60" s="402">
        <v>2811</v>
      </c>
      <c r="J60" s="402">
        <v>2944</v>
      </c>
    </row>
    <row r="61" ht="17.4" spans="1:10">
      <c r="A61" s="393">
        <v>5</v>
      </c>
      <c r="B61" s="394" t="s">
        <v>52</v>
      </c>
      <c r="C61" s="404">
        <v>50003433</v>
      </c>
      <c r="D61" s="396">
        <v>3232</v>
      </c>
      <c r="E61" s="396">
        <v>4074</v>
      </c>
      <c r="F61" s="396">
        <v>4889.35</v>
      </c>
      <c r="G61" s="396"/>
      <c r="H61" s="402">
        <v>5089.98</v>
      </c>
      <c r="I61" s="402">
        <v>6084</v>
      </c>
      <c r="J61" s="402">
        <v>6727</v>
      </c>
    </row>
    <row r="62" ht="17.4" spans="1:10">
      <c r="A62" s="393">
        <v>6</v>
      </c>
      <c r="B62" s="393" t="s">
        <v>52</v>
      </c>
      <c r="C62" s="404">
        <v>50003421</v>
      </c>
      <c r="D62" s="396">
        <v>3268</v>
      </c>
      <c r="E62" s="396">
        <v>3601</v>
      </c>
      <c r="F62" s="396">
        <v>4367.83</v>
      </c>
      <c r="G62" s="396"/>
      <c r="H62" s="402">
        <v>5046.41</v>
      </c>
      <c r="I62" s="402">
        <v>5469</v>
      </c>
      <c r="J62" s="402">
        <v>5726</v>
      </c>
    </row>
    <row r="63" ht="17.4" spans="1:10">
      <c r="A63" s="393">
        <v>7</v>
      </c>
      <c r="B63" s="393" t="s">
        <v>52</v>
      </c>
      <c r="C63" s="404">
        <v>50002953</v>
      </c>
      <c r="D63" s="396">
        <v>119</v>
      </c>
      <c r="E63" s="396">
        <v>134</v>
      </c>
      <c r="F63" s="396">
        <v>144</v>
      </c>
      <c r="G63" s="396"/>
      <c r="H63" s="402">
        <v>160</v>
      </c>
      <c r="I63" s="402">
        <v>164</v>
      </c>
      <c r="J63" s="402">
        <v>164</v>
      </c>
    </row>
    <row r="64" ht="17.4" spans="1:10">
      <c r="A64" s="393">
        <v>8</v>
      </c>
      <c r="B64" s="393" t="s">
        <v>52</v>
      </c>
      <c r="C64" s="404">
        <v>50003395</v>
      </c>
      <c r="D64" s="396">
        <v>9469</v>
      </c>
      <c r="E64" s="396">
        <v>9976</v>
      </c>
      <c r="F64" s="396">
        <v>10886</v>
      </c>
      <c r="G64" s="396"/>
      <c r="H64" s="402">
        <v>11948.49</v>
      </c>
      <c r="I64" s="402">
        <v>12726</v>
      </c>
      <c r="J64" s="402">
        <v>13095</v>
      </c>
    </row>
    <row r="65" ht="17.4" spans="1:10">
      <c r="A65" s="393">
        <v>9</v>
      </c>
      <c r="B65" s="393" t="s">
        <v>52</v>
      </c>
      <c r="C65" s="404">
        <v>50003435</v>
      </c>
      <c r="D65" s="396">
        <v>0</v>
      </c>
      <c r="E65" s="396"/>
      <c r="F65" s="396">
        <v>0</v>
      </c>
      <c r="G65" s="396"/>
      <c r="H65" s="402">
        <v>5</v>
      </c>
      <c r="I65" s="402">
        <v>76</v>
      </c>
      <c r="J65" s="402">
        <v>135</v>
      </c>
    </row>
    <row r="66" ht="17.4" spans="1:10">
      <c r="A66" s="393">
        <v>10</v>
      </c>
      <c r="B66" s="393" t="s">
        <v>52</v>
      </c>
      <c r="C66" s="404">
        <v>50002952</v>
      </c>
      <c r="D66" s="396">
        <v>5326</v>
      </c>
      <c r="E66" s="396">
        <v>5685</v>
      </c>
      <c r="F66" s="396">
        <v>6174.26</v>
      </c>
      <c r="G66" s="396"/>
      <c r="H66" s="402">
        <v>6481.42</v>
      </c>
      <c r="I66" s="402">
        <v>6735</v>
      </c>
      <c r="J66" s="402">
        <v>6900</v>
      </c>
    </row>
    <row r="67" ht="17.4" spans="1:10">
      <c r="A67" s="393">
        <v>11</v>
      </c>
      <c r="B67" s="393" t="s">
        <v>52</v>
      </c>
      <c r="C67" s="404">
        <v>50002944</v>
      </c>
      <c r="D67" s="396">
        <v>0</v>
      </c>
      <c r="E67" s="396">
        <v>0</v>
      </c>
      <c r="F67" s="396">
        <v>7</v>
      </c>
      <c r="G67" s="396"/>
      <c r="H67" s="402">
        <v>24</v>
      </c>
      <c r="I67" s="402">
        <v>36</v>
      </c>
      <c r="J67" s="402">
        <v>149</v>
      </c>
    </row>
    <row r="68" ht="17.4" spans="1:10">
      <c r="A68" s="393">
        <v>12</v>
      </c>
      <c r="B68" s="393" t="s">
        <v>52</v>
      </c>
      <c r="C68" s="404">
        <v>3308026898</v>
      </c>
      <c r="D68" s="396">
        <v>5</v>
      </c>
      <c r="E68" s="396">
        <v>145</v>
      </c>
      <c r="F68" s="396">
        <v>644</v>
      </c>
      <c r="G68" s="396"/>
      <c r="H68" s="402">
        <v>1411.81</v>
      </c>
      <c r="I68" s="402">
        <v>1704.76</v>
      </c>
      <c r="J68" s="402">
        <v>1835.49</v>
      </c>
    </row>
    <row r="69" ht="17.4" spans="1:10">
      <c r="A69" s="393">
        <v>13</v>
      </c>
      <c r="B69" s="393" t="s">
        <v>52</v>
      </c>
      <c r="C69" s="404">
        <v>50003424</v>
      </c>
      <c r="D69" s="396">
        <v>4602</v>
      </c>
      <c r="E69" s="396">
        <v>4723</v>
      </c>
      <c r="F69" s="396">
        <v>5053.76</v>
      </c>
      <c r="G69" s="396"/>
      <c r="H69" s="402">
        <v>5542.59</v>
      </c>
      <c r="I69" s="402">
        <v>6030</v>
      </c>
      <c r="J69" s="402">
        <v>6168</v>
      </c>
    </row>
    <row r="70" ht="17.4" spans="1:10">
      <c r="A70" s="393">
        <v>14</v>
      </c>
      <c r="B70" s="393" t="s">
        <v>52</v>
      </c>
      <c r="C70" s="404">
        <v>50003438</v>
      </c>
      <c r="D70" s="396">
        <v>10279</v>
      </c>
      <c r="E70" s="396">
        <v>10681</v>
      </c>
      <c r="F70" s="396">
        <v>11670.13</v>
      </c>
      <c r="G70" s="396"/>
      <c r="H70" s="402">
        <v>12371.82</v>
      </c>
      <c r="I70" s="402">
        <v>12736</v>
      </c>
      <c r="J70" s="402">
        <v>13010</v>
      </c>
    </row>
    <row r="71" ht="17.4" spans="1:10">
      <c r="A71" s="393">
        <v>15</v>
      </c>
      <c r="B71" s="393" t="s">
        <v>52</v>
      </c>
      <c r="C71" s="404">
        <v>50003404</v>
      </c>
      <c r="D71" s="396">
        <v>4850</v>
      </c>
      <c r="E71" s="396">
        <v>5295</v>
      </c>
      <c r="F71" s="396">
        <v>5967.28</v>
      </c>
      <c r="G71" s="396"/>
      <c r="H71" s="402">
        <v>6566.27</v>
      </c>
      <c r="I71" s="402">
        <v>7111</v>
      </c>
      <c r="J71" s="402">
        <v>7404</v>
      </c>
    </row>
    <row r="72" ht="17.4" spans="1:10">
      <c r="A72" s="393">
        <v>16</v>
      </c>
      <c r="B72" s="393" t="s">
        <v>52</v>
      </c>
      <c r="C72" s="404">
        <v>50003419</v>
      </c>
      <c r="D72" s="396">
        <v>4762</v>
      </c>
      <c r="E72" s="396">
        <v>5338</v>
      </c>
      <c r="F72" s="396">
        <v>6243.76</v>
      </c>
      <c r="G72" s="396"/>
      <c r="H72" s="402">
        <v>6963.45</v>
      </c>
      <c r="I72" s="402">
        <v>7360</v>
      </c>
      <c r="J72" s="402">
        <v>7627</v>
      </c>
    </row>
    <row r="73" ht="17.4" spans="1:10">
      <c r="A73" s="393">
        <v>17</v>
      </c>
      <c r="B73" s="393" t="s">
        <v>52</v>
      </c>
      <c r="C73" s="404">
        <v>50003428</v>
      </c>
      <c r="D73" s="396">
        <v>6</v>
      </c>
      <c r="E73" s="396">
        <v>14</v>
      </c>
      <c r="F73" s="396">
        <v>48</v>
      </c>
      <c r="G73" s="396"/>
      <c r="H73" s="402">
        <v>195</v>
      </c>
      <c r="I73" s="402">
        <v>227</v>
      </c>
      <c r="J73" s="402">
        <v>279</v>
      </c>
    </row>
    <row r="74" ht="17.4" spans="1:10">
      <c r="A74" s="393">
        <v>18</v>
      </c>
      <c r="B74" s="393" t="s">
        <v>52</v>
      </c>
      <c r="C74" s="404">
        <v>50002935</v>
      </c>
      <c r="D74" s="396">
        <v>0</v>
      </c>
      <c r="E74" s="396"/>
      <c r="F74" s="396">
        <v>881.37</v>
      </c>
      <c r="G74" s="396"/>
      <c r="H74" s="402">
        <v>2710.92</v>
      </c>
      <c r="I74" s="402">
        <v>4379</v>
      </c>
      <c r="J74" s="402">
        <v>5697</v>
      </c>
    </row>
    <row r="75" ht="17.4" spans="1:10">
      <c r="A75" s="393">
        <v>19</v>
      </c>
      <c r="B75" s="393" t="s">
        <v>52</v>
      </c>
      <c r="C75" s="404">
        <v>50003417</v>
      </c>
      <c r="D75" s="396">
        <v>6873</v>
      </c>
      <c r="E75" s="396">
        <v>7464</v>
      </c>
      <c r="F75" s="396">
        <v>8646.84</v>
      </c>
      <c r="G75" s="396"/>
      <c r="H75" s="402">
        <v>9744.86</v>
      </c>
      <c r="I75" s="402">
        <v>10411</v>
      </c>
      <c r="J75" s="402">
        <v>10756</v>
      </c>
    </row>
    <row r="76" ht="17.4" spans="1:10">
      <c r="A76" s="393" t="s">
        <v>335</v>
      </c>
      <c r="B76" s="393" t="s">
        <v>52</v>
      </c>
      <c r="C76" s="404">
        <v>40002722</v>
      </c>
      <c r="D76" s="396">
        <v>1886.05</v>
      </c>
      <c r="E76" s="396">
        <v>11537.28</v>
      </c>
      <c r="F76" s="396">
        <v>24413.85</v>
      </c>
      <c r="G76" s="396"/>
      <c r="H76" s="402">
        <v>36340.52</v>
      </c>
      <c r="I76" s="402">
        <v>42252</v>
      </c>
      <c r="J76" s="402">
        <v>47738</v>
      </c>
    </row>
    <row r="77" ht="17.4" spans="1:10">
      <c r="A77" s="393" t="s">
        <v>337</v>
      </c>
      <c r="B77" s="393" t="s">
        <v>52</v>
      </c>
      <c r="C77" s="404">
        <v>40002728</v>
      </c>
      <c r="D77" s="396">
        <v>0</v>
      </c>
      <c r="E77" s="396">
        <v>0</v>
      </c>
      <c r="F77" s="396">
        <v>0</v>
      </c>
      <c r="G77" s="396"/>
      <c r="H77" s="402">
        <v>0</v>
      </c>
      <c r="I77" s="414">
        <v>7349</v>
      </c>
      <c r="J77" s="402">
        <v>9137</v>
      </c>
    </row>
    <row r="78" ht="17.4" spans="1:10">
      <c r="A78" s="393" t="s">
        <v>340</v>
      </c>
      <c r="B78" s="393" t="s">
        <v>52</v>
      </c>
      <c r="C78" s="404">
        <v>50003429</v>
      </c>
      <c r="D78" s="396">
        <v>1885.1</v>
      </c>
      <c r="E78" s="396">
        <v>2434.68</v>
      </c>
      <c r="F78" s="396">
        <v>2817.94</v>
      </c>
      <c r="G78" s="396"/>
      <c r="H78" s="402">
        <v>3213.91</v>
      </c>
      <c r="I78" s="402">
        <v>3640</v>
      </c>
      <c r="J78" s="402">
        <v>4070</v>
      </c>
    </row>
    <row r="79" ht="17.4" spans="1:10">
      <c r="A79" s="393" t="s">
        <v>342</v>
      </c>
      <c r="B79" s="393" t="s">
        <v>52</v>
      </c>
      <c r="C79" s="404">
        <v>50003406</v>
      </c>
      <c r="D79" s="396"/>
      <c r="E79" s="396"/>
      <c r="F79" s="396"/>
      <c r="G79" s="396"/>
      <c r="H79" s="402"/>
      <c r="I79" s="402">
        <v>149</v>
      </c>
      <c r="J79" s="402">
        <v>162</v>
      </c>
    </row>
    <row r="80" ht="17.4" spans="1:10">
      <c r="A80" s="393" t="s">
        <v>343</v>
      </c>
      <c r="B80" s="393" t="s">
        <v>52</v>
      </c>
      <c r="C80" s="404">
        <v>50003408</v>
      </c>
      <c r="D80" s="396"/>
      <c r="E80" s="396"/>
      <c r="F80" s="396"/>
      <c r="G80" s="396"/>
      <c r="H80" s="402"/>
      <c r="I80" s="402">
        <v>128</v>
      </c>
      <c r="J80" s="402">
        <v>143</v>
      </c>
    </row>
    <row r="81" ht="17.4" spans="1:10">
      <c r="A81" s="393">
        <v>1</v>
      </c>
      <c r="B81" s="394" t="s">
        <v>54</v>
      </c>
      <c r="C81" s="404">
        <v>50002920</v>
      </c>
      <c r="D81" s="396"/>
      <c r="E81" s="396">
        <v>0</v>
      </c>
      <c r="F81" s="396"/>
      <c r="G81" s="396">
        <v>7</v>
      </c>
      <c r="H81" s="402"/>
      <c r="I81" s="402">
        <v>17</v>
      </c>
      <c r="J81" s="402"/>
    </row>
    <row r="82" ht="17.4" spans="1:10">
      <c r="A82" s="393">
        <v>2</v>
      </c>
      <c r="B82" s="394" t="s">
        <v>54</v>
      </c>
      <c r="C82" s="404">
        <v>50002903</v>
      </c>
      <c r="D82" s="396"/>
      <c r="E82" s="396">
        <v>3112</v>
      </c>
      <c r="F82" s="396"/>
      <c r="G82" s="396">
        <v>3903</v>
      </c>
      <c r="H82" s="402"/>
      <c r="I82" s="402">
        <v>4264</v>
      </c>
      <c r="J82" s="402">
        <v>4504</v>
      </c>
    </row>
    <row r="83" ht="17.4" spans="1:10">
      <c r="A83" s="393">
        <v>3</v>
      </c>
      <c r="B83" s="394" t="s">
        <v>54</v>
      </c>
      <c r="C83" s="404"/>
      <c r="D83" s="396"/>
      <c r="E83" s="396">
        <v>0</v>
      </c>
      <c r="F83" s="396"/>
      <c r="G83" s="396">
        <v>0</v>
      </c>
      <c r="H83" s="402"/>
      <c r="I83" s="402"/>
      <c r="J83" s="402"/>
    </row>
    <row r="84" ht="17.4" spans="1:10">
      <c r="A84" s="393">
        <v>4</v>
      </c>
      <c r="B84" s="394" t="s">
        <v>54</v>
      </c>
      <c r="C84" s="404"/>
      <c r="D84" s="396"/>
      <c r="E84" s="396">
        <v>0</v>
      </c>
      <c r="F84" s="396"/>
      <c r="G84" s="396">
        <v>0</v>
      </c>
      <c r="H84" s="402"/>
      <c r="I84" s="402"/>
      <c r="J84" s="402"/>
    </row>
    <row r="85" ht="17.4" spans="1:10">
      <c r="A85" s="393">
        <v>5</v>
      </c>
      <c r="B85" s="394" t="s">
        <v>54</v>
      </c>
      <c r="C85" s="404">
        <v>50002911</v>
      </c>
      <c r="D85" s="396"/>
      <c r="E85" s="396">
        <v>3539</v>
      </c>
      <c r="F85" s="396"/>
      <c r="G85" s="396">
        <v>6860</v>
      </c>
      <c r="H85" s="402"/>
      <c r="I85" s="402">
        <v>7368</v>
      </c>
      <c r="J85" s="402">
        <v>7592</v>
      </c>
    </row>
    <row r="86" ht="17.4" spans="1:10">
      <c r="A86" s="393">
        <v>6</v>
      </c>
      <c r="B86" s="394" t="s">
        <v>54</v>
      </c>
      <c r="C86" s="404"/>
      <c r="D86" s="396"/>
      <c r="E86" s="396">
        <v>0</v>
      </c>
      <c r="F86" s="396"/>
      <c r="G86" s="396">
        <v>0</v>
      </c>
      <c r="H86" s="402"/>
      <c r="I86" s="402"/>
      <c r="J86" s="402"/>
    </row>
    <row r="87" ht="17.4" spans="1:10">
      <c r="A87" s="393">
        <v>7</v>
      </c>
      <c r="B87" s="394" t="s">
        <v>54</v>
      </c>
      <c r="C87" s="404"/>
      <c r="D87" s="396"/>
      <c r="E87" s="396">
        <v>0</v>
      </c>
      <c r="F87" s="396"/>
      <c r="G87" s="396">
        <v>0</v>
      </c>
      <c r="H87" s="402"/>
      <c r="I87" s="402"/>
      <c r="J87" s="402"/>
    </row>
    <row r="88" ht="17.4" spans="1:10">
      <c r="A88" s="393">
        <v>8</v>
      </c>
      <c r="B88" s="394" t="s">
        <v>54</v>
      </c>
      <c r="C88" s="404"/>
      <c r="D88" s="396"/>
      <c r="E88" s="396">
        <v>0</v>
      </c>
      <c r="F88" s="396"/>
      <c r="G88" s="396">
        <v>0</v>
      </c>
      <c r="H88" s="402"/>
      <c r="I88" s="402"/>
      <c r="J88" s="402"/>
    </row>
    <row r="89" ht="17.4" spans="1:10">
      <c r="A89" s="393">
        <v>9</v>
      </c>
      <c r="B89" s="394" t="s">
        <v>54</v>
      </c>
      <c r="C89" s="404">
        <v>50002909</v>
      </c>
      <c r="D89" s="396"/>
      <c r="E89" s="396">
        <v>11631</v>
      </c>
      <c r="F89" s="396"/>
      <c r="G89" s="396">
        <v>16215</v>
      </c>
      <c r="H89" s="402"/>
      <c r="I89" s="402">
        <v>18671</v>
      </c>
      <c r="J89" s="402">
        <v>20407</v>
      </c>
    </row>
    <row r="90" ht="17.4" spans="1:10">
      <c r="A90" s="393">
        <v>10</v>
      </c>
      <c r="B90" s="394" t="s">
        <v>54</v>
      </c>
      <c r="C90" s="404"/>
      <c r="D90" s="396"/>
      <c r="E90" s="396">
        <v>0</v>
      </c>
      <c r="F90" s="396"/>
      <c r="G90" s="396">
        <v>0</v>
      </c>
      <c r="H90" s="402"/>
      <c r="I90" s="402"/>
      <c r="J90" s="402"/>
    </row>
    <row r="91" ht="17.4" spans="1:10">
      <c r="A91" s="393">
        <v>11</v>
      </c>
      <c r="B91" s="394" t="s">
        <v>54</v>
      </c>
      <c r="C91" s="404"/>
      <c r="D91" s="396"/>
      <c r="E91" s="396">
        <v>0</v>
      </c>
      <c r="F91" s="396"/>
      <c r="G91" s="396">
        <v>0</v>
      </c>
      <c r="H91" s="402"/>
      <c r="I91" s="402"/>
      <c r="J91" s="402"/>
    </row>
    <row r="92" ht="17.4" spans="1:10">
      <c r="A92" s="393">
        <v>12</v>
      </c>
      <c r="B92" s="394" t="s">
        <v>54</v>
      </c>
      <c r="C92" s="404">
        <v>50002897</v>
      </c>
      <c r="D92" s="396"/>
      <c r="E92" s="396">
        <v>5181</v>
      </c>
      <c r="F92" s="396"/>
      <c r="G92" s="396">
        <v>6991</v>
      </c>
      <c r="H92" s="402"/>
      <c r="I92" s="402">
        <v>7897</v>
      </c>
      <c r="J92" s="402">
        <v>8462</v>
      </c>
    </row>
    <row r="93" ht="17.4" spans="1:10">
      <c r="A93" s="393">
        <v>13</v>
      </c>
      <c r="B93" s="394" t="s">
        <v>54</v>
      </c>
      <c r="C93" s="404">
        <v>50002839</v>
      </c>
      <c r="D93" s="396"/>
      <c r="E93" s="396">
        <v>1740</v>
      </c>
      <c r="F93" s="396"/>
      <c r="G93" s="396">
        <v>3194</v>
      </c>
      <c r="H93" s="402"/>
      <c r="I93" s="402">
        <v>3610</v>
      </c>
      <c r="J93" s="402">
        <v>3840</v>
      </c>
    </row>
    <row r="94" ht="17.4" spans="1:10">
      <c r="A94" s="393">
        <v>14</v>
      </c>
      <c r="B94" s="394" t="s">
        <v>54</v>
      </c>
      <c r="C94" s="404">
        <v>50002863</v>
      </c>
      <c r="D94" s="396"/>
      <c r="E94" s="396">
        <v>1157</v>
      </c>
      <c r="F94" s="396"/>
      <c r="G94" s="396">
        <v>2480</v>
      </c>
      <c r="H94" s="402"/>
      <c r="I94" s="402">
        <v>2707</v>
      </c>
      <c r="J94" s="402">
        <v>2843</v>
      </c>
    </row>
    <row r="95" ht="17.4" spans="1:10">
      <c r="A95" s="393">
        <v>15</v>
      </c>
      <c r="B95" s="394" t="s">
        <v>54</v>
      </c>
      <c r="C95" s="404">
        <v>50002947</v>
      </c>
      <c r="D95" s="396"/>
      <c r="E95" s="396">
        <v>131</v>
      </c>
      <c r="F95" s="396"/>
      <c r="G95" s="396">
        <v>1108</v>
      </c>
      <c r="H95" s="402"/>
      <c r="I95" s="402">
        <v>1489</v>
      </c>
      <c r="J95" s="402">
        <v>1726</v>
      </c>
    </row>
    <row r="96" ht="17.4" spans="1:10">
      <c r="A96" s="393">
        <v>16</v>
      </c>
      <c r="B96" s="394" t="s">
        <v>54</v>
      </c>
      <c r="C96" s="404"/>
      <c r="D96" s="396"/>
      <c r="E96" s="396">
        <v>0</v>
      </c>
      <c r="F96" s="396"/>
      <c r="G96" s="396">
        <v>0</v>
      </c>
      <c r="H96" s="402"/>
      <c r="I96" s="402"/>
      <c r="J96" s="402"/>
    </row>
    <row r="97" ht="17.4" spans="1:10">
      <c r="A97" s="393">
        <v>17</v>
      </c>
      <c r="B97" s="394" t="s">
        <v>54</v>
      </c>
      <c r="C97" s="404">
        <v>50002902</v>
      </c>
      <c r="D97" s="396"/>
      <c r="E97" s="396">
        <v>1331</v>
      </c>
      <c r="F97" s="396"/>
      <c r="G97" s="396">
        <v>2233</v>
      </c>
      <c r="H97" s="402"/>
      <c r="I97" s="402">
        <v>2464</v>
      </c>
      <c r="J97" s="402">
        <v>2630</v>
      </c>
    </row>
    <row r="98" ht="17.4" spans="1:10">
      <c r="A98" s="393">
        <v>18</v>
      </c>
      <c r="B98" s="394" t="s">
        <v>54</v>
      </c>
      <c r="C98" s="404">
        <v>50002950</v>
      </c>
      <c r="D98" s="396"/>
      <c r="E98" s="396">
        <v>1201</v>
      </c>
      <c r="F98" s="396"/>
      <c r="G98" s="396">
        <v>2088</v>
      </c>
      <c r="H98" s="402"/>
      <c r="I98" s="402">
        <v>2302</v>
      </c>
      <c r="J98" s="402">
        <v>2449</v>
      </c>
    </row>
    <row r="99" ht="17.4" spans="1:10">
      <c r="A99" s="393">
        <v>19</v>
      </c>
      <c r="B99" s="394" t="s">
        <v>54</v>
      </c>
      <c r="C99" s="404">
        <v>50002936</v>
      </c>
      <c r="D99" s="396"/>
      <c r="E99" s="396">
        <v>1265</v>
      </c>
      <c r="F99" s="396"/>
      <c r="G99" s="396">
        <v>3040</v>
      </c>
      <c r="H99" s="402"/>
      <c r="I99" s="402">
        <v>3568</v>
      </c>
      <c r="J99" s="402">
        <v>3832</v>
      </c>
    </row>
    <row r="100" ht="17.4" spans="1:10">
      <c r="A100" s="393">
        <v>20</v>
      </c>
      <c r="B100" s="394" t="s">
        <v>54</v>
      </c>
      <c r="C100" s="404"/>
      <c r="D100" s="396"/>
      <c r="E100" s="396">
        <v>0</v>
      </c>
      <c r="F100" s="396"/>
      <c r="G100" s="396">
        <v>0</v>
      </c>
      <c r="H100" s="402"/>
      <c r="I100" s="402"/>
      <c r="J100" s="402"/>
    </row>
    <row r="101" ht="17.4" spans="1:10">
      <c r="A101" s="393">
        <v>21</v>
      </c>
      <c r="B101" s="394" t="s">
        <v>54</v>
      </c>
      <c r="C101" s="404">
        <v>50002922</v>
      </c>
      <c r="D101" s="396"/>
      <c r="E101" s="396">
        <v>5446</v>
      </c>
      <c r="F101" s="396"/>
      <c r="G101" s="396">
        <v>6429</v>
      </c>
      <c r="H101" s="402"/>
      <c r="I101" s="402">
        <v>6720</v>
      </c>
      <c r="J101" s="402"/>
    </row>
    <row r="102" ht="17.4" spans="1:10">
      <c r="A102" s="393">
        <v>22</v>
      </c>
      <c r="B102" s="394" t="s">
        <v>54</v>
      </c>
      <c r="C102" s="404"/>
      <c r="D102" s="396"/>
      <c r="E102" s="396">
        <v>0</v>
      </c>
      <c r="F102" s="396"/>
      <c r="G102" s="396">
        <v>0</v>
      </c>
      <c r="H102" s="402"/>
      <c r="I102" s="402"/>
      <c r="J102" s="402"/>
    </row>
    <row r="103" ht="17.4" spans="1:10">
      <c r="A103" s="393">
        <v>23</v>
      </c>
      <c r="B103" s="394" t="s">
        <v>54</v>
      </c>
      <c r="C103" s="404">
        <v>50002928</v>
      </c>
      <c r="D103" s="396"/>
      <c r="E103" s="396">
        <v>2659</v>
      </c>
      <c r="F103" s="396"/>
      <c r="G103" s="396">
        <v>4233</v>
      </c>
      <c r="H103" s="402"/>
      <c r="I103" s="402">
        <v>4923</v>
      </c>
      <c r="J103" s="402"/>
    </row>
    <row r="104" ht="18" spans="1:10">
      <c r="A104" s="400" t="s">
        <v>335</v>
      </c>
      <c r="B104" s="394" t="s">
        <v>54</v>
      </c>
      <c r="C104" s="404">
        <v>2902000692</v>
      </c>
      <c r="D104" s="396"/>
      <c r="E104" s="396">
        <v>0</v>
      </c>
      <c r="F104" s="396"/>
      <c r="G104" s="396">
        <v>1873.53</v>
      </c>
      <c r="H104" s="402"/>
      <c r="I104" s="402">
        <v>9894.16</v>
      </c>
      <c r="J104" s="402">
        <v>14827.34</v>
      </c>
    </row>
    <row r="105" ht="17.4" spans="1:10">
      <c r="A105" s="393" t="s">
        <v>337</v>
      </c>
      <c r="B105" s="394" t="s">
        <v>54</v>
      </c>
      <c r="C105" s="404">
        <v>2902000696</v>
      </c>
      <c r="D105" s="396"/>
      <c r="E105" s="396">
        <v>0</v>
      </c>
      <c r="F105" s="396"/>
      <c r="G105" s="396">
        <v>0</v>
      </c>
      <c r="H105" s="402"/>
      <c r="I105" s="402"/>
      <c r="J105" s="402"/>
    </row>
    <row r="106" ht="17.4" spans="1:10">
      <c r="A106" s="393" t="s">
        <v>340</v>
      </c>
      <c r="B106" s="394" t="s">
        <v>54</v>
      </c>
      <c r="C106" s="404">
        <v>2912025475</v>
      </c>
      <c r="D106" s="396"/>
      <c r="E106" s="396">
        <v>5813.52</v>
      </c>
      <c r="F106" s="396"/>
      <c r="G106" s="396">
        <v>5953.22</v>
      </c>
      <c r="H106" s="402"/>
      <c r="I106" s="402">
        <v>6652.48</v>
      </c>
      <c r="J106" s="402">
        <v>7111.21</v>
      </c>
    </row>
    <row r="107" ht="18" spans="1:10">
      <c r="A107" s="401" t="s">
        <v>342</v>
      </c>
      <c r="B107" s="394" t="s">
        <v>54</v>
      </c>
      <c r="C107" s="404"/>
      <c r="D107" s="396"/>
      <c r="E107" s="396"/>
      <c r="F107" s="396"/>
      <c r="G107" s="396"/>
      <c r="H107" s="402"/>
      <c r="I107" s="402">
        <v>28.28</v>
      </c>
      <c r="J107" s="402"/>
    </row>
    <row r="108" ht="18" spans="1:10">
      <c r="A108" s="403" t="s">
        <v>343</v>
      </c>
      <c r="B108" s="394" t="s">
        <v>54</v>
      </c>
      <c r="C108" s="404"/>
      <c r="D108" s="396"/>
      <c r="E108" s="396"/>
      <c r="F108" s="396"/>
      <c r="G108" s="396"/>
      <c r="H108" s="402"/>
      <c r="I108" s="402">
        <v>50.17</v>
      </c>
      <c r="J108" s="402"/>
    </row>
    <row r="109" ht="17.4" spans="1:10">
      <c r="A109" s="393">
        <v>1</v>
      </c>
      <c r="B109" s="394" t="s">
        <v>58</v>
      </c>
      <c r="C109" s="395">
        <v>50003379</v>
      </c>
      <c r="D109" s="396"/>
      <c r="E109" s="396">
        <v>241</v>
      </c>
      <c r="F109" s="408">
        <f>(Reading_import[[#This Row],[9/10/2024]]-Reading_import[[#This Row],[1/5/2024]])/192*92+Reading_import[[#This Row],[1/5/2024]]</f>
        <v>739.572916666667</v>
      </c>
      <c r="G109" s="396"/>
      <c r="H109" s="402">
        <v>1281.5</v>
      </c>
      <c r="I109" s="402">
        <v>1514</v>
      </c>
      <c r="J109" s="402">
        <v>1680</v>
      </c>
    </row>
    <row r="110" ht="17.4" spans="1:10">
      <c r="A110" s="393">
        <v>2</v>
      </c>
      <c r="B110" s="394" t="s">
        <v>58</v>
      </c>
      <c r="C110" s="395">
        <v>50002906</v>
      </c>
      <c r="D110" s="396"/>
      <c r="E110" s="396">
        <v>1647</v>
      </c>
      <c r="F110" s="396">
        <v>2537</v>
      </c>
      <c r="G110" s="396"/>
      <c r="H110" s="402">
        <v>4071.09</v>
      </c>
      <c r="I110" s="396">
        <v>4319</v>
      </c>
      <c r="J110" s="402">
        <v>4500</v>
      </c>
    </row>
    <row r="111" ht="17.4" spans="1:10">
      <c r="A111" s="393">
        <v>3</v>
      </c>
      <c r="B111" s="394" t="s">
        <v>58</v>
      </c>
      <c r="C111" s="395">
        <v>50002924</v>
      </c>
      <c r="D111" s="396"/>
      <c r="E111" s="396">
        <v>2026.23</v>
      </c>
      <c r="F111" s="396">
        <v>2282</v>
      </c>
      <c r="G111" s="396"/>
      <c r="H111" s="396">
        <v>2434.71</v>
      </c>
      <c r="I111" s="396">
        <v>2589</v>
      </c>
      <c r="J111" s="402">
        <v>2701</v>
      </c>
    </row>
    <row r="112" ht="20.4" spans="1:10">
      <c r="A112" s="393">
        <v>4</v>
      </c>
      <c r="B112" s="394" t="s">
        <v>58</v>
      </c>
      <c r="C112" s="409">
        <v>50002908</v>
      </c>
      <c r="D112" s="396"/>
      <c r="E112" s="396"/>
      <c r="F112" s="396"/>
      <c r="G112" s="396"/>
      <c r="H112" s="402">
        <v>20</v>
      </c>
      <c r="I112" s="408">
        <v>58.4942148760331</v>
      </c>
      <c r="J112" s="402">
        <v>144</v>
      </c>
    </row>
    <row r="113" ht="17.4" spans="1:10">
      <c r="A113" s="393">
        <v>5</v>
      </c>
      <c r="B113" s="394" t="s">
        <v>58</v>
      </c>
      <c r="C113" s="395">
        <v>50002894</v>
      </c>
      <c r="D113" s="396"/>
      <c r="E113" s="396">
        <v>3309</v>
      </c>
      <c r="F113" s="408">
        <f>(Reading_import[[#This Row],[9/10/2024]]-Reading_import[[#This Row],[1/5/2024]])/192*92+Reading_import[[#This Row],[1/5/2024]]</f>
        <v>3693.61270833333</v>
      </c>
      <c r="G113" s="396"/>
      <c r="H113" s="402">
        <v>4111.67</v>
      </c>
      <c r="I113" s="402">
        <v>4349</v>
      </c>
      <c r="J113" s="402">
        <v>4587</v>
      </c>
    </row>
    <row r="114" ht="17.4" spans="1:10">
      <c r="A114" s="393">
        <v>6</v>
      </c>
      <c r="B114" s="394" t="s">
        <v>58</v>
      </c>
      <c r="C114" s="395">
        <v>50002835</v>
      </c>
      <c r="D114" s="396"/>
      <c r="E114" s="396">
        <v>1620</v>
      </c>
      <c r="F114" s="396">
        <v>2447</v>
      </c>
      <c r="G114" s="396"/>
      <c r="H114" s="402">
        <v>2982.67</v>
      </c>
      <c r="I114" s="402">
        <v>3459</v>
      </c>
      <c r="J114" s="402">
        <v>3760</v>
      </c>
    </row>
    <row r="115" ht="17.4" spans="1:10">
      <c r="A115" s="393">
        <v>7</v>
      </c>
      <c r="B115" s="394" t="s">
        <v>58</v>
      </c>
      <c r="C115" s="395">
        <v>50002899</v>
      </c>
      <c r="D115" s="396"/>
      <c r="E115" s="396">
        <v>2827</v>
      </c>
      <c r="F115" s="396">
        <v>3333</v>
      </c>
      <c r="G115" s="396"/>
      <c r="H115" s="402">
        <v>3650.6</v>
      </c>
      <c r="I115" s="402">
        <v>3918</v>
      </c>
      <c r="J115" s="402">
        <v>4079</v>
      </c>
    </row>
    <row r="116" ht="17.4" spans="1:10">
      <c r="A116" s="393">
        <v>8</v>
      </c>
      <c r="B116" s="394" t="s">
        <v>58</v>
      </c>
      <c r="C116" s="395">
        <v>50002910</v>
      </c>
      <c r="D116" s="396"/>
      <c r="E116" s="396">
        <v>4397</v>
      </c>
      <c r="F116" s="396">
        <v>4909</v>
      </c>
      <c r="G116" s="396"/>
      <c r="H116" s="402">
        <v>5132.24</v>
      </c>
      <c r="I116" s="402">
        <v>5371</v>
      </c>
      <c r="J116" s="402">
        <v>5533</v>
      </c>
    </row>
    <row r="117" ht="17.4" spans="1:10">
      <c r="A117" s="393">
        <v>9</v>
      </c>
      <c r="B117" s="394" t="s">
        <v>58</v>
      </c>
      <c r="C117" s="395">
        <v>50002960</v>
      </c>
      <c r="D117" s="396"/>
      <c r="E117" s="396">
        <v>3534</v>
      </c>
      <c r="F117" s="396">
        <v>4884</v>
      </c>
      <c r="G117" s="396"/>
      <c r="H117" s="402">
        <v>5886.13</v>
      </c>
      <c r="I117" s="402">
        <v>6458</v>
      </c>
      <c r="J117" s="402">
        <v>6805</v>
      </c>
    </row>
    <row r="118" ht="17.4" spans="1:10">
      <c r="A118" s="393">
        <v>10</v>
      </c>
      <c r="B118" s="394" t="s">
        <v>58</v>
      </c>
      <c r="C118" s="395">
        <v>50002926</v>
      </c>
      <c r="D118" s="396"/>
      <c r="E118" s="396">
        <v>2323</v>
      </c>
      <c r="F118" s="396">
        <v>3619</v>
      </c>
      <c r="G118" s="396"/>
      <c r="H118" s="402">
        <v>4130.67</v>
      </c>
      <c r="I118" s="402">
        <v>4996</v>
      </c>
      <c r="J118" s="402">
        <v>5523</v>
      </c>
    </row>
    <row r="119" ht="17.4" spans="1:10">
      <c r="A119" s="393">
        <v>11</v>
      </c>
      <c r="B119" s="394" t="s">
        <v>58</v>
      </c>
      <c r="C119" s="410"/>
      <c r="D119" s="396"/>
      <c r="E119" s="396"/>
      <c r="F119" s="396"/>
      <c r="G119" s="396"/>
      <c r="H119" s="402"/>
      <c r="I119" s="402"/>
      <c r="J119" s="402"/>
    </row>
    <row r="120" ht="20.4" spans="1:10">
      <c r="A120" s="393">
        <v>12</v>
      </c>
      <c r="B120" s="394" t="s">
        <v>58</v>
      </c>
      <c r="C120" s="411">
        <v>3308026743</v>
      </c>
      <c r="D120" s="396"/>
      <c r="E120" s="396">
        <v>19.06</v>
      </c>
      <c r="F120" s="408">
        <f>(Reading_import[[#This Row],[9/10/2024]]-Reading_import[[#This Row],[1/5/2024]])/192*92+Reading_import[[#This Row],[1/5/2024]]</f>
        <v>45.8645833333333</v>
      </c>
      <c r="G120" s="396"/>
      <c r="H120" s="402">
        <v>75</v>
      </c>
      <c r="I120" s="408">
        <v>75.9552066115702</v>
      </c>
      <c r="J120" s="402">
        <v>2893</v>
      </c>
    </row>
    <row r="121" ht="20.4" spans="1:10">
      <c r="A121" s="393">
        <v>13</v>
      </c>
      <c r="B121" s="394" t="s">
        <v>58</v>
      </c>
      <c r="C121" s="409">
        <v>50002961</v>
      </c>
      <c r="D121" s="396"/>
      <c r="E121" s="396"/>
      <c r="F121" s="396"/>
      <c r="G121" s="396"/>
      <c r="H121" s="402">
        <v>1</v>
      </c>
      <c r="I121" s="408">
        <v>5.06611570247934</v>
      </c>
      <c r="J121" s="402">
        <v>338</v>
      </c>
    </row>
    <row r="122" ht="17.4" spans="1:10">
      <c r="A122" s="393">
        <v>14</v>
      </c>
      <c r="B122" s="394" t="s">
        <v>58</v>
      </c>
      <c r="C122" s="410"/>
      <c r="D122" s="396"/>
      <c r="E122" s="396"/>
      <c r="F122" s="396"/>
      <c r="G122" s="396"/>
      <c r="H122" s="402"/>
      <c r="I122" s="402"/>
      <c r="J122" s="402"/>
    </row>
    <row r="123" ht="17.4" spans="1:10">
      <c r="A123" s="393">
        <v>15</v>
      </c>
      <c r="B123" s="394" t="s">
        <v>58</v>
      </c>
      <c r="C123" s="395">
        <v>50002930</v>
      </c>
      <c r="D123" s="396"/>
      <c r="E123" s="396">
        <v>437</v>
      </c>
      <c r="F123" s="408">
        <f>(Reading_import[[#This Row],[9/10/2024]]-Reading_import[[#This Row],[1/5/2024]])/192*92+Reading_import[[#This Row],[1/5/2024]]</f>
        <v>800.620416666667</v>
      </c>
      <c r="G123" s="396"/>
      <c r="H123" s="402">
        <v>1195.86</v>
      </c>
      <c r="I123" s="402">
        <v>1377</v>
      </c>
      <c r="J123" s="402">
        <v>1598</v>
      </c>
    </row>
    <row r="124" ht="17.4" spans="1:10">
      <c r="A124" s="393">
        <v>16</v>
      </c>
      <c r="B124" s="394" t="s">
        <v>58</v>
      </c>
      <c r="C124" s="395">
        <v>50002843</v>
      </c>
      <c r="D124" s="396"/>
      <c r="E124" s="396">
        <v>1987</v>
      </c>
      <c r="F124" s="396">
        <v>2175</v>
      </c>
      <c r="G124" s="396"/>
      <c r="H124" s="402">
        <v>2360.63</v>
      </c>
      <c r="I124" s="402">
        <v>2534</v>
      </c>
      <c r="J124" s="402">
        <v>2650</v>
      </c>
    </row>
    <row r="125" ht="17.4" spans="1:10">
      <c r="A125" s="393">
        <v>17</v>
      </c>
      <c r="B125" s="394" t="s">
        <v>58</v>
      </c>
      <c r="C125" s="395">
        <v>50002929</v>
      </c>
      <c r="D125" s="396"/>
      <c r="E125" s="396">
        <v>904</v>
      </c>
      <c r="F125" s="396">
        <v>1685</v>
      </c>
      <c r="G125" s="396"/>
      <c r="H125" s="402">
        <v>2478.88</v>
      </c>
      <c r="I125" s="402">
        <v>2797</v>
      </c>
      <c r="J125" s="402">
        <v>2959</v>
      </c>
    </row>
    <row r="126" ht="17.4" spans="1:10">
      <c r="A126" s="393">
        <v>18</v>
      </c>
      <c r="B126" s="394" t="s">
        <v>58</v>
      </c>
      <c r="C126" s="410"/>
      <c r="D126" s="396"/>
      <c r="E126" s="396"/>
      <c r="F126" s="396"/>
      <c r="G126" s="396"/>
      <c r="H126" s="402"/>
      <c r="I126" s="402"/>
      <c r="J126" s="402"/>
    </row>
    <row r="127" ht="17.4" spans="1:10">
      <c r="A127" s="393">
        <v>19</v>
      </c>
      <c r="B127" s="394" t="s">
        <v>58</v>
      </c>
      <c r="C127" s="412"/>
      <c r="D127" s="396"/>
      <c r="E127" s="396"/>
      <c r="F127" s="396"/>
      <c r="G127" s="396"/>
      <c r="H127" s="402">
        <v>0</v>
      </c>
      <c r="I127" s="408">
        <v>0.482456140350877</v>
      </c>
      <c r="J127" s="402">
        <v>74</v>
      </c>
    </row>
    <row r="128" ht="17.4" spans="1:10">
      <c r="A128" s="393">
        <v>20</v>
      </c>
      <c r="B128" s="394" t="s">
        <v>58</v>
      </c>
      <c r="C128" s="413"/>
      <c r="D128" s="396"/>
      <c r="E128" s="396">
        <v>112</v>
      </c>
      <c r="F128" s="408">
        <f>(Reading_import[[#This Row],[9/10/2024]]-Reading_import[[#This Row],[1/5/2024]])/192*92+Reading_import[[#This Row],[1/5/2024]]</f>
        <v>137.875</v>
      </c>
      <c r="G128" s="396"/>
      <c r="H128" s="402">
        <v>166</v>
      </c>
      <c r="I128" s="408">
        <v>166.350877192982</v>
      </c>
      <c r="J128" s="402">
        <v>216</v>
      </c>
    </row>
    <row r="129" ht="20.4" spans="1:10">
      <c r="A129" s="393">
        <v>21</v>
      </c>
      <c r="B129" s="394" t="s">
        <v>58</v>
      </c>
      <c r="C129" s="411">
        <v>50002916</v>
      </c>
      <c r="D129" s="396"/>
      <c r="E129" s="396">
        <v>6818</v>
      </c>
      <c r="F129" s="396">
        <v>7458</v>
      </c>
      <c r="G129" s="396"/>
      <c r="H129" s="402">
        <v>7996.8</v>
      </c>
      <c r="I129" s="402">
        <v>8483</v>
      </c>
      <c r="J129" s="402">
        <v>8930</v>
      </c>
    </row>
    <row r="130" ht="17.4" spans="1:10">
      <c r="A130" s="393">
        <v>22</v>
      </c>
      <c r="B130" s="394" t="s">
        <v>58</v>
      </c>
      <c r="C130" s="410"/>
      <c r="D130" s="396"/>
      <c r="E130" s="396"/>
      <c r="F130" s="396"/>
      <c r="G130" s="396"/>
      <c r="H130" s="402"/>
      <c r="I130" s="402"/>
      <c r="J130" s="402"/>
    </row>
    <row r="131" ht="18" spans="1:10">
      <c r="A131" s="400" t="s">
        <v>335</v>
      </c>
      <c r="B131" s="394" t="s">
        <v>58</v>
      </c>
      <c r="C131" s="395">
        <v>2902000956</v>
      </c>
      <c r="D131" s="396"/>
      <c r="E131" s="396">
        <v>0</v>
      </c>
      <c r="F131" s="396">
        <v>0</v>
      </c>
      <c r="G131" s="396"/>
      <c r="H131" s="402">
        <v>2349.14</v>
      </c>
      <c r="I131" s="402">
        <v>9052.59</v>
      </c>
      <c r="J131" s="402">
        <v>13487.18</v>
      </c>
    </row>
    <row r="132" ht="17.4" spans="1:10">
      <c r="A132" s="393" t="s">
        <v>337</v>
      </c>
      <c r="B132" s="394" t="s">
        <v>58</v>
      </c>
      <c r="C132" s="395">
        <v>2902000944</v>
      </c>
      <c r="D132" s="396"/>
      <c r="E132" s="396">
        <v>0</v>
      </c>
      <c r="F132" s="396"/>
      <c r="G132" s="396"/>
      <c r="H132" s="402">
        <v>0</v>
      </c>
      <c r="I132" s="402"/>
      <c r="J132" s="402"/>
    </row>
    <row r="133" ht="17.4" spans="1:10">
      <c r="A133" s="393" t="s">
        <v>340</v>
      </c>
      <c r="B133" s="394" t="s">
        <v>58</v>
      </c>
      <c r="C133" s="395">
        <v>2912025226</v>
      </c>
      <c r="D133" s="396"/>
      <c r="E133" s="396">
        <v>9095.3</v>
      </c>
      <c r="F133" s="396">
        <v>9508.19</v>
      </c>
      <c r="G133" s="396"/>
      <c r="H133" s="402">
        <v>9771.3</v>
      </c>
      <c r="I133" s="408">
        <f>Reading_import[[#This Row],[9/10/2024]]+542.64</f>
        <v>10313.94</v>
      </c>
      <c r="J133" s="402">
        <v>10689.6</v>
      </c>
    </row>
    <row r="134" ht="18" spans="1:10">
      <c r="A134" s="401" t="s">
        <v>342</v>
      </c>
      <c r="B134" s="394" t="s">
        <v>58</v>
      </c>
      <c r="C134" s="395"/>
      <c r="D134" s="396"/>
      <c r="E134" s="396"/>
      <c r="F134" s="396"/>
      <c r="G134" s="396"/>
      <c r="H134" s="402"/>
      <c r="I134" s="402"/>
      <c r="J134" s="402"/>
    </row>
    <row r="135" ht="18" spans="1:10">
      <c r="A135" s="403" t="s">
        <v>343</v>
      </c>
      <c r="B135" s="394" t="s">
        <v>58</v>
      </c>
      <c r="C135" s="395"/>
      <c r="D135" s="396"/>
      <c r="E135" s="396"/>
      <c r="F135" s="396"/>
      <c r="G135" s="396"/>
      <c r="H135" s="402"/>
      <c r="I135" s="402"/>
      <c r="J135" s="402"/>
    </row>
    <row r="136" ht="17.4" spans="1:10">
      <c r="A136" s="393">
        <v>1</v>
      </c>
      <c r="B136" s="394" t="s">
        <v>59</v>
      </c>
      <c r="C136" s="415"/>
      <c r="D136" s="396"/>
      <c r="E136" s="396">
        <v>47</v>
      </c>
      <c r="F136" s="396"/>
      <c r="G136" s="396"/>
      <c r="H136" s="402">
        <v>86</v>
      </c>
      <c r="I136" s="408">
        <v>407.138211382114</v>
      </c>
      <c r="J136" s="425"/>
    </row>
    <row r="137" ht="17.4" spans="1:10">
      <c r="A137" s="393">
        <v>2</v>
      </c>
      <c r="B137" s="394" t="s">
        <v>59</v>
      </c>
      <c r="C137" s="399"/>
      <c r="D137" s="396"/>
      <c r="E137" s="396"/>
      <c r="F137" s="396"/>
      <c r="G137" s="396"/>
      <c r="H137" s="402"/>
      <c r="I137" s="426"/>
      <c r="J137" s="425"/>
    </row>
    <row r="138" ht="17.4" spans="1:10">
      <c r="A138" s="393">
        <v>3</v>
      </c>
      <c r="B138" s="394" t="s">
        <v>59</v>
      </c>
      <c r="C138" s="395"/>
      <c r="D138" s="396"/>
      <c r="E138" s="396"/>
      <c r="F138" s="396"/>
      <c r="G138" s="396"/>
      <c r="H138" s="402"/>
      <c r="I138" s="426"/>
      <c r="J138" s="425"/>
    </row>
    <row r="139" ht="17.4" spans="1:10">
      <c r="A139" s="393">
        <v>4</v>
      </c>
      <c r="B139" s="394" t="s">
        <v>59</v>
      </c>
      <c r="C139" s="395">
        <v>50002962</v>
      </c>
      <c r="D139" s="396"/>
      <c r="E139" s="396">
        <v>2312</v>
      </c>
      <c r="F139" s="396"/>
      <c r="G139" s="396"/>
      <c r="H139" s="402">
        <v>2690.14</v>
      </c>
      <c r="I139" s="426">
        <v>3040</v>
      </c>
      <c r="J139" s="425">
        <v>3294</v>
      </c>
    </row>
    <row r="140" ht="17.4" spans="1:10">
      <c r="A140" s="393">
        <v>5</v>
      </c>
      <c r="B140" s="394" t="s">
        <v>59</v>
      </c>
      <c r="C140" s="395"/>
      <c r="D140" s="396"/>
      <c r="E140" s="396"/>
      <c r="F140" s="396"/>
      <c r="G140" s="396"/>
      <c r="H140" s="402"/>
      <c r="I140" s="426"/>
      <c r="J140" s="425"/>
    </row>
    <row r="141" ht="17.4" spans="1:10">
      <c r="A141" s="393">
        <v>6</v>
      </c>
      <c r="B141" s="394" t="s">
        <v>59</v>
      </c>
      <c r="C141" s="395"/>
      <c r="D141" s="396"/>
      <c r="E141" s="396"/>
      <c r="F141" s="396"/>
      <c r="G141" s="396"/>
      <c r="H141" s="402"/>
      <c r="I141" s="426"/>
      <c r="J141" s="425"/>
    </row>
    <row r="142" ht="17.4" spans="1:10">
      <c r="A142" s="393">
        <v>7</v>
      </c>
      <c r="B142" s="394" t="s">
        <v>59</v>
      </c>
      <c r="C142" s="395">
        <v>50003423</v>
      </c>
      <c r="D142" s="396"/>
      <c r="E142" s="396">
        <v>2223</v>
      </c>
      <c r="F142" s="396"/>
      <c r="G142" s="396"/>
      <c r="H142" s="402">
        <v>2428</v>
      </c>
      <c r="I142" s="426">
        <v>3790</v>
      </c>
      <c r="J142" s="425">
        <v>4400</v>
      </c>
    </row>
    <row r="143" ht="17.4" spans="1:10">
      <c r="A143" s="393">
        <v>8</v>
      </c>
      <c r="B143" s="394" t="s">
        <v>59</v>
      </c>
      <c r="C143" s="395"/>
      <c r="D143" s="396"/>
      <c r="E143" s="396"/>
      <c r="F143" s="396"/>
      <c r="G143" s="396"/>
      <c r="H143" s="402"/>
      <c r="I143" s="426"/>
      <c r="J143" s="425"/>
    </row>
    <row r="144" ht="20.4" spans="1:10">
      <c r="A144" s="393">
        <v>9</v>
      </c>
      <c r="B144" s="394" t="s">
        <v>59</v>
      </c>
      <c r="C144" s="411">
        <v>50002998</v>
      </c>
      <c r="D144" s="396"/>
      <c r="E144" s="396">
        <v>133</v>
      </c>
      <c r="F144" s="396"/>
      <c r="G144" s="396"/>
      <c r="H144" s="402">
        <v>197</v>
      </c>
      <c r="I144" s="408">
        <v>366.512195121951</v>
      </c>
      <c r="J144" s="425">
        <v>732</v>
      </c>
    </row>
    <row r="145" ht="17.4" spans="1:10">
      <c r="A145" s="393">
        <v>10</v>
      </c>
      <c r="B145" s="394" t="s">
        <v>59</v>
      </c>
      <c r="C145" s="395"/>
      <c r="D145" s="396"/>
      <c r="E145" s="396"/>
      <c r="F145" s="396"/>
      <c r="G145" s="396"/>
      <c r="H145" s="402"/>
      <c r="I145" s="426"/>
      <c r="J145" s="425"/>
    </row>
    <row r="146" ht="17.4" spans="1:10">
      <c r="A146" s="393">
        <v>11</v>
      </c>
      <c r="B146" s="394" t="s">
        <v>59</v>
      </c>
      <c r="C146" s="395"/>
      <c r="D146" s="396"/>
      <c r="E146" s="396">
        <v>0</v>
      </c>
      <c r="F146" s="396"/>
      <c r="G146" s="396"/>
      <c r="H146" s="402">
        <v>0</v>
      </c>
      <c r="I146" s="426"/>
      <c r="J146" s="425"/>
    </row>
    <row r="147" ht="17.4" spans="1:10">
      <c r="A147" s="393">
        <v>12</v>
      </c>
      <c r="B147" s="394" t="s">
        <v>59</v>
      </c>
      <c r="C147" s="416"/>
      <c r="D147" s="396"/>
      <c r="E147" s="396">
        <v>38</v>
      </c>
      <c r="F147" s="396"/>
      <c r="G147" s="396"/>
      <c r="H147" s="402">
        <v>215</v>
      </c>
      <c r="I147" s="408">
        <v>540.20325203252</v>
      </c>
      <c r="J147" s="425"/>
    </row>
    <row r="148" ht="17.4" spans="1:10">
      <c r="A148" s="393">
        <v>13</v>
      </c>
      <c r="B148" s="394" t="s">
        <v>59</v>
      </c>
      <c r="C148" s="395"/>
      <c r="D148" s="396"/>
      <c r="E148" s="396"/>
      <c r="F148" s="396"/>
      <c r="G148" s="396"/>
      <c r="H148" s="402"/>
      <c r="I148" s="426"/>
      <c r="J148" s="425"/>
    </row>
    <row r="149" ht="17.4" spans="1:10">
      <c r="A149" s="393">
        <v>14</v>
      </c>
      <c r="B149" s="394" t="s">
        <v>59</v>
      </c>
      <c r="C149" s="395"/>
      <c r="D149" s="396"/>
      <c r="E149" s="396"/>
      <c r="F149" s="396"/>
      <c r="G149" s="396"/>
      <c r="H149" s="402"/>
      <c r="I149" s="426"/>
      <c r="J149" s="425"/>
    </row>
    <row r="150" ht="17.4" spans="1:10">
      <c r="A150" s="393">
        <v>15</v>
      </c>
      <c r="B150" s="394" t="s">
        <v>59</v>
      </c>
      <c r="C150" s="416"/>
      <c r="D150" s="396"/>
      <c r="E150" s="396">
        <v>5254</v>
      </c>
      <c r="F150" s="396"/>
      <c r="G150" s="396"/>
      <c r="H150" s="402">
        <v>6002</v>
      </c>
      <c r="I150" s="408">
        <v>6640.53658536585</v>
      </c>
      <c r="J150" s="425"/>
    </row>
    <row r="151" ht="20.4" spans="1:10">
      <c r="A151" s="393">
        <v>16</v>
      </c>
      <c r="B151" s="394" t="s">
        <v>59</v>
      </c>
      <c r="C151" s="411">
        <v>50002956</v>
      </c>
      <c r="D151" s="396"/>
      <c r="E151" s="396">
        <v>3338</v>
      </c>
      <c r="F151" s="396"/>
      <c r="G151" s="396"/>
      <c r="H151" s="402">
        <v>3566</v>
      </c>
      <c r="I151" s="408">
        <v>3962.62341463415</v>
      </c>
      <c r="J151" s="425">
        <v>4235</v>
      </c>
    </row>
    <row r="152" ht="17.4" spans="1:10">
      <c r="A152" s="393">
        <v>17</v>
      </c>
      <c r="B152" s="394" t="s">
        <v>59</v>
      </c>
      <c r="C152" s="395"/>
      <c r="D152" s="396"/>
      <c r="E152" s="396"/>
      <c r="F152" s="396"/>
      <c r="G152" s="396"/>
      <c r="H152" s="402"/>
      <c r="I152" s="398"/>
      <c r="J152" s="425"/>
    </row>
    <row r="153" ht="17.4" spans="1:10">
      <c r="A153" s="393">
        <v>18</v>
      </c>
      <c r="B153" s="394" t="s">
        <v>59</v>
      </c>
      <c r="C153" s="415"/>
      <c r="D153" s="396"/>
      <c r="E153" s="396">
        <v>754</v>
      </c>
      <c r="F153" s="396"/>
      <c r="G153" s="396"/>
      <c r="H153" s="402">
        <v>1122</v>
      </c>
      <c r="I153" s="408">
        <v>1395.9837398374</v>
      </c>
      <c r="J153" s="425"/>
    </row>
    <row r="154" ht="17.4" spans="1:10">
      <c r="A154" s="393">
        <v>19</v>
      </c>
      <c r="B154" s="394" t="s">
        <v>59</v>
      </c>
      <c r="C154" s="395">
        <v>50003387</v>
      </c>
      <c r="D154" s="396"/>
      <c r="E154" s="396">
        <v>1671</v>
      </c>
      <c r="F154" s="396"/>
      <c r="G154" s="396"/>
      <c r="H154" s="402">
        <v>1945</v>
      </c>
      <c r="I154" s="398">
        <v>2170</v>
      </c>
      <c r="J154" s="425">
        <v>2342</v>
      </c>
    </row>
    <row r="155" ht="17.4" spans="1:10">
      <c r="A155" s="393">
        <v>20</v>
      </c>
      <c r="B155" s="394" t="s">
        <v>59</v>
      </c>
      <c r="C155" s="416"/>
      <c r="D155" s="396"/>
      <c r="E155" s="396"/>
      <c r="F155" s="396"/>
      <c r="G155" s="396"/>
      <c r="H155" s="402"/>
      <c r="I155" s="408">
        <v>46.7479674796748</v>
      </c>
      <c r="J155" s="425"/>
    </row>
    <row r="156" ht="17.4" spans="1:10">
      <c r="A156" s="393">
        <v>21</v>
      </c>
      <c r="B156" s="394" t="s">
        <v>59</v>
      </c>
      <c r="C156" s="395"/>
      <c r="D156" s="396"/>
      <c r="E156" s="396"/>
      <c r="F156" s="396"/>
      <c r="G156" s="396"/>
      <c r="H156" s="402"/>
      <c r="I156" s="426"/>
      <c r="J156" s="425"/>
    </row>
    <row r="157" ht="17.4" spans="1:10">
      <c r="A157" s="393">
        <v>22</v>
      </c>
      <c r="B157" s="394" t="s">
        <v>59</v>
      </c>
      <c r="C157" s="395">
        <v>50002397</v>
      </c>
      <c r="D157" s="396"/>
      <c r="E157" s="396">
        <v>997</v>
      </c>
      <c r="F157" s="396"/>
      <c r="G157" s="396"/>
      <c r="H157" s="402">
        <v>1540</v>
      </c>
      <c r="I157" s="426">
        <v>1768</v>
      </c>
      <c r="J157" s="425">
        <v>1951</v>
      </c>
    </row>
    <row r="158" ht="17.4" spans="1:10">
      <c r="A158" s="393">
        <v>23</v>
      </c>
      <c r="B158" s="394" t="s">
        <v>59</v>
      </c>
      <c r="C158" s="395"/>
      <c r="D158" s="396"/>
      <c r="E158" s="396"/>
      <c r="F158" s="396"/>
      <c r="G158" s="396"/>
      <c r="H158" s="402"/>
      <c r="I158" s="426"/>
      <c r="J158" s="425"/>
    </row>
    <row r="159" ht="17.4" spans="1:10">
      <c r="A159" s="393">
        <v>24</v>
      </c>
      <c r="B159" s="394" t="s">
        <v>59</v>
      </c>
      <c r="C159" s="395">
        <v>50002985</v>
      </c>
      <c r="D159" s="396"/>
      <c r="E159" s="396">
        <v>2226</v>
      </c>
      <c r="F159" s="396"/>
      <c r="G159" s="396"/>
      <c r="H159" s="402">
        <v>3064</v>
      </c>
      <c r="I159" s="426">
        <v>3551</v>
      </c>
      <c r="J159" s="425">
        <v>3807</v>
      </c>
    </row>
    <row r="160" ht="17.4" spans="1:10">
      <c r="A160" s="393">
        <v>25</v>
      </c>
      <c r="B160" s="394" t="s">
        <v>59</v>
      </c>
      <c r="C160" s="395">
        <v>50002966</v>
      </c>
      <c r="D160" s="396"/>
      <c r="E160" s="396">
        <v>805</v>
      </c>
      <c r="F160" s="396"/>
      <c r="G160" s="396"/>
      <c r="H160" s="402">
        <v>3145</v>
      </c>
      <c r="I160" s="426">
        <v>3560</v>
      </c>
      <c r="J160" s="425">
        <v>3822</v>
      </c>
    </row>
    <row r="161" ht="17.4" spans="1:10">
      <c r="A161" s="393">
        <v>26</v>
      </c>
      <c r="B161" s="394" t="s">
        <v>59</v>
      </c>
      <c r="C161" s="395"/>
      <c r="D161" s="396"/>
      <c r="E161" s="396"/>
      <c r="F161" s="396"/>
      <c r="G161" s="396"/>
      <c r="H161" s="402"/>
      <c r="I161" s="426"/>
      <c r="J161" s="425"/>
    </row>
    <row r="162" ht="20.4" spans="1:10">
      <c r="A162" s="393">
        <v>27</v>
      </c>
      <c r="B162" s="394" t="s">
        <v>59</v>
      </c>
      <c r="C162" s="411">
        <v>50002956</v>
      </c>
      <c r="D162" s="396"/>
      <c r="E162" s="396">
        <v>0</v>
      </c>
      <c r="F162" s="396"/>
      <c r="G162" s="396"/>
      <c r="H162" s="402">
        <v>42</v>
      </c>
      <c r="I162" s="408">
        <v>198.467479674797</v>
      </c>
      <c r="J162" s="425">
        <v>504</v>
      </c>
    </row>
    <row r="163" ht="18" spans="1:10">
      <c r="A163" s="400" t="s">
        <v>335</v>
      </c>
      <c r="B163" s="394" t="s">
        <v>59</v>
      </c>
      <c r="C163" s="395">
        <v>2911041070</v>
      </c>
      <c r="D163" s="396"/>
      <c r="E163" s="396">
        <v>302.2</v>
      </c>
      <c r="F163" s="396"/>
      <c r="G163" s="396"/>
      <c r="H163" s="402">
        <v>342.55</v>
      </c>
      <c r="I163" s="402">
        <v>2169.59</v>
      </c>
      <c r="J163" s="425">
        <v>4068.01</v>
      </c>
    </row>
    <row r="164" ht="17.4" spans="1:10">
      <c r="A164" s="393" t="s">
        <v>337</v>
      </c>
      <c r="B164" s="394" t="s">
        <v>59</v>
      </c>
      <c r="C164" s="395">
        <v>2911041113</v>
      </c>
      <c r="D164" s="396"/>
      <c r="E164" s="396">
        <v>0</v>
      </c>
      <c r="F164" s="396"/>
      <c r="G164" s="396"/>
      <c r="H164" s="402">
        <v>0</v>
      </c>
      <c r="I164" s="402"/>
      <c r="J164" s="425"/>
    </row>
    <row r="165" ht="17.4" spans="1:10">
      <c r="A165" s="393" t="s">
        <v>340</v>
      </c>
      <c r="B165" s="394" t="s">
        <v>59</v>
      </c>
      <c r="C165" s="395"/>
      <c r="D165" s="396"/>
      <c r="E165" s="396"/>
      <c r="F165" s="396"/>
      <c r="G165" s="396"/>
      <c r="H165" s="402"/>
      <c r="I165" s="402"/>
      <c r="J165" s="425">
        <v>3299.92</v>
      </c>
    </row>
    <row r="166" ht="18" spans="1:10">
      <c r="A166" s="401" t="s">
        <v>342</v>
      </c>
      <c r="B166" s="394" t="s">
        <v>59</v>
      </c>
      <c r="C166" s="395"/>
      <c r="D166" s="396"/>
      <c r="E166" s="396"/>
      <c r="F166" s="396"/>
      <c r="G166" s="396"/>
      <c r="H166" s="402"/>
      <c r="I166" s="402"/>
      <c r="J166" s="425"/>
    </row>
    <row r="167" ht="18" spans="1:10">
      <c r="A167" s="403" t="s">
        <v>343</v>
      </c>
      <c r="B167" s="394" t="s">
        <v>59</v>
      </c>
      <c r="C167" s="395"/>
      <c r="D167" s="396"/>
      <c r="E167" s="396"/>
      <c r="F167" s="396"/>
      <c r="G167" s="396"/>
      <c r="H167" s="402"/>
      <c r="I167" s="402"/>
      <c r="J167" s="425"/>
    </row>
    <row r="168" ht="18" spans="1:10">
      <c r="A168" s="417">
        <v>1</v>
      </c>
      <c r="B168" s="394" t="s">
        <v>60</v>
      </c>
      <c r="C168" s="399"/>
      <c r="D168" s="396"/>
      <c r="E168" s="396">
        <v>0</v>
      </c>
      <c r="F168" s="396">
        <v>0</v>
      </c>
      <c r="G168" s="396">
        <v>0</v>
      </c>
      <c r="H168" s="402">
        <v>0</v>
      </c>
      <c r="I168" s="402">
        <v>0</v>
      </c>
      <c r="J168" s="402">
        <v>0</v>
      </c>
    </row>
    <row r="169" ht="18" spans="1:10">
      <c r="A169" s="417">
        <v>2</v>
      </c>
      <c r="B169" s="394" t="s">
        <v>60</v>
      </c>
      <c r="C169" s="418"/>
      <c r="D169" s="396"/>
      <c r="E169" s="396">
        <v>105</v>
      </c>
      <c r="F169" s="396">
        <v>444.32</v>
      </c>
      <c r="G169" s="396">
        <v>800.75</v>
      </c>
      <c r="H169" s="402">
        <v>846.45</v>
      </c>
      <c r="I169" s="402">
        <v>1359.77</v>
      </c>
      <c r="J169" s="402">
        <v>1706.63</v>
      </c>
    </row>
    <row r="170" ht="18" spans="1:10">
      <c r="A170" s="417">
        <v>3</v>
      </c>
      <c r="B170" s="394" t="s">
        <v>60</v>
      </c>
      <c r="C170" s="395"/>
      <c r="D170" s="396"/>
      <c r="E170" s="396">
        <v>0</v>
      </c>
      <c r="F170" s="396">
        <v>0</v>
      </c>
      <c r="G170" s="396">
        <v>0</v>
      </c>
      <c r="H170" s="402">
        <v>0</v>
      </c>
      <c r="I170" s="402">
        <v>0</v>
      </c>
      <c r="J170" s="402">
        <v>0</v>
      </c>
    </row>
    <row r="171" ht="18" spans="1:10">
      <c r="A171" s="417">
        <v>4</v>
      </c>
      <c r="B171" s="394" t="s">
        <v>60</v>
      </c>
      <c r="C171" s="395">
        <v>50002962</v>
      </c>
      <c r="D171" s="396"/>
      <c r="E171" s="396">
        <v>0</v>
      </c>
      <c r="F171" s="396">
        <v>0</v>
      </c>
      <c r="G171" s="396">
        <v>0</v>
      </c>
      <c r="H171" s="402">
        <v>0</v>
      </c>
      <c r="I171" s="402">
        <v>0</v>
      </c>
      <c r="J171" s="402">
        <v>0</v>
      </c>
    </row>
    <row r="172" ht="20.4" spans="1:10">
      <c r="A172" s="417">
        <v>5</v>
      </c>
      <c r="B172" s="394" t="s">
        <v>60</v>
      </c>
      <c r="C172" s="411">
        <v>3203067051</v>
      </c>
      <c r="D172" s="396"/>
      <c r="E172" s="396">
        <v>3379</v>
      </c>
      <c r="F172" s="396">
        <v>4352.46</v>
      </c>
      <c r="G172" s="396">
        <v>4829.3</v>
      </c>
      <c r="H172" s="402">
        <v>4857.13</v>
      </c>
      <c r="I172" s="402">
        <v>5065.84</v>
      </c>
      <c r="J172" s="402">
        <v>5216.15</v>
      </c>
    </row>
    <row r="173" ht="18" spans="1:10">
      <c r="A173" s="417">
        <v>6</v>
      </c>
      <c r="B173" s="394" t="s">
        <v>60</v>
      </c>
      <c r="C173" s="419"/>
      <c r="D173" s="396"/>
      <c r="E173" s="396">
        <v>34</v>
      </c>
      <c r="F173" s="396">
        <v>55.22</v>
      </c>
      <c r="G173" s="396">
        <v>351.88</v>
      </c>
      <c r="H173" s="402">
        <v>392.41</v>
      </c>
      <c r="I173" s="402">
        <v>938.63</v>
      </c>
      <c r="J173" s="402">
        <v>1179.71</v>
      </c>
    </row>
    <row r="174" ht="18" spans="1:10">
      <c r="A174" s="417">
        <v>7</v>
      </c>
      <c r="B174" s="394" t="s">
        <v>60</v>
      </c>
      <c r="C174" s="395">
        <v>50003423</v>
      </c>
      <c r="D174" s="396"/>
      <c r="E174" s="396">
        <v>1158</v>
      </c>
      <c r="F174" s="396">
        <v>1711.92</v>
      </c>
      <c r="G174" s="396">
        <v>2101.47</v>
      </c>
      <c r="H174" s="402">
        <v>2154.43</v>
      </c>
      <c r="I174" s="402">
        <v>2486.29</v>
      </c>
      <c r="J174" s="402">
        <v>2699.25</v>
      </c>
    </row>
    <row r="175" ht="18" spans="1:10">
      <c r="A175" s="417">
        <v>8</v>
      </c>
      <c r="B175" s="394" t="s">
        <v>60</v>
      </c>
      <c r="C175" s="418"/>
      <c r="D175" s="396"/>
      <c r="E175" s="396">
        <v>68</v>
      </c>
      <c r="F175" s="396">
        <v>541.2</v>
      </c>
      <c r="G175" s="396">
        <v>1659.85</v>
      </c>
      <c r="H175" s="402">
        <v>1759.51</v>
      </c>
      <c r="I175" s="402">
        <v>3522.09</v>
      </c>
      <c r="J175" s="402">
        <v>4582.01</v>
      </c>
    </row>
    <row r="176" ht="18" spans="1:10">
      <c r="A176" s="417">
        <v>9</v>
      </c>
      <c r="B176" s="394" t="s">
        <v>60</v>
      </c>
      <c r="C176" s="399"/>
      <c r="D176" s="396"/>
      <c r="E176" s="396">
        <v>0</v>
      </c>
      <c r="F176" s="396">
        <v>0</v>
      </c>
      <c r="G176" s="396">
        <v>0</v>
      </c>
      <c r="H176" s="402">
        <v>0</v>
      </c>
      <c r="I176" s="402">
        <v>0</v>
      </c>
      <c r="J176" s="402">
        <v>0</v>
      </c>
    </row>
    <row r="177" ht="18" spans="1:10">
      <c r="A177" s="417">
        <v>10</v>
      </c>
      <c r="B177" s="394" t="s">
        <v>60</v>
      </c>
      <c r="C177" s="418"/>
      <c r="D177" s="396"/>
      <c r="E177" s="396">
        <v>33</v>
      </c>
      <c r="F177" s="396">
        <v>79.07</v>
      </c>
      <c r="G177" s="396">
        <v>115.53</v>
      </c>
      <c r="H177" s="402">
        <v>120.02</v>
      </c>
      <c r="I177" s="402">
        <v>597.06</v>
      </c>
      <c r="J177" s="402">
        <v>955.97</v>
      </c>
    </row>
    <row r="178" ht="18" spans="1:10">
      <c r="A178" s="417">
        <v>11</v>
      </c>
      <c r="B178" s="394" t="s">
        <v>60</v>
      </c>
      <c r="C178" s="399"/>
      <c r="D178" s="396"/>
      <c r="E178" s="396">
        <v>0</v>
      </c>
      <c r="F178" s="396">
        <v>0</v>
      </c>
      <c r="G178" s="396">
        <v>0</v>
      </c>
      <c r="H178" s="402">
        <v>0</v>
      </c>
      <c r="I178" s="402">
        <v>0</v>
      </c>
      <c r="J178" s="402">
        <v>0</v>
      </c>
    </row>
    <row r="179" ht="18" spans="1:10">
      <c r="A179" s="417">
        <v>12</v>
      </c>
      <c r="B179" s="394" t="s">
        <v>60</v>
      </c>
      <c r="C179" s="395"/>
      <c r="D179" s="396"/>
      <c r="E179" s="396">
        <v>0</v>
      </c>
      <c r="F179" s="396">
        <v>0</v>
      </c>
      <c r="G179" s="396">
        <v>0</v>
      </c>
      <c r="H179" s="402">
        <v>0</v>
      </c>
      <c r="I179" s="402">
        <v>0</v>
      </c>
      <c r="J179" s="402">
        <v>0</v>
      </c>
    </row>
    <row r="180" ht="18" spans="1:10">
      <c r="A180" s="417">
        <v>13</v>
      </c>
      <c r="B180" s="394" t="s">
        <v>60</v>
      </c>
      <c r="C180" s="418"/>
      <c r="D180" s="396"/>
      <c r="E180" s="396">
        <v>46</v>
      </c>
      <c r="F180" s="396">
        <v>136.83</v>
      </c>
      <c r="G180" s="396">
        <v>164.39</v>
      </c>
      <c r="H180" s="402">
        <v>175.38</v>
      </c>
      <c r="I180" s="402">
        <v>747.14</v>
      </c>
      <c r="J180" s="402">
        <v>1218.37</v>
      </c>
    </row>
    <row r="181" ht="18" spans="1:10">
      <c r="A181" s="417">
        <v>14</v>
      </c>
      <c r="B181" s="394" t="s">
        <v>60</v>
      </c>
      <c r="C181" s="418"/>
      <c r="D181" s="396"/>
      <c r="E181" s="396">
        <v>0</v>
      </c>
      <c r="F181" s="396">
        <v>0</v>
      </c>
      <c r="G181" s="396">
        <v>0</v>
      </c>
      <c r="H181" s="402">
        <v>0.03</v>
      </c>
      <c r="I181" s="402">
        <v>48.27</v>
      </c>
      <c r="J181" s="402">
        <v>70.31</v>
      </c>
    </row>
    <row r="182" ht="18" spans="1:10">
      <c r="A182" s="417">
        <v>15</v>
      </c>
      <c r="B182" s="394" t="s">
        <v>60</v>
      </c>
      <c r="C182" s="418"/>
      <c r="D182" s="396"/>
      <c r="E182" s="396">
        <v>0</v>
      </c>
      <c r="F182" s="396">
        <v>0</v>
      </c>
      <c r="G182" s="396">
        <v>0</v>
      </c>
      <c r="H182" s="402">
        <v>0</v>
      </c>
      <c r="I182" s="402">
        <v>0</v>
      </c>
      <c r="J182" s="402">
        <v>11.44</v>
      </c>
    </row>
    <row r="183" ht="18" spans="1:10">
      <c r="A183" s="417">
        <v>16</v>
      </c>
      <c r="B183" s="394" t="s">
        <v>60</v>
      </c>
      <c r="C183" s="395"/>
      <c r="D183" s="396"/>
      <c r="E183" s="396">
        <v>0</v>
      </c>
      <c r="F183" s="396">
        <v>0</v>
      </c>
      <c r="G183" s="396">
        <v>0</v>
      </c>
      <c r="H183" s="402">
        <v>0</v>
      </c>
      <c r="I183" s="402">
        <v>0</v>
      </c>
      <c r="J183" s="402">
        <v>0</v>
      </c>
    </row>
    <row r="184" ht="18" spans="1:10">
      <c r="A184" s="417">
        <v>17</v>
      </c>
      <c r="B184" s="394" t="s">
        <v>60</v>
      </c>
      <c r="C184" s="399"/>
      <c r="D184" s="396"/>
      <c r="E184" s="396">
        <v>0</v>
      </c>
      <c r="F184" s="396">
        <v>0</v>
      </c>
      <c r="G184" s="396">
        <v>0</v>
      </c>
      <c r="H184" s="402">
        <v>0</v>
      </c>
      <c r="I184" s="402">
        <v>0</v>
      </c>
      <c r="J184" s="402">
        <v>0</v>
      </c>
    </row>
    <row r="185" ht="18" spans="1:10">
      <c r="A185" s="417">
        <v>18</v>
      </c>
      <c r="B185" s="394" t="s">
        <v>60</v>
      </c>
      <c r="C185" s="418"/>
      <c r="D185" s="396"/>
      <c r="E185" s="396">
        <v>50</v>
      </c>
      <c r="F185" s="396">
        <v>66.34</v>
      </c>
      <c r="G185" s="396">
        <v>88.43</v>
      </c>
      <c r="H185" s="402">
        <v>90.04</v>
      </c>
      <c r="I185" s="402">
        <v>105.27</v>
      </c>
      <c r="J185" s="402">
        <v>204.72</v>
      </c>
    </row>
    <row r="186" ht="18" spans="1:10">
      <c r="A186" s="417">
        <v>19</v>
      </c>
      <c r="B186" s="394" t="s">
        <v>60</v>
      </c>
      <c r="C186" s="395">
        <v>50003387</v>
      </c>
      <c r="D186" s="396"/>
      <c r="E186" s="396">
        <v>90</v>
      </c>
      <c r="F186" s="396">
        <v>174.86</v>
      </c>
      <c r="G186" s="396">
        <v>184.05</v>
      </c>
      <c r="H186" s="402">
        <v>188.61</v>
      </c>
      <c r="I186" s="402">
        <v>830.88</v>
      </c>
      <c r="J186" s="402">
        <v>1094.04</v>
      </c>
    </row>
    <row r="187" ht="18" spans="1:11">
      <c r="A187" s="400" t="s">
        <v>335</v>
      </c>
      <c r="B187" s="394" t="s">
        <v>60</v>
      </c>
      <c r="C187" s="395">
        <v>2911041070</v>
      </c>
      <c r="D187" s="396"/>
      <c r="E187" s="396">
        <v>60.62</v>
      </c>
      <c r="F187" s="396">
        <v>60.79</v>
      </c>
      <c r="G187" s="396">
        <v>1965.67</v>
      </c>
      <c r="H187" s="420">
        <v>2454.72043478261</v>
      </c>
      <c r="I187" s="420">
        <v>7589.75</v>
      </c>
      <c r="J187" s="402">
        <v>11303.17</v>
      </c>
      <c r="K187" s="427"/>
    </row>
    <row r="188" ht="17.4" spans="1:11">
      <c r="A188" s="393" t="s">
        <v>337</v>
      </c>
      <c r="B188" s="394" t="s">
        <v>60</v>
      </c>
      <c r="C188" s="395">
        <v>2911041113</v>
      </c>
      <c r="D188" s="396"/>
      <c r="E188" s="396">
        <v>0</v>
      </c>
      <c r="F188" s="396">
        <v>0</v>
      </c>
      <c r="G188" s="396">
        <v>0</v>
      </c>
      <c r="H188" s="420">
        <v>0</v>
      </c>
      <c r="I188" s="420">
        <v>0</v>
      </c>
      <c r="J188" s="402">
        <v>4351.33</v>
      </c>
      <c r="K188" s="427"/>
    </row>
    <row r="189" ht="17.4" spans="1:11">
      <c r="A189" s="421" t="s">
        <v>340</v>
      </c>
      <c r="B189" s="422" t="s">
        <v>60</v>
      </c>
      <c r="C189" s="418"/>
      <c r="D189" s="423"/>
      <c r="E189" s="423">
        <v>3243.64</v>
      </c>
      <c r="F189" s="423">
        <v>3441.94</v>
      </c>
      <c r="G189" s="423">
        <v>3542.24</v>
      </c>
      <c r="H189" s="420">
        <v>3587.36347826087</v>
      </c>
      <c r="I189" s="420">
        <v>4061.16</v>
      </c>
      <c r="J189" s="402">
        <v>4497.04</v>
      </c>
      <c r="K189" s="427"/>
    </row>
    <row r="190" ht="18" spans="1:11">
      <c r="A190" s="401" t="s">
        <v>342</v>
      </c>
      <c r="B190" s="422" t="s">
        <v>60</v>
      </c>
      <c r="C190" s="418"/>
      <c r="D190" s="396"/>
      <c r="E190" s="396">
        <v>35.93</v>
      </c>
      <c r="F190" s="396">
        <v>42.58</v>
      </c>
      <c r="G190" s="396">
        <v>46.91</v>
      </c>
      <c r="H190" s="420">
        <v>47.4595652173913</v>
      </c>
      <c r="I190" s="420">
        <v>53.23</v>
      </c>
      <c r="J190" s="402">
        <v>57.23</v>
      </c>
      <c r="K190" s="427"/>
    </row>
    <row r="191" ht="18" spans="1:10">
      <c r="A191" s="403" t="s">
        <v>343</v>
      </c>
      <c r="B191" s="422" t="s">
        <v>60</v>
      </c>
      <c r="C191" s="424"/>
      <c r="D191" s="423"/>
      <c r="E191" s="423"/>
      <c r="F191" s="423"/>
      <c r="G191" s="423"/>
      <c r="H191" s="423"/>
      <c r="I191" s="423"/>
      <c r="J191" s="402"/>
    </row>
  </sheetData>
  <pageMargins left="0.7" right="0.7" top="0.75" bottom="0.75" header="0.3" footer="0.3"/>
  <pageSetup paperSize="9" orientation="portrait"/>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J191"/>
  <sheetViews>
    <sheetView workbookViewId="0">
      <pane xSplit="1" topLeftCell="B1" activePane="topRight" state="frozen"/>
      <selection/>
      <selection pane="topRight" activeCell="J27" sqref="J27"/>
    </sheetView>
  </sheetViews>
  <sheetFormatPr defaultColWidth="11" defaultRowHeight="18"/>
  <cols>
    <col min="1" max="1" width="7.33333333333333" style="342" customWidth="1"/>
    <col min="2" max="2" width="11.3333333333333" style="343" customWidth="1"/>
    <col min="3" max="3" width="16.6666666666667" style="343" customWidth="1"/>
    <col min="4" max="6" width="12.8333333333333" style="344" customWidth="1"/>
    <col min="7" max="9" width="14.1666666666667" style="344" customWidth="1"/>
  </cols>
  <sheetData>
    <row r="1" ht="17.4" spans="1:10">
      <c r="A1" s="345" t="s">
        <v>191</v>
      </c>
      <c r="B1" s="346" t="s">
        <v>192</v>
      </c>
      <c r="C1" s="346" t="s">
        <v>193</v>
      </c>
      <c r="D1" s="347" t="s">
        <v>833</v>
      </c>
      <c r="E1" s="347" t="s">
        <v>834</v>
      </c>
      <c r="F1" s="347" t="s">
        <v>835</v>
      </c>
      <c r="G1" s="347" t="s">
        <v>836</v>
      </c>
      <c r="H1" s="348" t="s">
        <v>837</v>
      </c>
      <c r="I1" s="347" t="s">
        <v>838</v>
      </c>
      <c r="J1" s="367" t="s">
        <v>839</v>
      </c>
    </row>
    <row r="2" ht="17.4" spans="1:10">
      <c r="A2" s="349">
        <v>1</v>
      </c>
      <c r="B2" s="350" t="s">
        <v>44</v>
      </c>
      <c r="C2" s="351">
        <v>50002845</v>
      </c>
      <c r="D2" s="352">
        <v>0</v>
      </c>
      <c r="E2" s="352">
        <v>0</v>
      </c>
      <c r="F2" s="352"/>
      <c r="G2" s="352"/>
      <c r="H2" s="353"/>
      <c r="I2" s="368"/>
      <c r="J2" s="368">
        <v>0</v>
      </c>
    </row>
    <row r="3" ht="17.4" spans="1:10">
      <c r="A3" s="349">
        <v>2</v>
      </c>
      <c r="B3" s="350" t="s">
        <v>44</v>
      </c>
      <c r="C3" s="351">
        <v>50002862</v>
      </c>
      <c r="D3" s="352">
        <v>0</v>
      </c>
      <c r="E3" s="352">
        <v>0</v>
      </c>
      <c r="F3" s="352"/>
      <c r="G3" s="352"/>
      <c r="H3" s="353"/>
      <c r="I3" s="366"/>
      <c r="J3" s="368">
        <v>0</v>
      </c>
    </row>
    <row r="4" ht="17.4" spans="1:10">
      <c r="A4" s="349">
        <v>3</v>
      </c>
      <c r="B4" s="350" t="s">
        <v>44</v>
      </c>
      <c r="C4" s="351">
        <v>50002872</v>
      </c>
      <c r="D4" s="352">
        <v>0</v>
      </c>
      <c r="E4" s="352">
        <v>0</v>
      </c>
      <c r="F4" s="352"/>
      <c r="G4" s="352">
        <v>0</v>
      </c>
      <c r="H4" s="353"/>
      <c r="I4" s="366">
        <v>0</v>
      </c>
      <c r="J4" s="366">
        <v>0</v>
      </c>
    </row>
    <row r="5" ht="17.4" spans="1:10">
      <c r="A5" s="349">
        <v>4</v>
      </c>
      <c r="B5" s="350" t="s">
        <v>44</v>
      </c>
      <c r="C5" s="351">
        <v>50002869</v>
      </c>
      <c r="D5" s="352">
        <v>1100</v>
      </c>
      <c r="E5" s="352">
        <v>3828</v>
      </c>
      <c r="F5" s="352">
        <v>5318.8</v>
      </c>
      <c r="G5" s="352">
        <v>6465</v>
      </c>
      <c r="H5" s="353"/>
      <c r="I5" s="366">
        <v>9031</v>
      </c>
      <c r="J5" s="366">
        <v>10612</v>
      </c>
    </row>
    <row r="6" ht="17.4" spans="1:10">
      <c r="A6" s="349">
        <v>5</v>
      </c>
      <c r="B6" s="350" t="s">
        <v>44</v>
      </c>
      <c r="C6" s="351">
        <v>50002879</v>
      </c>
      <c r="D6" s="352">
        <v>4250</v>
      </c>
      <c r="E6" s="352">
        <v>7203</v>
      </c>
      <c r="F6" s="352">
        <v>8765.43</v>
      </c>
      <c r="G6" s="352">
        <v>10052</v>
      </c>
      <c r="H6" s="353"/>
      <c r="I6" s="366">
        <v>12884</v>
      </c>
      <c r="J6" s="366">
        <v>14647</v>
      </c>
    </row>
    <row r="7" ht="17.4" spans="1:10">
      <c r="A7" s="349">
        <v>6</v>
      </c>
      <c r="B7" s="350" t="s">
        <v>44</v>
      </c>
      <c r="C7" s="351">
        <v>50002865</v>
      </c>
      <c r="D7" s="352">
        <v>5911</v>
      </c>
      <c r="E7" s="352">
        <v>10438</v>
      </c>
      <c r="F7" s="352">
        <v>12556.76</v>
      </c>
      <c r="G7" s="352">
        <v>14094</v>
      </c>
      <c r="H7" s="353"/>
      <c r="I7" s="366">
        <v>18121</v>
      </c>
      <c r="J7" s="366">
        <v>20965</v>
      </c>
    </row>
    <row r="8" ht="17.4" spans="1:10">
      <c r="A8" s="349">
        <v>7</v>
      </c>
      <c r="B8" s="350" t="s">
        <v>44</v>
      </c>
      <c r="C8" s="351">
        <v>50002887</v>
      </c>
      <c r="D8" s="352">
        <v>0</v>
      </c>
      <c r="E8" s="352">
        <v>0</v>
      </c>
      <c r="F8" s="352"/>
      <c r="G8" s="352"/>
      <c r="H8" s="353"/>
      <c r="I8" s="366"/>
      <c r="J8" s="366">
        <v>0</v>
      </c>
    </row>
    <row r="9" ht="17.4" spans="1:10">
      <c r="A9" s="349">
        <v>8</v>
      </c>
      <c r="B9" s="350" t="s">
        <v>44</v>
      </c>
      <c r="C9" s="351">
        <v>50002846</v>
      </c>
      <c r="D9" s="352">
        <v>0</v>
      </c>
      <c r="E9" s="352">
        <v>0</v>
      </c>
      <c r="F9" s="352"/>
      <c r="G9" s="352">
        <v>0</v>
      </c>
      <c r="H9" s="353"/>
      <c r="I9" s="366">
        <v>2569</v>
      </c>
      <c r="J9" s="366">
        <v>4165</v>
      </c>
    </row>
    <row r="10" ht="17.4" spans="1:10">
      <c r="A10" s="349">
        <v>9</v>
      </c>
      <c r="B10" s="350" t="s">
        <v>44</v>
      </c>
      <c r="C10" s="351">
        <v>50002885</v>
      </c>
      <c r="D10" s="352">
        <v>0</v>
      </c>
      <c r="E10" s="352">
        <v>0</v>
      </c>
      <c r="F10" s="352"/>
      <c r="G10" s="352"/>
      <c r="H10" s="353"/>
      <c r="I10" s="366"/>
      <c r="J10" s="366">
        <v>0</v>
      </c>
    </row>
    <row r="11" ht="17.4" spans="1:10">
      <c r="A11" s="349">
        <v>10</v>
      </c>
      <c r="B11" s="350" t="s">
        <v>44</v>
      </c>
      <c r="C11" s="354"/>
      <c r="D11" s="352">
        <v>12347</v>
      </c>
      <c r="E11" s="352">
        <v>15095</v>
      </c>
      <c r="F11" s="352">
        <v>16643.58</v>
      </c>
      <c r="G11" s="352">
        <v>17815</v>
      </c>
      <c r="H11" s="353"/>
      <c r="I11" s="366">
        <v>20316</v>
      </c>
      <c r="J11" s="366">
        <v>21130</v>
      </c>
    </row>
    <row r="12" ht="17.4" spans="1:10">
      <c r="A12" s="349">
        <v>11</v>
      </c>
      <c r="B12" s="350" t="s">
        <v>44</v>
      </c>
      <c r="C12" s="351">
        <v>50002848</v>
      </c>
      <c r="D12" s="352">
        <v>13447</v>
      </c>
      <c r="E12" s="352">
        <v>16509</v>
      </c>
      <c r="F12" s="352">
        <v>18262.11</v>
      </c>
      <c r="G12" s="352">
        <v>19650</v>
      </c>
      <c r="H12" s="353"/>
      <c r="I12" s="366">
        <v>22593</v>
      </c>
      <c r="J12" s="366">
        <v>24391</v>
      </c>
    </row>
    <row r="13" ht="17.4" spans="1:10">
      <c r="A13" s="349">
        <v>12</v>
      </c>
      <c r="B13" s="350" t="s">
        <v>44</v>
      </c>
      <c r="C13" s="351">
        <v>50002847</v>
      </c>
      <c r="D13" s="352">
        <v>0</v>
      </c>
      <c r="E13" s="352">
        <v>0</v>
      </c>
      <c r="F13" s="352"/>
      <c r="G13" s="352"/>
      <c r="H13" s="353"/>
      <c r="I13" s="366"/>
      <c r="J13" s="366">
        <v>0</v>
      </c>
    </row>
    <row r="14" ht="17.4" spans="1:10">
      <c r="A14" s="349">
        <v>13</v>
      </c>
      <c r="B14" s="350" t="s">
        <v>44</v>
      </c>
      <c r="C14" s="351">
        <v>50002739</v>
      </c>
      <c r="D14" s="352">
        <v>25717</v>
      </c>
      <c r="E14" s="352">
        <v>30627</v>
      </c>
      <c r="F14" s="352">
        <v>33475.85</v>
      </c>
      <c r="G14" s="352">
        <v>36023</v>
      </c>
      <c r="H14" s="353"/>
      <c r="I14" s="366">
        <v>41072</v>
      </c>
      <c r="J14" s="366">
        <v>44319</v>
      </c>
    </row>
    <row r="15" ht="17.4" spans="1:10">
      <c r="A15" s="349">
        <v>14</v>
      </c>
      <c r="B15" s="350" t="s">
        <v>44</v>
      </c>
      <c r="C15" s="351">
        <v>50002709</v>
      </c>
      <c r="D15" s="352">
        <v>0</v>
      </c>
      <c r="E15" s="352">
        <v>0</v>
      </c>
      <c r="F15" s="352"/>
      <c r="G15" s="352"/>
      <c r="H15" s="353"/>
      <c r="I15" s="366"/>
      <c r="J15" s="366">
        <v>2399</v>
      </c>
    </row>
    <row r="16" ht="17.4" spans="1:10">
      <c r="A16" s="349">
        <v>15</v>
      </c>
      <c r="B16" s="350" t="s">
        <v>44</v>
      </c>
      <c r="C16" s="351">
        <v>50002714</v>
      </c>
      <c r="D16" s="352">
        <v>0</v>
      </c>
      <c r="E16" s="352">
        <v>0</v>
      </c>
      <c r="F16" s="352"/>
      <c r="G16" s="352"/>
      <c r="H16" s="353"/>
      <c r="I16" s="366"/>
      <c r="J16" s="366">
        <v>0</v>
      </c>
    </row>
    <row r="17" ht="17.4" spans="1:10">
      <c r="A17" s="349">
        <v>16</v>
      </c>
      <c r="B17" s="350" t="s">
        <v>44</v>
      </c>
      <c r="C17" s="351">
        <v>50002855</v>
      </c>
      <c r="D17" s="352">
        <v>0</v>
      </c>
      <c r="E17" s="352">
        <v>2568</v>
      </c>
      <c r="F17" s="352">
        <v>4134.29</v>
      </c>
      <c r="G17" s="352">
        <v>5245</v>
      </c>
      <c r="H17" s="353"/>
      <c r="I17" s="366">
        <v>7804</v>
      </c>
      <c r="J17" s="366">
        <v>9378</v>
      </c>
    </row>
    <row r="18" ht="17.4" spans="1:10">
      <c r="A18" s="349">
        <v>17</v>
      </c>
      <c r="B18" s="350" t="s">
        <v>44</v>
      </c>
      <c r="C18" s="351">
        <v>50002877</v>
      </c>
      <c r="D18" s="352">
        <v>4293</v>
      </c>
      <c r="E18" s="352">
        <v>7088</v>
      </c>
      <c r="F18" s="352">
        <v>8027</v>
      </c>
      <c r="G18" s="352">
        <v>9059</v>
      </c>
      <c r="H18" s="353"/>
      <c r="I18" s="366">
        <v>12029</v>
      </c>
      <c r="J18" s="366">
        <v>14003</v>
      </c>
    </row>
    <row r="19" ht="17.4" spans="1:10">
      <c r="A19" s="349">
        <v>18</v>
      </c>
      <c r="B19" s="350" t="s">
        <v>44</v>
      </c>
      <c r="C19" s="355"/>
      <c r="D19" s="352">
        <v>0</v>
      </c>
      <c r="E19" s="352">
        <v>0</v>
      </c>
      <c r="F19" s="352"/>
      <c r="G19" s="352"/>
      <c r="H19" s="353"/>
      <c r="I19" s="366"/>
      <c r="J19" s="366">
        <v>0</v>
      </c>
    </row>
    <row r="20" ht="17.4" spans="1:10">
      <c r="A20" s="349">
        <v>19</v>
      </c>
      <c r="B20" s="350" t="s">
        <v>44</v>
      </c>
      <c r="C20" s="351">
        <v>50002864</v>
      </c>
      <c r="D20" s="352">
        <v>26703</v>
      </c>
      <c r="E20" s="352">
        <v>32368</v>
      </c>
      <c r="F20" s="352">
        <v>35423.8</v>
      </c>
      <c r="G20" s="352">
        <v>38020</v>
      </c>
      <c r="H20" s="353"/>
      <c r="I20" s="366">
        <v>43757</v>
      </c>
      <c r="J20" s="366">
        <v>47349</v>
      </c>
    </row>
    <row r="21" ht="17.4" spans="1:10">
      <c r="A21" s="349">
        <v>20</v>
      </c>
      <c r="B21" s="350" t="s">
        <v>44</v>
      </c>
      <c r="C21" s="351">
        <v>50002710</v>
      </c>
      <c r="D21" s="352">
        <v>3903</v>
      </c>
      <c r="E21" s="352">
        <v>6356</v>
      </c>
      <c r="F21" s="352">
        <v>7464.47</v>
      </c>
      <c r="G21" s="352">
        <v>8589</v>
      </c>
      <c r="H21" s="353"/>
      <c r="I21" s="366">
        <v>11511</v>
      </c>
      <c r="J21" s="366">
        <v>13341</v>
      </c>
    </row>
    <row r="22" ht="17.4" spans="1:10">
      <c r="A22" s="349">
        <v>21</v>
      </c>
      <c r="B22" s="350" t="s">
        <v>44</v>
      </c>
      <c r="C22" s="351">
        <v>50002719</v>
      </c>
      <c r="D22" s="352">
        <v>4515</v>
      </c>
      <c r="E22" s="352">
        <v>7478</v>
      </c>
      <c r="F22" s="352">
        <v>9166.34</v>
      </c>
      <c r="G22" s="352">
        <v>10489</v>
      </c>
      <c r="H22" s="353"/>
      <c r="I22" s="366">
        <v>13350</v>
      </c>
      <c r="J22" s="366">
        <v>15149</v>
      </c>
    </row>
    <row r="23" ht="17.4" spans="1:10">
      <c r="A23" s="349">
        <v>22</v>
      </c>
      <c r="B23" s="350" t="s">
        <v>44</v>
      </c>
      <c r="C23" s="351">
        <v>50002876</v>
      </c>
      <c r="D23" s="352">
        <v>4040</v>
      </c>
      <c r="E23" s="352">
        <v>6783</v>
      </c>
      <c r="F23" s="352">
        <v>8314.63</v>
      </c>
      <c r="G23" s="352">
        <v>9617</v>
      </c>
      <c r="H23" s="353"/>
      <c r="I23" s="366">
        <v>12269</v>
      </c>
      <c r="J23" s="366">
        <v>13938</v>
      </c>
    </row>
    <row r="24" ht="17.4" spans="1:10">
      <c r="A24" s="349">
        <v>23</v>
      </c>
      <c r="B24" s="350" t="s">
        <v>44</v>
      </c>
      <c r="C24" s="351">
        <v>50002860</v>
      </c>
      <c r="D24" s="352">
        <v>5498</v>
      </c>
      <c r="E24" s="352">
        <v>8307</v>
      </c>
      <c r="F24" s="352">
        <v>9976.39</v>
      </c>
      <c r="G24" s="352">
        <v>11307</v>
      </c>
      <c r="H24" s="353"/>
      <c r="I24" s="366">
        <v>14010</v>
      </c>
      <c r="J24" s="366">
        <v>15720</v>
      </c>
    </row>
    <row r="25" ht="17.4" spans="1:10">
      <c r="A25" s="349">
        <v>24</v>
      </c>
      <c r="B25" s="350" t="s">
        <v>44</v>
      </c>
      <c r="C25" s="351">
        <v>50002649</v>
      </c>
      <c r="D25" s="352">
        <v>0</v>
      </c>
      <c r="E25" s="352">
        <v>0</v>
      </c>
      <c r="F25" s="352"/>
      <c r="G25" s="352"/>
      <c r="H25" s="356"/>
      <c r="I25" s="369"/>
      <c r="J25" s="366">
        <v>0</v>
      </c>
    </row>
    <row r="26" spans="1:10">
      <c r="A26" s="357" t="s">
        <v>335</v>
      </c>
      <c r="B26" s="350" t="s">
        <v>44</v>
      </c>
      <c r="C26" s="351">
        <v>40002686</v>
      </c>
      <c r="D26" s="358">
        <v>1833.14</v>
      </c>
      <c r="E26" s="358">
        <v>11017.34</v>
      </c>
      <c r="F26" s="359">
        <v>26071.13</v>
      </c>
      <c r="G26" s="359">
        <v>36413</v>
      </c>
      <c r="H26" s="356"/>
      <c r="I26" s="369">
        <v>48306</v>
      </c>
      <c r="J26" s="369">
        <v>55361</v>
      </c>
    </row>
    <row r="27" ht="17.4" spans="1:10">
      <c r="A27" s="349" t="s">
        <v>337</v>
      </c>
      <c r="B27" s="350" t="s">
        <v>44</v>
      </c>
      <c r="C27" s="351">
        <v>40002693</v>
      </c>
      <c r="D27" s="352">
        <v>0</v>
      </c>
      <c r="E27" s="352">
        <v>0</v>
      </c>
      <c r="F27" s="360">
        <v>0</v>
      </c>
      <c r="G27" s="360"/>
      <c r="H27" s="361"/>
      <c r="I27" s="370"/>
      <c r="J27" s="369"/>
    </row>
    <row r="28" ht="17.4" spans="1:10">
      <c r="A28" s="349" t="s">
        <v>340</v>
      </c>
      <c r="B28" s="350" t="s">
        <v>44</v>
      </c>
      <c r="C28" s="351">
        <v>50002858</v>
      </c>
      <c r="D28" s="352">
        <v>0</v>
      </c>
      <c r="E28" s="352">
        <v>0</v>
      </c>
      <c r="F28" s="360">
        <v>0</v>
      </c>
      <c r="G28" s="360">
        <v>0</v>
      </c>
      <c r="H28" s="361"/>
      <c r="I28" s="370">
        <v>0</v>
      </c>
      <c r="J28" s="370">
        <v>0</v>
      </c>
    </row>
    <row r="29" spans="1:10">
      <c r="A29" s="362" t="s">
        <v>342</v>
      </c>
      <c r="B29" s="350" t="s">
        <v>44</v>
      </c>
      <c r="C29" s="351">
        <v>40002852</v>
      </c>
      <c r="D29" s="352"/>
      <c r="E29" s="352"/>
      <c r="F29" s="360"/>
      <c r="G29" s="360"/>
      <c r="H29" s="361"/>
      <c r="I29" s="370"/>
      <c r="J29" s="370"/>
    </row>
    <row r="30" spans="1:10">
      <c r="A30" s="363" t="s">
        <v>343</v>
      </c>
      <c r="B30" s="350" t="s">
        <v>44</v>
      </c>
      <c r="C30" s="351">
        <v>40002693</v>
      </c>
      <c r="D30" s="352"/>
      <c r="E30" s="352"/>
      <c r="F30" s="360"/>
      <c r="G30" s="360"/>
      <c r="H30" s="361"/>
      <c r="I30" s="370"/>
      <c r="J30" s="370"/>
    </row>
    <row r="31" ht="17.4" spans="1:10">
      <c r="A31" s="349">
        <v>1</v>
      </c>
      <c r="B31" s="350" t="s">
        <v>48</v>
      </c>
      <c r="C31" s="364">
        <v>50003409</v>
      </c>
      <c r="D31" s="352">
        <v>3498</v>
      </c>
      <c r="E31" s="352">
        <v>5938</v>
      </c>
      <c r="F31" s="352">
        <v>7210.69</v>
      </c>
      <c r="G31" s="352"/>
      <c r="H31" s="353">
        <v>8291.68</v>
      </c>
      <c r="I31" s="366">
        <v>10303</v>
      </c>
      <c r="J31" s="366">
        <v>11728</v>
      </c>
    </row>
    <row r="32" ht="17.4" spans="1:10">
      <c r="A32" s="349">
        <v>2</v>
      </c>
      <c r="B32" s="350" t="s">
        <v>48</v>
      </c>
      <c r="C32" s="364">
        <v>50003436</v>
      </c>
      <c r="D32" s="352">
        <v>265</v>
      </c>
      <c r="E32" s="352">
        <v>4070</v>
      </c>
      <c r="F32" s="352">
        <v>5442.96</v>
      </c>
      <c r="G32" s="352"/>
      <c r="H32" s="353">
        <v>7233.44</v>
      </c>
      <c r="I32" s="366">
        <v>11104</v>
      </c>
      <c r="J32" s="366">
        <v>13586</v>
      </c>
    </row>
    <row r="33" ht="17.4" spans="1:10">
      <c r="A33" s="349">
        <v>3</v>
      </c>
      <c r="B33" s="350" t="s">
        <v>48</v>
      </c>
      <c r="C33" s="364">
        <v>50004064</v>
      </c>
      <c r="D33" s="352">
        <v>0</v>
      </c>
      <c r="E33" s="352">
        <v>0</v>
      </c>
      <c r="F33" s="352">
        <v>684.6</v>
      </c>
      <c r="G33" s="352"/>
      <c r="H33" s="353">
        <v>1696.37</v>
      </c>
      <c r="I33" s="366">
        <v>3777</v>
      </c>
      <c r="J33" s="366">
        <v>5275</v>
      </c>
    </row>
    <row r="34" ht="17.4" spans="1:10">
      <c r="A34" s="349">
        <v>4</v>
      </c>
      <c r="B34" s="350" t="s">
        <v>48</v>
      </c>
      <c r="C34" s="364">
        <v>50003414</v>
      </c>
      <c r="D34" s="352">
        <v>0</v>
      </c>
      <c r="E34" s="352">
        <v>0</v>
      </c>
      <c r="F34" s="352">
        <v>458</v>
      </c>
      <c r="G34" s="352"/>
      <c r="H34" s="353">
        <v>1460.91</v>
      </c>
      <c r="I34" s="366">
        <v>4228</v>
      </c>
      <c r="J34" s="366">
        <v>5871</v>
      </c>
    </row>
    <row r="35" ht="17.4" spans="1:10">
      <c r="A35" s="349">
        <v>5</v>
      </c>
      <c r="B35" s="350" t="s">
        <v>48</v>
      </c>
      <c r="C35" s="364">
        <v>50003389</v>
      </c>
      <c r="D35" s="352">
        <v>5814</v>
      </c>
      <c r="E35" s="352">
        <v>9155</v>
      </c>
      <c r="F35" s="352">
        <v>10239.42</v>
      </c>
      <c r="G35" s="352"/>
      <c r="H35" s="353">
        <v>11614.69</v>
      </c>
      <c r="I35" s="366">
        <v>15198</v>
      </c>
      <c r="J35" s="366">
        <v>17553</v>
      </c>
    </row>
    <row r="36" ht="17.4" spans="1:10">
      <c r="A36" s="349">
        <v>6</v>
      </c>
      <c r="B36" s="350" t="s">
        <v>48</v>
      </c>
      <c r="C36" s="364">
        <v>50002969</v>
      </c>
      <c r="D36" s="352">
        <v>854</v>
      </c>
      <c r="E36" s="352">
        <v>4535</v>
      </c>
      <c r="F36" s="352">
        <v>5754.6</v>
      </c>
      <c r="G36" s="352"/>
      <c r="H36" s="353">
        <v>7410.18</v>
      </c>
      <c r="I36" s="366">
        <v>11083</v>
      </c>
      <c r="J36" s="366">
        <v>13497</v>
      </c>
    </row>
    <row r="37" ht="17.4" spans="1:10">
      <c r="A37" s="349">
        <v>7</v>
      </c>
      <c r="B37" s="350" t="s">
        <v>48</v>
      </c>
      <c r="C37" s="364">
        <v>50002951</v>
      </c>
      <c r="D37" s="352">
        <v>3559</v>
      </c>
      <c r="E37" s="352">
        <v>5963</v>
      </c>
      <c r="F37" s="352">
        <v>7249.59</v>
      </c>
      <c r="G37" s="352"/>
      <c r="H37" s="353">
        <v>8203.86</v>
      </c>
      <c r="I37" s="366">
        <v>10036</v>
      </c>
      <c r="J37" s="366">
        <v>11379</v>
      </c>
    </row>
    <row r="38" ht="17.4" spans="1:10">
      <c r="A38" s="349">
        <v>8</v>
      </c>
      <c r="B38" s="350" t="s">
        <v>48</v>
      </c>
      <c r="C38" s="364">
        <v>50002959</v>
      </c>
      <c r="D38" s="352">
        <v>17</v>
      </c>
      <c r="E38" s="352">
        <v>2480</v>
      </c>
      <c r="F38" s="352">
        <v>3838.25</v>
      </c>
      <c r="G38" s="352"/>
      <c r="H38" s="353">
        <v>5415.75</v>
      </c>
      <c r="I38" s="366">
        <v>8407</v>
      </c>
      <c r="J38" s="366">
        <v>10346</v>
      </c>
    </row>
    <row r="39" ht="17.4" spans="1:10">
      <c r="A39" s="349">
        <v>9</v>
      </c>
      <c r="B39" s="350" t="s">
        <v>48</v>
      </c>
      <c r="C39" s="355"/>
      <c r="D39" s="352">
        <v>0</v>
      </c>
      <c r="E39" s="352">
        <v>0</v>
      </c>
      <c r="F39" s="352">
        <v>0</v>
      </c>
      <c r="G39" s="352"/>
      <c r="H39" s="353"/>
      <c r="I39" s="366"/>
      <c r="J39" s="366"/>
    </row>
    <row r="40" ht="17.4" spans="1:10">
      <c r="A40" s="349">
        <v>10</v>
      </c>
      <c r="B40" s="350" t="s">
        <v>48</v>
      </c>
      <c r="C40" s="364">
        <v>50003420</v>
      </c>
      <c r="D40" s="352">
        <v>12138</v>
      </c>
      <c r="E40" s="352">
        <v>14501</v>
      </c>
      <c r="F40" s="352">
        <v>15561</v>
      </c>
      <c r="G40" s="352"/>
      <c r="H40" s="353">
        <v>16512.4</v>
      </c>
      <c r="I40" s="366">
        <v>18452</v>
      </c>
      <c r="J40" s="366">
        <v>19803</v>
      </c>
    </row>
    <row r="41" ht="17.4" spans="1:10">
      <c r="A41" s="349">
        <v>11</v>
      </c>
      <c r="B41" s="350" t="s">
        <v>48</v>
      </c>
      <c r="C41" s="365">
        <v>50003410</v>
      </c>
      <c r="D41" s="352">
        <v>3886</v>
      </c>
      <c r="E41" s="352">
        <v>7001</v>
      </c>
      <c r="F41" s="352">
        <v>8634.89</v>
      </c>
      <c r="G41" s="352"/>
      <c r="H41" s="353">
        <v>9978.43</v>
      </c>
      <c r="I41" s="366">
        <v>12683</v>
      </c>
      <c r="J41" s="366">
        <v>14556</v>
      </c>
    </row>
    <row r="42" ht="17.4" spans="1:10">
      <c r="A42" s="349">
        <v>12</v>
      </c>
      <c r="B42" s="350" t="s">
        <v>48</v>
      </c>
      <c r="C42" s="364">
        <v>50003418</v>
      </c>
      <c r="D42" s="352">
        <v>7374</v>
      </c>
      <c r="E42" s="352">
        <v>12649</v>
      </c>
      <c r="F42" s="352">
        <v>15529.02</v>
      </c>
      <c r="G42" s="352"/>
      <c r="H42" s="353">
        <v>18068.36</v>
      </c>
      <c r="I42" s="366">
        <v>22544</v>
      </c>
      <c r="J42" s="366">
        <v>25441</v>
      </c>
    </row>
    <row r="43" ht="17.4" spans="1:10">
      <c r="A43" s="349">
        <v>13</v>
      </c>
      <c r="B43" s="350" t="s">
        <v>48</v>
      </c>
      <c r="C43" s="364">
        <v>50002859</v>
      </c>
      <c r="D43" s="352">
        <v>7339</v>
      </c>
      <c r="E43" s="352">
        <v>12702</v>
      </c>
      <c r="F43" s="352">
        <v>15409</v>
      </c>
      <c r="G43" s="352"/>
      <c r="H43" s="353">
        <v>17371.93</v>
      </c>
      <c r="I43" s="366">
        <v>21569</v>
      </c>
      <c r="J43" s="366">
        <v>24315</v>
      </c>
    </row>
    <row r="44" ht="17.4" spans="1:10">
      <c r="A44" s="349">
        <v>14</v>
      </c>
      <c r="B44" s="350" t="s">
        <v>48</v>
      </c>
      <c r="C44" s="364">
        <v>50003396</v>
      </c>
      <c r="D44" s="352">
        <v>0</v>
      </c>
      <c r="E44" s="352">
        <v>2</v>
      </c>
      <c r="F44" s="352">
        <v>1827.01</v>
      </c>
      <c r="G44" s="352"/>
      <c r="H44" s="353">
        <v>4120.68</v>
      </c>
      <c r="I44" s="366">
        <v>8268</v>
      </c>
      <c r="J44" s="366">
        <v>10948</v>
      </c>
    </row>
    <row r="45" ht="17.4" spans="1:10">
      <c r="A45" s="349">
        <v>15</v>
      </c>
      <c r="B45" s="350" t="s">
        <v>48</v>
      </c>
      <c r="C45" s="364">
        <v>50003401</v>
      </c>
      <c r="D45" s="352">
        <v>3840</v>
      </c>
      <c r="E45" s="352">
        <v>6062</v>
      </c>
      <c r="F45" s="352">
        <v>6901.57</v>
      </c>
      <c r="G45" s="352"/>
      <c r="H45" s="353">
        <v>7887.39</v>
      </c>
      <c r="I45" s="366">
        <v>10135</v>
      </c>
      <c r="J45" s="366">
        <v>11621</v>
      </c>
    </row>
    <row r="46" ht="17.4" spans="1:10">
      <c r="A46" s="349">
        <v>16</v>
      </c>
      <c r="B46" s="350" t="s">
        <v>48</v>
      </c>
      <c r="C46" s="364">
        <v>50003430</v>
      </c>
      <c r="D46" s="352">
        <v>3504</v>
      </c>
      <c r="E46" s="352">
        <v>6007</v>
      </c>
      <c r="F46" s="352">
        <v>7399.42</v>
      </c>
      <c r="G46" s="352"/>
      <c r="H46" s="353">
        <v>8490.27</v>
      </c>
      <c r="I46" s="366">
        <v>10472</v>
      </c>
      <c r="J46" s="366">
        <v>11911</v>
      </c>
    </row>
    <row r="47" ht="17.4" spans="1:10">
      <c r="A47" s="349">
        <v>17</v>
      </c>
      <c r="B47" s="350" t="s">
        <v>48</v>
      </c>
      <c r="C47" s="364">
        <v>50003415</v>
      </c>
      <c r="D47" s="352">
        <v>10794</v>
      </c>
      <c r="E47" s="352">
        <v>12766</v>
      </c>
      <c r="F47" s="352">
        <v>13535</v>
      </c>
      <c r="G47" s="352"/>
      <c r="H47" s="353">
        <v>14606</v>
      </c>
      <c r="I47" s="366">
        <v>16887</v>
      </c>
      <c r="J47" s="366">
        <v>18209</v>
      </c>
    </row>
    <row r="48" ht="17.4" spans="1:10">
      <c r="A48" s="349">
        <v>18</v>
      </c>
      <c r="B48" s="350" t="s">
        <v>48</v>
      </c>
      <c r="C48" s="364">
        <v>50002895</v>
      </c>
      <c r="D48" s="352">
        <v>0</v>
      </c>
      <c r="E48" s="352">
        <v>0</v>
      </c>
      <c r="F48" s="352">
        <v>0</v>
      </c>
      <c r="G48" s="352"/>
      <c r="H48" s="353">
        <v>0</v>
      </c>
      <c r="I48" s="366"/>
      <c r="J48" s="366">
        <v>702</v>
      </c>
    </row>
    <row r="49" ht="17.4" spans="1:10">
      <c r="A49" s="349">
        <v>19</v>
      </c>
      <c r="B49" s="350" t="s">
        <v>48</v>
      </c>
      <c r="C49" s="364">
        <v>50003432</v>
      </c>
      <c r="D49" s="352">
        <v>3403</v>
      </c>
      <c r="E49" s="352">
        <v>5961</v>
      </c>
      <c r="F49" s="352">
        <v>7410.45</v>
      </c>
      <c r="G49" s="352"/>
      <c r="H49" s="353">
        <v>8570.52</v>
      </c>
      <c r="I49" s="366">
        <v>10481</v>
      </c>
      <c r="J49" s="366">
        <v>11806</v>
      </c>
    </row>
    <row r="50" ht="17.4" spans="1:10">
      <c r="A50" s="349">
        <v>20</v>
      </c>
      <c r="B50" s="350" t="s">
        <v>48</v>
      </c>
      <c r="C50" s="364">
        <v>50002972</v>
      </c>
      <c r="D50" s="352">
        <v>24099</v>
      </c>
      <c r="E50" s="352">
        <v>29256</v>
      </c>
      <c r="F50" s="352">
        <v>31484.53</v>
      </c>
      <c r="G50" s="352"/>
      <c r="H50" s="353">
        <v>33564.89</v>
      </c>
      <c r="I50" s="366">
        <v>37964</v>
      </c>
      <c r="J50" s="366">
        <v>40923</v>
      </c>
    </row>
    <row r="51" ht="17.4" spans="1:10">
      <c r="A51" s="349">
        <v>21</v>
      </c>
      <c r="B51" s="350" t="s">
        <v>48</v>
      </c>
      <c r="C51" s="364">
        <v>50002650</v>
      </c>
      <c r="D51" s="352">
        <v>24156</v>
      </c>
      <c r="E51" s="352">
        <v>28297</v>
      </c>
      <c r="F51" s="352">
        <v>29924.37</v>
      </c>
      <c r="G51" s="352"/>
      <c r="H51" s="353">
        <v>31896.88</v>
      </c>
      <c r="I51" s="366">
        <v>36318</v>
      </c>
      <c r="J51" s="366">
        <v>39181</v>
      </c>
    </row>
    <row r="52" spans="1:10">
      <c r="A52" s="357" t="s">
        <v>335</v>
      </c>
      <c r="B52" s="350" t="s">
        <v>48</v>
      </c>
      <c r="C52" s="364">
        <v>40002670</v>
      </c>
      <c r="D52" s="352">
        <v>2093.81</v>
      </c>
      <c r="E52" s="352">
        <v>13451.22</v>
      </c>
      <c r="F52" s="352">
        <v>29901.46</v>
      </c>
      <c r="G52" s="352"/>
      <c r="H52" s="353">
        <v>44114.54</v>
      </c>
      <c r="I52" s="366">
        <v>53961</v>
      </c>
      <c r="J52" s="366">
        <v>60162</v>
      </c>
    </row>
    <row r="53" ht="17.4" spans="1:10">
      <c r="A53" s="349" t="s">
        <v>337</v>
      </c>
      <c r="B53" s="350" t="s">
        <v>48</v>
      </c>
      <c r="C53" s="364">
        <v>40002667</v>
      </c>
      <c r="D53" s="352">
        <v>0</v>
      </c>
      <c r="E53" s="352">
        <v>0</v>
      </c>
      <c r="F53" s="352">
        <v>0</v>
      </c>
      <c r="G53" s="352"/>
      <c r="H53" s="353">
        <v>0</v>
      </c>
      <c r="I53" s="366">
        <v>0</v>
      </c>
      <c r="J53" s="366">
        <v>0</v>
      </c>
    </row>
    <row r="54" ht="17.4" spans="1:10">
      <c r="A54" s="349" t="s">
        <v>340</v>
      </c>
      <c r="B54" s="350" t="s">
        <v>48</v>
      </c>
      <c r="C54" s="364">
        <v>50003399</v>
      </c>
      <c r="D54" s="352">
        <v>0</v>
      </c>
      <c r="E54" s="352">
        <v>0</v>
      </c>
      <c r="F54" s="352">
        <v>0</v>
      </c>
      <c r="G54" s="352"/>
      <c r="H54" s="353">
        <v>0</v>
      </c>
      <c r="I54" s="366">
        <v>0</v>
      </c>
      <c r="J54" s="366">
        <v>0</v>
      </c>
    </row>
    <row r="55" spans="1:10">
      <c r="A55" s="362" t="s">
        <v>342</v>
      </c>
      <c r="B55" s="350" t="s">
        <v>48</v>
      </c>
      <c r="C55" s="364"/>
      <c r="D55" s="366"/>
      <c r="E55" s="352"/>
      <c r="F55" s="366"/>
      <c r="G55" s="366"/>
      <c r="H55" s="353"/>
      <c r="I55" s="366"/>
      <c r="J55" s="366"/>
    </row>
    <row r="56" spans="1:10">
      <c r="A56" s="363" t="s">
        <v>343</v>
      </c>
      <c r="B56" s="350" t="s">
        <v>48</v>
      </c>
      <c r="C56" s="364"/>
      <c r="D56" s="366"/>
      <c r="E56" s="352"/>
      <c r="F56" s="366"/>
      <c r="G56" s="366"/>
      <c r="H56" s="353"/>
      <c r="I56" s="366"/>
      <c r="J56" s="366"/>
    </row>
    <row r="57" ht="17.4" spans="1:10">
      <c r="A57" s="349">
        <v>1</v>
      </c>
      <c r="B57" s="350" t="s">
        <v>52</v>
      </c>
      <c r="C57" s="364">
        <v>50003397</v>
      </c>
      <c r="D57" s="352">
        <v>22466</v>
      </c>
      <c r="E57" s="352">
        <v>26592</v>
      </c>
      <c r="F57" s="352">
        <v>28434.59</v>
      </c>
      <c r="G57" s="352"/>
      <c r="H57" s="353">
        <v>30242.14</v>
      </c>
      <c r="I57" s="366">
        <v>33585</v>
      </c>
      <c r="J57" s="366">
        <v>36147</v>
      </c>
    </row>
    <row r="58" ht="17.4" spans="1:10">
      <c r="A58" s="349">
        <v>2</v>
      </c>
      <c r="B58" s="350" t="s">
        <v>52</v>
      </c>
      <c r="C58" s="364">
        <v>50003402</v>
      </c>
      <c r="D58" s="352">
        <v>7976</v>
      </c>
      <c r="E58" s="352">
        <v>10495</v>
      </c>
      <c r="F58" s="352">
        <v>11875.44</v>
      </c>
      <c r="G58" s="352"/>
      <c r="H58" s="353">
        <v>13112.99</v>
      </c>
      <c r="I58" s="366">
        <v>15113</v>
      </c>
      <c r="J58" s="366">
        <v>16602</v>
      </c>
    </row>
    <row r="59" ht="17.4" spans="1:10">
      <c r="A59" s="349">
        <v>3</v>
      </c>
      <c r="B59" s="350" t="s">
        <v>52</v>
      </c>
      <c r="C59" s="364">
        <v>50003431</v>
      </c>
      <c r="D59" s="352">
        <v>8104</v>
      </c>
      <c r="E59" s="352">
        <v>11934</v>
      </c>
      <c r="F59" s="352">
        <v>13449.26</v>
      </c>
      <c r="G59" s="352"/>
      <c r="H59" s="353">
        <v>15190.17</v>
      </c>
      <c r="I59" s="366">
        <v>18755</v>
      </c>
      <c r="J59" s="366">
        <v>21422</v>
      </c>
    </row>
    <row r="60" ht="17.4" spans="1:10">
      <c r="A60" s="349">
        <v>4</v>
      </c>
      <c r="B60" s="350" t="s">
        <v>52</v>
      </c>
      <c r="C60" s="364">
        <v>50003394</v>
      </c>
      <c r="D60" s="352">
        <v>5365</v>
      </c>
      <c r="E60" s="352">
        <v>7545</v>
      </c>
      <c r="F60" s="352">
        <v>8389.8</v>
      </c>
      <c r="G60" s="352"/>
      <c r="H60" s="353">
        <v>9245.87</v>
      </c>
      <c r="I60" s="366">
        <v>11256</v>
      </c>
      <c r="J60" s="366">
        <v>12825</v>
      </c>
    </row>
    <row r="61" ht="17.4" spans="1:10">
      <c r="A61" s="349">
        <v>5</v>
      </c>
      <c r="B61" s="350" t="s">
        <v>52</v>
      </c>
      <c r="C61" s="364">
        <v>50003433</v>
      </c>
      <c r="D61" s="352">
        <v>23221</v>
      </c>
      <c r="E61" s="352">
        <v>26772</v>
      </c>
      <c r="F61" s="352">
        <v>28547.9</v>
      </c>
      <c r="G61" s="352"/>
      <c r="H61" s="353">
        <v>29022.8</v>
      </c>
      <c r="I61" s="366">
        <v>34752</v>
      </c>
      <c r="J61" s="366">
        <v>37400</v>
      </c>
    </row>
    <row r="62" ht="17.4" spans="1:10">
      <c r="A62" s="349">
        <v>6</v>
      </c>
      <c r="B62" s="350" t="s">
        <v>52</v>
      </c>
      <c r="C62" s="364">
        <v>50003421</v>
      </c>
      <c r="D62" s="352">
        <v>1616</v>
      </c>
      <c r="E62" s="352">
        <v>6999</v>
      </c>
      <c r="F62" s="352">
        <v>9599.41</v>
      </c>
      <c r="G62" s="352"/>
      <c r="H62" s="353">
        <v>11712.14</v>
      </c>
      <c r="I62" s="366">
        <v>15827</v>
      </c>
      <c r="J62" s="366">
        <v>18997</v>
      </c>
    </row>
    <row r="63" ht="17.4" spans="1:10">
      <c r="A63" s="349">
        <v>7</v>
      </c>
      <c r="B63" s="350" t="s">
        <v>52</v>
      </c>
      <c r="C63" s="364">
        <v>50002953</v>
      </c>
      <c r="D63" s="352">
        <v>141</v>
      </c>
      <c r="E63" s="352">
        <v>141</v>
      </c>
      <c r="F63" s="352">
        <v>141</v>
      </c>
      <c r="G63" s="352"/>
      <c r="H63" s="353">
        <v>141</v>
      </c>
      <c r="I63" s="366">
        <v>142</v>
      </c>
      <c r="J63" s="366">
        <v>142</v>
      </c>
    </row>
    <row r="64" ht="17.4" spans="1:10">
      <c r="A64" s="349">
        <v>8</v>
      </c>
      <c r="B64" s="350" t="s">
        <v>52</v>
      </c>
      <c r="C64" s="364">
        <v>50003395</v>
      </c>
      <c r="D64" s="352">
        <v>27333</v>
      </c>
      <c r="E64" s="352">
        <v>32684</v>
      </c>
      <c r="F64" s="352">
        <v>35790</v>
      </c>
      <c r="G64" s="352"/>
      <c r="H64" s="353">
        <v>38188.55</v>
      </c>
      <c r="I64" s="366">
        <v>41841</v>
      </c>
      <c r="J64" s="366">
        <v>44296</v>
      </c>
    </row>
    <row r="65" ht="17.4" spans="1:10">
      <c r="A65" s="349">
        <v>9</v>
      </c>
      <c r="B65" s="350" t="s">
        <v>52</v>
      </c>
      <c r="C65" s="364">
        <v>50003435</v>
      </c>
      <c r="D65" s="352">
        <v>0</v>
      </c>
      <c r="E65" s="352"/>
      <c r="F65" s="352"/>
      <c r="G65" s="352"/>
      <c r="H65" s="353"/>
      <c r="I65" s="366"/>
      <c r="J65" s="366"/>
    </row>
    <row r="66" ht="17.4" spans="1:10">
      <c r="A66" s="349">
        <v>10</v>
      </c>
      <c r="B66" s="350" t="s">
        <v>52</v>
      </c>
      <c r="C66" s="364">
        <v>50002952</v>
      </c>
      <c r="D66" s="352">
        <v>3264</v>
      </c>
      <c r="E66" s="352">
        <v>5676</v>
      </c>
      <c r="F66" s="352">
        <v>7004.47</v>
      </c>
      <c r="G66" s="352"/>
      <c r="H66" s="353">
        <v>8189.7</v>
      </c>
      <c r="I66" s="366">
        <v>10088</v>
      </c>
      <c r="J66" s="366">
        <v>11546</v>
      </c>
    </row>
    <row r="67" ht="17.4" spans="1:10">
      <c r="A67" s="349">
        <v>11</v>
      </c>
      <c r="B67" s="350" t="s">
        <v>52</v>
      </c>
      <c r="C67" s="364">
        <v>50002944</v>
      </c>
      <c r="D67" s="352">
        <v>0</v>
      </c>
      <c r="E67" s="352"/>
      <c r="F67" s="352"/>
      <c r="G67" s="352"/>
      <c r="H67" s="353"/>
      <c r="I67" s="366"/>
      <c r="J67" s="366"/>
    </row>
    <row r="68" ht="17.4" spans="1:10">
      <c r="A68" s="371">
        <v>12</v>
      </c>
      <c r="B68" s="371" t="s">
        <v>52</v>
      </c>
      <c r="C68" s="364">
        <v>3308026898</v>
      </c>
      <c r="D68" s="352">
        <v>0</v>
      </c>
      <c r="E68" s="352">
        <v>0</v>
      </c>
      <c r="F68" s="352">
        <v>187.42</v>
      </c>
      <c r="G68" s="352"/>
      <c r="H68" s="353">
        <v>1255.9</v>
      </c>
      <c r="I68" s="366">
        <v>3279.89</v>
      </c>
      <c r="J68" s="366">
        <v>4812.19</v>
      </c>
    </row>
    <row r="69" ht="17.4" spans="1:10">
      <c r="A69" s="349">
        <v>13</v>
      </c>
      <c r="B69" s="350" t="s">
        <v>52</v>
      </c>
      <c r="C69" s="364">
        <v>50003424</v>
      </c>
      <c r="D69" s="352">
        <v>3791</v>
      </c>
      <c r="E69" s="352">
        <v>6015</v>
      </c>
      <c r="F69" s="352">
        <v>7169</v>
      </c>
      <c r="G69" s="352"/>
      <c r="H69" s="353">
        <v>7899.89</v>
      </c>
      <c r="I69" s="366">
        <v>9864</v>
      </c>
      <c r="J69" s="366">
        <v>11307</v>
      </c>
    </row>
    <row r="70" ht="17.4" spans="1:10">
      <c r="A70" s="349">
        <v>14</v>
      </c>
      <c r="B70" s="350" t="s">
        <v>52</v>
      </c>
      <c r="C70" s="364">
        <v>50003438</v>
      </c>
      <c r="D70" s="352">
        <v>5315</v>
      </c>
      <c r="E70" s="352">
        <v>5695</v>
      </c>
      <c r="F70" s="352">
        <v>6442.82</v>
      </c>
      <c r="G70" s="352"/>
      <c r="H70" s="353">
        <v>7320.62</v>
      </c>
      <c r="I70" s="366">
        <v>9306</v>
      </c>
      <c r="J70" s="366">
        <v>10855</v>
      </c>
    </row>
    <row r="71" ht="17.4" spans="1:10">
      <c r="A71" s="349">
        <v>15</v>
      </c>
      <c r="B71" s="350" t="s">
        <v>52</v>
      </c>
      <c r="C71" s="364">
        <v>50003404</v>
      </c>
      <c r="D71" s="352">
        <v>5083</v>
      </c>
      <c r="E71" s="352">
        <v>9362</v>
      </c>
      <c r="F71" s="352">
        <v>11609.07</v>
      </c>
      <c r="G71" s="352"/>
      <c r="H71" s="353">
        <v>13649.03</v>
      </c>
      <c r="I71" s="366">
        <v>16919</v>
      </c>
      <c r="J71" s="366">
        <v>19466</v>
      </c>
    </row>
    <row r="72" ht="17.4" spans="1:10">
      <c r="A72" s="349">
        <v>16</v>
      </c>
      <c r="B72" s="350" t="s">
        <v>52</v>
      </c>
      <c r="C72" s="364">
        <v>50003419</v>
      </c>
      <c r="D72" s="352">
        <v>7655</v>
      </c>
      <c r="E72" s="352">
        <v>13525</v>
      </c>
      <c r="F72" s="352">
        <v>16903.4</v>
      </c>
      <c r="G72" s="352"/>
      <c r="H72" s="353">
        <v>19713.42</v>
      </c>
      <c r="I72" s="366">
        <v>24215</v>
      </c>
      <c r="J72" s="366">
        <v>27788</v>
      </c>
    </row>
    <row r="73" ht="17.4" spans="1:10">
      <c r="A73" s="349">
        <v>17</v>
      </c>
      <c r="B73" s="350" t="s">
        <v>52</v>
      </c>
      <c r="C73" s="364">
        <v>50003428</v>
      </c>
      <c r="D73" s="352">
        <v>0</v>
      </c>
      <c r="E73" s="352"/>
      <c r="F73" s="352"/>
      <c r="G73" s="352"/>
      <c r="H73" s="353"/>
      <c r="I73" s="366"/>
      <c r="J73" s="366"/>
    </row>
    <row r="74" ht="17.4" spans="1:10">
      <c r="A74" s="349">
        <v>18</v>
      </c>
      <c r="B74" s="350" t="s">
        <v>52</v>
      </c>
      <c r="C74" s="364">
        <v>50002935</v>
      </c>
      <c r="D74" s="352">
        <v>0</v>
      </c>
      <c r="E74" s="352"/>
      <c r="F74" s="352">
        <v>1</v>
      </c>
      <c r="G74" s="352"/>
      <c r="H74" s="353">
        <v>705.36</v>
      </c>
      <c r="I74" s="366">
        <v>4017</v>
      </c>
      <c r="J74" s="366">
        <v>5995</v>
      </c>
    </row>
    <row r="75" ht="17.4" spans="1:10">
      <c r="A75" s="349">
        <v>19</v>
      </c>
      <c r="B75" s="350" t="s">
        <v>52</v>
      </c>
      <c r="C75" s="364">
        <v>50003417</v>
      </c>
      <c r="D75" s="352">
        <v>10388</v>
      </c>
      <c r="E75" s="352">
        <v>15762</v>
      </c>
      <c r="F75" s="352">
        <v>18813.23</v>
      </c>
      <c r="G75" s="352"/>
      <c r="H75" s="353">
        <v>21239.96</v>
      </c>
      <c r="I75" s="366">
        <v>25220</v>
      </c>
      <c r="J75" s="366">
        <v>28182</v>
      </c>
    </row>
    <row r="76" spans="1:10">
      <c r="A76" s="357" t="s">
        <v>335</v>
      </c>
      <c r="B76" s="350" t="s">
        <v>52</v>
      </c>
      <c r="C76" s="364">
        <v>40002722</v>
      </c>
      <c r="D76" s="352">
        <v>1185.25</v>
      </c>
      <c r="E76" s="352">
        <v>8547.62</v>
      </c>
      <c r="F76" s="352">
        <v>19040.97</v>
      </c>
      <c r="G76" s="352"/>
      <c r="H76" s="353">
        <v>29007.26</v>
      </c>
      <c r="I76" s="366">
        <v>33894</v>
      </c>
      <c r="J76" s="366">
        <v>38471</v>
      </c>
    </row>
    <row r="77" ht="17.4" spans="1:10">
      <c r="A77" s="349" t="s">
        <v>337</v>
      </c>
      <c r="B77" s="350" t="s">
        <v>52</v>
      </c>
      <c r="C77" s="364">
        <v>40002728</v>
      </c>
      <c r="D77" s="352">
        <v>0</v>
      </c>
      <c r="E77" s="352">
        <v>0</v>
      </c>
      <c r="F77" s="352">
        <v>0</v>
      </c>
      <c r="G77" s="352"/>
      <c r="H77" s="353">
        <v>0</v>
      </c>
      <c r="I77" s="366"/>
      <c r="J77" s="366"/>
    </row>
    <row r="78" ht="17.4" spans="1:10">
      <c r="A78" s="349" t="s">
        <v>340</v>
      </c>
      <c r="B78" s="350" t="s">
        <v>52</v>
      </c>
      <c r="C78" s="364">
        <v>50003429</v>
      </c>
      <c r="D78" s="352">
        <v>0</v>
      </c>
      <c r="E78" s="352">
        <v>0</v>
      </c>
      <c r="F78" s="352">
        <v>0</v>
      </c>
      <c r="G78" s="352"/>
      <c r="H78" s="353">
        <v>0</v>
      </c>
      <c r="I78" s="366">
        <v>0</v>
      </c>
      <c r="J78" s="366">
        <v>0</v>
      </c>
    </row>
    <row r="79" spans="1:10">
      <c r="A79" s="362" t="s">
        <v>342</v>
      </c>
      <c r="B79" s="350" t="s">
        <v>52</v>
      </c>
      <c r="C79" s="364">
        <v>50003406</v>
      </c>
      <c r="D79" s="366"/>
      <c r="E79" s="352"/>
      <c r="F79" s="366"/>
      <c r="G79" s="366"/>
      <c r="H79" s="353"/>
      <c r="I79" s="366"/>
      <c r="J79" s="366"/>
    </row>
    <row r="80" spans="1:10">
      <c r="A80" s="363" t="s">
        <v>343</v>
      </c>
      <c r="B80" s="350" t="s">
        <v>52</v>
      </c>
      <c r="C80" s="364">
        <v>50003408</v>
      </c>
      <c r="D80" s="352"/>
      <c r="E80" s="352"/>
      <c r="F80" s="352"/>
      <c r="G80" s="352"/>
      <c r="H80" s="353"/>
      <c r="I80" s="366"/>
      <c r="J80" s="366"/>
    </row>
    <row r="81" ht="17.4" spans="1:10">
      <c r="A81" s="349">
        <v>1</v>
      </c>
      <c r="B81" s="350" t="s">
        <v>54</v>
      </c>
      <c r="C81" s="354"/>
      <c r="D81" s="352"/>
      <c r="E81" s="352">
        <v>0</v>
      </c>
      <c r="F81" s="352"/>
      <c r="G81" s="352">
        <v>0</v>
      </c>
      <c r="H81" s="353"/>
      <c r="I81" s="366"/>
      <c r="J81" s="366"/>
    </row>
    <row r="82" ht="17.4" spans="1:10">
      <c r="A82" s="349">
        <v>2</v>
      </c>
      <c r="B82" s="350" t="s">
        <v>54</v>
      </c>
      <c r="C82" s="364">
        <v>50002903</v>
      </c>
      <c r="D82" s="352"/>
      <c r="E82" s="352">
        <v>9441</v>
      </c>
      <c r="F82" s="352"/>
      <c r="G82" s="352">
        <v>14105</v>
      </c>
      <c r="H82" s="353"/>
      <c r="I82" s="366">
        <v>18618</v>
      </c>
      <c r="J82" s="366">
        <v>21526</v>
      </c>
    </row>
    <row r="83" ht="17.4" spans="1:10">
      <c r="A83" s="349">
        <v>3</v>
      </c>
      <c r="B83" s="350" t="s">
        <v>54</v>
      </c>
      <c r="C83" s="354"/>
      <c r="D83" s="352"/>
      <c r="E83" s="352">
        <v>0</v>
      </c>
      <c r="F83" s="352"/>
      <c r="G83" s="352">
        <v>0</v>
      </c>
      <c r="H83" s="353"/>
      <c r="I83" s="366"/>
      <c r="J83" s="366"/>
    </row>
    <row r="84" ht="17.4" spans="1:10">
      <c r="A84" s="349">
        <v>4</v>
      </c>
      <c r="B84" s="350" t="s">
        <v>54</v>
      </c>
      <c r="C84" s="354"/>
      <c r="D84" s="352"/>
      <c r="E84" s="352">
        <v>0</v>
      </c>
      <c r="F84" s="352"/>
      <c r="G84" s="352">
        <v>0</v>
      </c>
      <c r="H84" s="353"/>
      <c r="I84" s="366"/>
      <c r="J84" s="366"/>
    </row>
    <row r="85" ht="17.4" spans="1:10">
      <c r="A85" s="349">
        <v>5</v>
      </c>
      <c r="B85" s="350" t="s">
        <v>54</v>
      </c>
      <c r="C85" s="364">
        <v>50002911</v>
      </c>
      <c r="D85" s="352"/>
      <c r="E85" s="352">
        <v>2</v>
      </c>
      <c r="F85" s="352"/>
      <c r="G85" s="352">
        <v>3604</v>
      </c>
      <c r="H85" s="353"/>
      <c r="I85" s="366">
        <v>7727</v>
      </c>
      <c r="J85" s="366">
        <v>10460</v>
      </c>
    </row>
    <row r="86" ht="17.4" spans="1:10">
      <c r="A86" s="349">
        <v>6</v>
      </c>
      <c r="B86" s="350" t="s">
        <v>54</v>
      </c>
      <c r="C86" s="354"/>
      <c r="D86" s="352"/>
      <c r="E86" s="352">
        <v>0</v>
      </c>
      <c r="F86" s="352"/>
      <c r="G86" s="352">
        <v>0</v>
      </c>
      <c r="H86" s="353"/>
      <c r="I86" s="366"/>
      <c r="J86" s="366"/>
    </row>
    <row r="87" ht="17.4" spans="1:10">
      <c r="A87" s="349">
        <v>7</v>
      </c>
      <c r="B87" s="350" t="s">
        <v>54</v>
      </c>
      <c r="C87" s="354"/>
      <c r="D87" s="352"/>
      <c r="E87" s="352">
        <v>0</v>
      </c>
      <c r="F87" s="352"/>
      <c r="G87" s="352">
        <v>0</v>
      </c>
      <c r="H87" s="353"/>
      <c r="I87" s="366"/>
      <c r="J87" s="366"/>
    </row>
    <row r="88" ht="17.4" spans="1:10">
      <c r="A88" s="349">
        <v>8</v>
      </c>
      <c r="B88" s="350" t="s">
        <v>54</v>
      </c>
      <c r="C88" s="354"/>
      <c r="D88" s="352"/>
      <c r="E88" s="352">
        <v>0</v>
      </c>
      <c r="F88" s="352"/>
      <c r="G88" s="352">
        <v>0</v>
      </c>
      <c r="H88" s="353"/>
      <c r="I88" s="366"/>
      <c r="J88" s="366"/>
    </row>
    <row r="89" ht="17.4" spans="1:10">
      <c r="A89" s="349">
        <v>9</v>
      </c>
      <c r="B89" s="350" t="s">
        <v>54</v>
      </c>
      <c r="C89" s="354"/>
      <c r="D89" s="352"/>
      <c r="E89" s="352">
        <v>2249</v>
      </c>
      <c r="F89" s="352"/>
      <c r="G89" s="352">
        <v>4489</v>
      </c>
      <c r="H89" s="353"/>
      <c r="I89" s="366">
        <v>6566</v>
      </c>
      <c r="J89" s="366">
        <v>7871</v>
      </c>
    </row>
    <row r="90" ht="17.4" spans="1:10">
      <c r="A90" s="349">
        <v>10</v>
      </c>
      <c r="B90" s="350" t="s">
        <v>54</v>
      </c>
      <c r="C90" s="354"/>
      <c r="D90" s="352"/>
      <c r="E90" s="352">
        <v>0</v>
      </c>
      <c r="F90" s="352"/>
      <c r="G90" s="352">
        <v>0</v>
      </c>
      <c r="H90" s="353"/>
      <c r="I90" s="366"/>
      <c r="J90" s="366"/>
    </row>
    <row r="91" ht="17.4" spans="1:10">
      <c r="A91" s="349">
        <v>11</v>
      </c>
      <c r="B91" s="350" t="s">
        <v>54</v>
      </c>
      <c r="C91" s="354"/>
      <c r="D91" s="352"/>
      <c r="E91" s="352">
        <v>0</v>
      </c>
      <c r="F91" s="352"/>
      <c r="G91" s="352">
        <v>0</v>
      </c>
      <c r="H91" s="353"/>
      <c r="I91" s="366"/>
      <c r="J91" s="366"/>
    </row>
    <row r="92" ht="17.4" spans="1:10">
      <c r="A92" s="349">
        <v>12</v>
      </c>
      <c r="B92" s="350" t="s">
        <v>54</v>
      </c>
      <c r="C92" s="364">
        <v>50002897</v>
      </c>
      <c r="D92" s="352"/>
      <c r="E92" s="352">
        <v>3431</v>
      </c>
      <c r="F92" s="352"/>
      <c r="G92" s="352">
        <v>8948</v>
      </c>
      <c r="H92" s="353"/>
      <c r="I92" s="366">
        <v>14259</v>
      </c>
      <c r="J92" s="366">
        <v>17674</v>
      </c>
    </row>
    <row r="93" ht="17.4" spans="1:10">
      <c r="A93" s="349">
        <v>13</v>
      </c>
      <c r="B93" s="350" t="s">
        <v>54</v>
      </c>
      <c r="C93" s="364">
        <v>50002839</v>
      </c>
      <c r="D93" s="352"/>
      <c r="E93" s="352">
        <v>7</v>
      </c>
      <c r="F93" s="352"/>
      <c r="G93" s="352">
        <v>602</v>
      </c>
      <c r="H93" s="353"/>
      <c r="I93" s="366">
        <v>4288</v>
      </c>
      <c r="J93" s="366">
        <v>6624</v>
      </c>
    </row>
    <row r="94" ht="17.4" spans="1:10">
      <c r="A94" s="349">
        <v>14</v>
      </c>
      <c r="B94" s="350" t="s">
        <v>54</v>
      </c>
      <c r="C94" s="372">
        <v>50002863</v>
      </c>
      <c r="D94" s="352"/>
      <c r="E94" s="352">
        <v>0</v>
      </c>
      <c r="F94" s="352"/>
      <c r="G94" s="352">
        <v>1026</v>
      </c>
      <c r="H94" s="353"/>
      <c r="I94" s="366">
        <v>3860</v>
      </c>
      <c r="J94" s="366">
        <v>5667</v>
      </c>
    </row>
    <row r="95" ht="17.4" spans="1:10">
      <c r="A95" s="349">
        <v>15</v>
      </c>
      <c r="B95" s="350" t="s">
        <v>54</v>
      </c>
      <c r="C95" s="364">
        <v>50002947</v>
      </c>
      <c r="D95" s="352"/>
      <c r="E95" s="352">
        <v>377</v>
      </c>
      <c r="F95" s="352"/>
      <c r="G95" s="352">
        <v>2687</v>
      </c>
      <c r="H95" s="353"/>
      <c r="I95" s="366">
        <v>5304</v>
      </c>
      <c r="J95" s="366">
        <v>7046</v>
      </c>
    </row>
    <row r="96" ht="17.4" spans="1:10">
      <c r="A96" s="349">
        <v>16</v>
      </c>
      <c r="B96" s="350" t="s">
        <v>54</v>
      </c>
      <c r="C96" s="354"/>
      <c r="D96" s="352"/>
      <c r="E96" s="352">
        <v>0</v>
      </c>
      <c r="F96" s="352"/>
      <c r="G96" s="352">
        <v>0</v>
      </c>
      <c r="H96" s="353"/>
      <c r="I96" s="366"/>
      <c r="J96" s="366"/>
    </row>
    <row r="97" ht="17.4" spans="1:10">
      <c r="A97" s="349">
        <v>17</v>
      </c>
      <c r="B97" s="350" t="s">
        <v>54</v>
      </c>
      <c r="C97" s="364">
        <v>50002902</v>
      </c>
      <c r="D97" s="352"/>
      <c r="E97" s="352">
        <v>0</v>
      </c>
      <c r="F97" s="352"/>
      <c r="G97" s="352">
        <v>469</v>
      </c>
      <c r="H97" s="353"/>
      <c r="I97" s="366">
        <v>3363</v>
      </c>
      <c r="J97" s="366">
        <v>5183</v>
      </c>
    </row>
    <row r="98" ht="17.4" spans="1:10">
      <c r="A98" s="349">
        <v>18</v>
      </c>
      <c r="B98" s="350" t="s">
        <v>54</v>
      </c>
      <c r="C98" s="364">
        <v>50002950</v>
      </c>
      <c r="D98" s="352"/>
      <c r="E98" s="352">
        <v>0</v>
      </c>
      <c r="F98" s="352"/>
      <c r="G98" s="352">
        <v>455</v>
      </c>
      <c r="H98" s="353"/>
      <c r="I98" s="366">
        <v>1434</v>
      </c>
      <c r="J98" s="366">
        <v>2524</v>
      </c>
    </row>
    <row r="99" ht="17.4" spans="1:10">
      <c r="A99" s="349">
        <v>19</v>
      </c>
      <c r="B99" s="350" t="s">
        <v>54</v>
      </c>
      <c r="C99" s="364">
        <v>50002936</v>
      </c>
      <c r="D99" s="352"/>
      <c r="E99" s="352">
        <v>0</v>
      </c>
      <c r="F99" s="352"/>
      <c r="G99" s="352">
        <v>784</v>
      </c>
      <c r="H99" s="353"/>
      <c r="I99" s="366">
        <v>3488</v>
      </c>
      <c r="J99" s="366">
        <v>5300</v>
      </c>
    </row>
    <row r="100" ht="17.4" spans="1:10">
      <c r="A100" s="349">
        <v>20</v>
      </c>
      <c r="B100" s="350" t="s">
        <v>54</v>
      </c>
      <c r="C100" s="354"/>
      <c r="D100" s="352"/>
      <c r="E100" s="352">
        <v>0</v>
      </c>
      <c r="F100" s="352"/>
      <c r="G100" s="352">
        <v>0</v>
      </c>
      <c r="H100" s="353"/>
      <c r="I100" s="366"/>
      <c r="J100" s="366"/>
    </row>
    <row r="101" ht="17.4" spans="1:10">
      <c r="A101" s="349">
        <v>21</v>
      </c>
      <c r="B101" s="350" t="s">
        <v>54</v>
      </c>
      <c r="C101" s="364">
        <v>50002922</v>
      </c>
      <c r="D101" s="352"/>
      <c r="E101" s="352">
        <v>14215</v>
      </c>
      <c r="F101" s="352"/>
      <c r="G101" s="352">
        <v>20211</v>
      </c>
      <c r="H101" s="353"/>
      <c r="I101" s="366">
        <v>26103</v>
      </c>
      <c r="J101" s="366"/>
    </row>
    <row r="102" ht="17.4" spans="1:10">
      <c r="A102" s="349">
        <v>22</v>
      </c>
      <c r="B102" s="350" t="s">
        <v>54</v>
      </c>
      <c r="C102" s="354"/>
      <c r="D102" s="352"/>
      <c r="E102" s="352">
        <v>0</v>
      </c>
      <c r="F102" s="352"/>
      <c r="G102" s="352">
        <v>0</v>
      </c>
      <c r="H102" s="353"/>
      <c r="I102" s="366"/>
      <c r="J102" s="366"/>
    </row>
    <row r="103" ht="17.4" spans="1:10">
      <c r="A103" s="349">
        <v>23</v>
      </c>
      <c r="B103" s="350" t="s">
        <v>54</v>
      </c>
      <c r="C103" s="354"/>
      <c r="D103" s="352"/>
      <c r="E103" s="352">
        <v>0</v>
      </c>
      <c r="F103" s="352"/>
      <c r="G103" s="352">
        <v>0</v>
      </c>
      <c r="H103" s="353"/>
      <c r="I103" s="366"/>
      <c r="J103" s="366"/>
    </row>
    <row r="104" spans="1:10">
      <c r="A104" s="357" t="s">
        <v>335</v>
      </c>
      <c r="B104" s="350" t="s">
        <v>54</v>
      </c>
      <c r="C104" s="364">
        <v>2902000692</v>
      </c>
      <c r="D104" s="352"/>
      <c r="E104" s="352">
        <v>0</v>
      </c>
      <c r="F104" s="352"/>
      <c r="G104" s="352">
        <v>1611.05</v>
      </c>
      <c r="H104" s="353"/>
      <c r="I104" s="366">
        <v>8250.98</v>
      </c>
      <c r="J104" s="366">
        <v>12437.86</v>
      </c>
    </row>
    <row r="105" ht="17.4" spans="1:10">
      <c r="A105" s="349" t="s">
        <v>337</v>
      </c>
      <c r="B105" s="350" t="s">
        <v>54</v>
      </c>
      <c r="C105" s="364">
        <v>2902000696</v>
      </c>
      <c r="D105" s="352"/>
      <c r="E105" s="352">
        <v>0</v>
      </c>
      <c r="F105" s="352"/>
      <c r="G105" s="352">
        <v>0</v>
      </c>
      <c r="H105" s="353"/>
      <c r="I105" s="366"/>
      <c r="J105" s="366"/>
    </row>
    <row r="106" ht="17.4" spans="1:10">
      <c r="A106" s="349" t="s">
        <v>340</v>
      </c>
      <c r="B106" s="350" t="s">
        <v>54</v>
      </c>
      <c r="C106" s="364">
        <v>2912025475</v>
      </c>
      <c r="D106" s="352"/>
      <c r="E106" s="352">
        <v>0</v>
      </c>
      <c r="F106" s="352"/>
      <c r="G106" s="352">
        <v>0</v>
      </c>
      <c r="H106" s="353"/>
      <c r="I106" s="366">
        <v>0</v>
      </c>
      <c r="J106" s="366">
        <v>0</v>
      </c>
    </row>
    <row r="107" spans="1:10">
      <c r="A107" s="362" t="s">
        <v>342</v>
      </c>
      <c r="B107" s="350" t="s">
        <v>54</v>
      </c>
      <c r="C107" s="364"/>
      <c r="D107" s="352"/>
      <c r="E107" s="352"/>
      <c r="F107" s="352"/>
      <c r="G107" s="352"/>
      <c r="H107" s="353"/>
      <c r="I107" s="366"/>
      <c r="J107" s="366"/>
    </row>
    <row r="108" spans="1:10">
      <c r="A108" s="363" t="s">
        <v>343</v>
      </c>
      <c r="B108" s="350" t="s">
        <v>54</v>
      </c>
      <c r="C108" s="364"/>
      <c r="D108" s="352"/>
      <c r="E108" s="352"/>
      <c r="F108" s="352"/>
      <c r="G108" s="352"/>
      <c r="H108" s="353"/>
      <c r="I108" s="366"/>
      <c r="J108" s="366"/>
    </row>
    <row r="109" ht="17.4" spans="1:10">
      <c r="A109" s="349">
        <v>1</v>
      </c>
      <c r="B109" s="350" t="s">
        <v>58</v>
      </c>
      <c r="C109" s="351">
        <v>50003379</v>
      </c>
      <c r="D109" s="352"/>
      <c r="E109" s="352">
        <v>0</v>
      </c>
      <c r="F109" s="373">
        <f>(Reading_export[[#This Row],[9/10/2024]]-Reading_export[[#This Row],[1/5/2024]])/192*92+Reading_export[[#This Row],[1/5/2024]]</f>
        <v>912.644791666667</v>
      </c>
      <c r="G109" s="352"/>
      <c r="H109" s="353">
        <v>1904.65</v>
      </c>
      <c r="I109" s="366">
        <v>6399</v>
      </c>
      <c r="J109" s="366">
        <v>9331</v>
      </c>
    </row>
    <row r="110" ht="17.4" spans="1:10">
      <c r="A110" s="349">
        <v>2</v>
      </c>
      <c r="B110" s="350" t="s">
        <v>58</v>
      </c>
      <c r="C110" s="351">
        <v>50002906</v>
      </c>
      <c r="D110" s="352"/>
      <c r="E110" s="352">
        <v>0</v>
      </c>
      <c r="F110" s="352">
        <v>1688</v>
      </c>
      <c r="G110" s="352"/>
      <c r="H110" s="353">
        <v>3205.05</v>
      </c>
      <c r="I110" s="366"/>
      <c r="J110" s="366">
        <v>10625</v>
      </c>
    </row>
    <row r="111" ht="17.4" spans="1:10">
      <c r="A111" s="349">
        <v>3</v>
      </c>
      <c r="B111" s="350" t="s">
        <v>58</v>
      </c>
      <c r="C111" s="351">
        <v>50002924</v>
      </c>
      <c r="D111" s="352"/>
      <c r="E111" s="352">
        <v>2279</v>
      </c>
      <c r="F111" s="352">
        <v>3265</v>
      </c>
      <c r="G111" s="352"/>
      <c r="H111" s="353">
        <v>4437.03</v>
      </c>
      <c r="I111" s="366">
        <v>7121</v>
      </c>
      <c r="J111" s="366">
        <v>8892</v>
      </c>
    </row>
    <row r="112" ht="17.4" spans="1:10">
      <c r="A112" s="349">
        <v>4</v>
      </c>
      <c r="B112" s="350" t="s">
        <v>58</v>
      </c>
      <c r="C112" s="374"/>
      <c r="D112" s="352"/>
      <c r="E112" s="352">
        <v>0</v>
      </c>
      <c r="F112" s="352"/>
      <c r="G112" s="352"/>
      <c r="H112" s="353"/>
      <c r="I112" s="366"/>
      <c r="J112" s="366">
        <v>977</v>
      </c>
    </row>
    <row r="113" ht="17.4" spans="1:10">
      <c r="A113" s="349">
        <v>5</v>
      </c>
      <c r="B113" s="350" t="s">
        <v>58</v>
      </c>
      <c r="C113" s="351">
        <v>50002894</v>
      </c>
      <c r="D113" s="352"/>
      <c r="E113" s="352">
        <v>14920</v>
      </c>
      <c r="F113" s="373">
        <f>(Reading_export[[#This Row],[9/10/2024]]-Reading_export[[#This Row],[1/5/2024]])/192*92+Reading_export[[#This Row],[1/5/2024]]</f>
        <v>16776.1575</v>
      </c>
      <c r="G113" s="352"/>
      <c r="H113" s="353">
        <v>18793.72</v>
      </c>
      <c r="I113" s="366">
        <v>23460</v>
      </c>
      <c r="J113" s="366">
        <v>26444</v>
      </c>
    </row>
    <row r="114" ht="17.4" spans="1:10">
      <c r="A114" s="349">
        <v>6</v>
      </c>
      <c r="B114" s="350" t="s">
        <v>58</v>
      </c>
      <c r="C114" s="351">
        <v>50002835</v>
      </c>
      <c r="D114" s="352"/>
      <c r="E114" s="352">
        <v>2380</v>
      </c>
      <c r="F114" s="352">
        <v>3654</v>
      </c>
      <c r="G114" s="352"/>
      <c r="H114" s="353">
        <v>4943.24</v>
      </c>
      <c r="I114" s="366">
        <v>7334</v>
      </c>
      <c r="J114" s="366">
        <v>8999</v>
      </c>
    </row>
    <row r="115" ht="17.4" spans="1:10">
      <c r="A115" s="349">
        <v>7</v>
      </c>
      <c r="B115" s="350" t="s">
        <v>58</v>
      </c>
      <c r="C115" s="351">
        <v>50002899</v>
      </c>
      <c r="D115" s="352"/>
      <c r="E115" s="352">
        <v>15478</v>
      </c>
      <c r="F115" s="352">
        <v>16912</v>
      </c>
      <c r="G115" s="352"/>
      <c r="H115" s="353">
        <v>18219.93</v>
      </c>
      <c r="I115" s="366">
        <v>20650</v>
      </c>
      <c r="J115" s="366">
        <v>22284</v>
      </c>
    </row>
    <row r="116" ht="17.4" spans="1:10">
      <c r="A116" s="349">
        <v>8</v>
      </c>
      <c r="B116" s="350" t="s">
        <v>58</v>
      </c>
      <c r="C116" s="351">
        <v>50002910</v>
      </c>
      <c r="D116" s="352"/>
      <c r="E116" s="352">
        <v>0</v>
      </c>
      <c r="F116" s="352">
        <v>909</v>
      </c>
      <c r="G116" s="352"/>
      <c r="H116" s="353">
        <v>2240.54</v>
      </c>
      <c r="I116" s="366">
        <v>4648</v>
      </c>
      <c r="J116" s="366">
        <v>6275</v>
      </c>
    </row>
    <row r="117" ht="17.4" spans="1:10">
      <c r="A117" s="349">
        <v>9</v>
      </c>
      <c r="B117" s="350" t="s">
        <v>58</v>
      </c>
      <c r="C117" s="351">
        <v>50002960</v>
      </c>
      <c r="D117" s="352"/>
      <c r="E117" s="352">
        <v>4020</v>
      </c>
      <c r="F117" s="352">
        <v>6334</v>
      </c>
      <c r="G117" s="352"/>
      <c r="H117" s="353">
        <v>8388.68</v>
      </c>
      <c r="I117" s="366">
        <v>12198</v>
      </c>
      <c r="J117" s="366">
        <v>14761</v>
      </c>
    </row>
    <row r="118" ht="17.4" spans="1:10">
      <c r="A118" s="349">
        <v>10</v>
      </c>
      <c r="B118" s="350" t="s">
        <v>58</v>
      </c>
      <c r="C118" s="351">
        <v>50002926</v>
      </c>
      <c r="D118" s="352"/>
      <c r="E118" s="352">
        <v>1341</v>
      </c>
      <c r="F118" s="352">
        <v>3057</v>
      </c>
      <c r="G118" s="352"/>
      <c r="H118" s="353">
        <v>5128.47</v>
      </c>
      <c r="I118" s="366">
        <v>8926</v>
      </c>
      <c r="J118" s="366">
        <v>11544</v>
      </c>
    </row>
    <row r="119" ht="17.4" spans="1:10">
      <c r="A119" s="349">
        <v>11</v>
      </c>
      <c r="B119" s="350" t="s">
        <v>58</v>
      </c>
      <c r="C119" s="374"/>
      <c r="D119" s="352"/>
      <c r="E119" s="352">
        <v>0</v>
      </c>
      <c r="F119" s="352"/>
      <c r="G119" s="352"/>
      <c r="H119" s="353"/>
      <c r="I119" s="366"/>
      <c r="J119" s="366"/>
    </row>
    <row r="120" ht="17.4" spans="1:10">
      <c r="A120" s="349">
        <v>12</v>
      </c>
      <c r="B120" s="350" t="s">
        <v>58</v>
      </c>
      <c r="C120" s="375"/>
      <c r="D120" s="352"/>
      <c r="E120" s="352">
        <v>0</v>
      </c>
      <c r="F120" s="352"/>
      <c r="G120" s="352"/>
      <c r="H120" s="353"/>
      <c r="I120" s="366"/>
      <c r="J120" s="366">
        <v>92.39</v>
      </c>
    </row>
    <row r="121" ht="17.4" spans="1:10">
      <c r="A121" s="349">
        <v>13</v>
      </c>
      <c r="B121" s="350" t="s">
        <v>58</v>
      </c>
      <c r="C121" s="375"/>
      <c r="D121" s="352"/>
      <c r="E121" s="352">
        <v>0</v>
      </c>
      <c r="F121" s="352"/>
      <c r="G121" s="352"/>
      <c r="H121" s="353"/>
      <c r="I121" s="366"/>
      <c r="J121" s="366">
        <v>1087</v>
      </c>
    </row>
    <row r="122" ht="17.4" spans="1:10">
      <c r="A122" s="349">
        <v>14</v>
      </c>
      <c r="B122" s="350" t="s">
        <v>58</v>
      </c>
      <c r="C122" s="374"/>
      <c r="D122" s="352"/>
      <c r="E122" s="352">
        <v>0</v>
      </c>
      <c r="F122" s="352"/>
      <c r="G122" s="352"/>
      <c r="H122" s="353"/>
      <c r="I122" s="366"/>
      <c r="J122" s="366"/>
    </row>
    <row r="123" ht="17.4" spans="1:10">
      <c r="A123" s="349">
        <v>15</v>
      </c>
      <c r="B123" s="350" t="s">
        <v>58</v>
      </c>
      <c r="C123" s="351">
        <v>50002930</v>
      </c>
      <c r="D123" s="352"/>
      <c r="E123" s="352">
        <v>0</v>
      </c>
      <c r="F123" s="373">
        <f>(Reading_export[[#This Row],[9/10/2024]]-Reading_export[[#This Row],[1/5/2024]])/192*92+Reading_export[[#This Row],[1/5/2024]]</f>
        <v>441.556875</v>
      </c>
      <c r="G123" s="352"/>
      <c r="H123" s="353">
        <v>921.51</v>
      </c>
      <c r="I123" s="366">
        <v>3533</v>
      </c>
      <c r="J123" s="366">
        <v>4556</v>
      </c>
    </row>
    <row r="124" ht="17.4" spans="1:10">
      <c r="A124" s="349">
        <v>16</v>
      </c>
      <c r="B124" s="350" t="s">
        <v>58</v>
      </c>
      <c r="C124" s="351">
        <v>50002843</v>
      </c>
      <c r="D124" s="352"/>
      <c r="E124" s="352">
        <v>15488</v>
      </c>
      <c r="F124" s="352">
        <v>17042</v>
      </c>
      <c r="G124" s="352"/>
      <c r="H124" s="353">
        <v>18338.25</v>
      </c>
      <c r="I124" s="366">
        <v>20684</v>
      </c>
      <c r="J124" s="366">
        <v>22227</v>
      </c>
    </row>
    <row r="125" ht="17.4" spans="1:10">
      <c r="A125" s="349">
        <v>17</v>
      </c>
      <c r="B125" s="350" t="s">
        <v>58</v>
      </c>
      <c r="C125" s="351">
        <v>50002929</v>
      </c>
      <c r="D125" s="352"/>
      <c r="E125" s="352">
        <v>1</v>
      </c>
      <c r="F125" s="352">
        <v>1</v>
      </c>
      <c r="G125" s="352"/>
      <c r="H125" s="353">
        <v>384.26</v>
      </c>
      <c r="I125" s="366">
        <v>2335</v>
      </c>
      <c r="J125" s="366">
        <v>3995</v>
      </c>
    </row>
    <row r="126" ht="17.4" spans="1:10">
      <c r="A126" s="349">
        <v>18</v>
      </c>
      <c r="B126" s="350" t="s">
        <v>58</v>
      </c>
      <c r="C126" s="375"/>
      <c r="D126" s="352"/>
      <c r="E126" s="352">
        <v>0</v>
      </c>
      <c r="F126" s="352"/>
      <c r="G126" s="352"/>
      <c r="H126" s="353"/>
      <c r="I126" s="366"/>
      <c r="J126" s="366"/>
    </row>
    <row r="127" ht="17.4" spans="1:10">
      <c r="A127" s="349">
        <v>19</v>
      </c>
      <c r="B127" s="350" t="s">
        <v>58</v>
      </c>
      <c r="C127" s="375"/>
      <c r="D127" s="352"/>
      <c r="E127" s="352">
        <v>0</v>
      </c>
      <c r="F127" s="352"/>
      <c r="G127" s="352"/>
      <c r="H127" s="353"/>
      <c r="I127" s="366"/>
      <c r="J127" s="366"/>
    </row>
    <row r="128" ht="17.4" spans="1:10">
      <c r="A128" s="349">
        <v>20</v>
      </c>
      <c r="B128" s="350" t="s">
        <v>58</v>
      </c>
      <c r="C128" s="374"/>
      <c r="D128" s="352"/>
      <c r="E128" s="352">
        <v>0</v>
      </c>
      <c r="F128" s="352"/>
      <c r="G128" s="352"/>
      <c r="H128" s="353"/>
      <c r="I128" s="366"/>
      <c r="J128" s="366">
        <v>15</v>
      </c>
    </row>
    <row r="129" ht="17.4" spans="1:10">
      <c r="A129" s="349">
        <v>21</v>
      </c>
      <c r="B129" s="350" t="s">
        <v>58</v>
      </c>
      <c r="C129" s="375"/>
      <c r="D129" s="352"/>
      <c r="E129" s="352">
        <v>10846</v>
      </c>
      <c r="F129" s="352">
        <v>14184</v>
      </c>
      <c r="G129" s="352"/>
      <c r="H129" s="353">
        <v>16970.26</v>
      </c>
      <c r="I129" s="366">
        <v>21950</v>
      </c>
      <c r="J129" s="366">
        <v>25150</v>
      </c>
    </row>
    <row r="130" ht="17.4" spans="1:10">
      <c r="A130" s="349">
        <v>22</v>
      </c>
      <c r="B130" s="350" t="s">
        <v>58</v>
      </c>
      <c r="C130" s="374"/>
      <c r="D130" s="352"/>
      <c r="E130" s="352">
        <v>0</v>
      </c>
      <c r="F130" s="352"/>
      <c r="G130" s="352"/>
      <c r="H130" s="353"/>
      <c r="I130" s="366"/>
      <c r="J130" s="366"/>
    </row>
    <row r="131" spans="1:10">
      <c r="A131" s="357" t="s">
        <v>335</v>
      </c>
      <c r="B131" s="350" t="s">
        <v>58</v>
      </c>
      <c r="C131" s="351">
        <v>2902000956</v>
      </c>
      <c r="D131" s="352"/>
      <c r="E131" s="352">
        <v>0</v>
      </c>
      <c r="F131" s="352">
        <v>0</v>
      </c>
      <c r="G131" s="352"/>
      <c r="H131" s="353"/>
      <c r="I131" s="366">
        <v>7423.63</v>
      </c>
      <c r="J131" s="366">
        <v>11163.28</v>
      </c>
    </row>
    <row r="132" ht="17.4" spans="1:10">
      <c r="A132" s="349" t="s">
        <v>337</v>
      </c>
      <c r="B132" s="350" t="s">
        <v>58</v>
      </c>
      <c r="C132" s="351">
        <v>2902000944</v>
      </c>
      <c r="D132" s="352"/>
      <c r="E132" s="352">
        <v>0</v>
      </c>
      <c r="F132" s="352"/>
      <c r="G132" s="352"/>
      <c r="H132" s="353"/>
      <c r="I132" s="366"/>
      <c r="J132" s="366"/>
    </row>
    <row r="133" ht="17.4" spans="1:10">
      <c r="A133" s="349" t="s">
        <v>340</v>
      </c>
      <c r="B133" s="350" t="s">
        <v>58</v>
      </c>
      <c r="C133" s="351">
        <v>2912025226</v>
      </c>
      <c r="D133" s="352"/>
      <c r="E133" s="352">
        <v>0</v>
      </c>
      <c r="F133" s="352">
        <v>0</v>
      </c>
      <c r="G133" s="352"/>
      <c r="H133" s="353"/>
      <c r="I133" s="366"/>
      <c r="J133" s="366">
        <v>0</v>
      </c>
    </row>
    <row r="134" spans="1:10">
      <c r="A134" s="362" t="s">
        <v>342</v>
      </c>
      <c r="B134" s="350" t="s">
        <v>58</v>
      </c>
      <c r="C134" s="351"/>
      <c r="D134" s="352"/>
      <c r="E134" s="352"/>
      <c r="F134" s="352"/>
      <c r="G134" s="352"/>
      <c r="H134" s="353"/>
      <c r="I134" s="366"/>
      <c r="J134" s="366"/>
    </row>
    <row r="135" spans="1:10">
      <c r="A135" s="363" t="s">
        <v>343</v>
      </c>
      <c r="B135" s="350" t="s">
        <v>58</v>
      </c>
      <c r="C135" s="351"/>
      <c r="D135" s="352"/>
      <c r="E135" s="352"/>
      <c r="F135" s="352"/>
      <c r="G135" s="352"/>
      <c r="H135" s="353"/>
      <c r="I135" s="366"/>
      <c r="J135" s="366"/>
    </row>
    <row r="136" ht="17.4" spans="1:10">
      <c r="A136" s="349">
        <v>1</v>
      </c>
      <c r="B136" s="350" t="s">
        <v>59</v>
      </c>
      <c r="C136" s="354"/>
      <c r="D136" s="352"/>
      <c r="E136" s="352">
        <v>0</v>
      </c>
      <c r="F136" s="352"/>
      <c r="G136" s="352"/>
      <c r="H136" s="353">
        <v>0</v>
      </c>
      <c r="I136" s="366"/>
      <c r="J136" s="384"/>
    </row>
    <row r="137" ht="17.4" spans="1:10">
      <c r="A137" s="349">
        <v>2</v>
      </c>
      <c r="B137" s="350" t="s">
        <v>59</v>
      </c>
      <c r="C137" s="354"/>
      <c r="D137" s="352"/>
      <c r="E137" s="352"/>
      <c r="F137" s="352"/>
      <c r="G137" s="352"/>
      <c r="H137" s="353"/>
      <c r="I137" s="366"/>
      <c r="J137" s="384"/>
    </row>
    <row r="138" ht="17.4" spans="1:10">
      <c r="A138" s="349">
        <v>3</v>
      </c>
      <c r="B138" s="350" t="s">
        <v>59</v>
      </c>
      <c r="C138" s="376"/>
      <c r="D138" s="352"/>
      <c r="E138" s="352"/>
      <c r="F138" s="352"/>
      <c r="G138" s="352"/>
      <c r="H138" s="353"/>
      <c r="I138" s="366"/>
      <c r="J138" s="384"/>
    </row>
    <row r="139" ht="17.4" spans="1:10">
      <c r="A139" s="349">
        <v>4</v>
      </c>
      <c r="B139" s="350" t="s">
        <v>59</v>
      </c>
      <c r="C139" s="351">
        <v>50002962</v>
      </c>
      <c r="D139" s="352"/>
      <c r="E139" s="352">
        <v>5273</v>
      </c>
      <c r="F139" s="352"/>
      <c r="G139" s="352"/>
      <c r="H139" s="353">
        <v>6792.32</v>
      </c>
      <c r="I139" s="366">
        <v>9443</v>
      </c>
      <c r="J139" s="385">
        <v>11255</v>
      </c>
    </row>
    <row r="140" ht="17.4" spans="1:10">
      <c r="A140" s="349">
        <v>5</v>
      </c>
      <c r="B140" s="350" t="s">
        <v>59</v>
      </c>
      <c r="C140" s="376"/>
      <c r="D140" s="352"/>
      <c r="E140" s="352"/>
      <c r="F140" s="352"/>
      <c r="G140" s="352"/>
      <c r="H140" s="353"/>
      <c r="I140" s="366"/>
      <c r="J140" s="384"/>
    </row>
    <row r="141" ht="17.4" spans="1:10">
      <c r="A141" s="349">
        <v>6</v>
      </c>
      <c r="B141" s="350" t="s">
        <v>59</v>
      </c>
      <c r="C141" s="376"/>
      <c r="D141" s="352"/>
      <c r="E141" s="352"/>
      <c r="F141" s="352"/>
      <c r="G141" s="352"/>
      <c r="H141" s="353"/>
      <c r="I141" s="366"/>
      <c r="J141" s="384"/>
    </row>
    <row r="142" ht="17.4" spans="1:10">
      <c r="A142" s="349">
        <v>7</v>
      </c>
      <c r="B142" s="350" t="s">
        <v>59</v>
      </c>
      <c r="C142" s="351">
        <v>50003423</v>
      </c>
      <c r="D142" s="352"/>
      <c r="E142" s="352">
        <v>5416</v>
      </c>
      <c r="F142" s="352"/>
      <c r="G142" s="352"/>
      <c r="H142" s="353">
        <v>7729</v>
      </c>
      <c r="I142" s="366">
        <v>11899</v>
      </c>
      <c r="J142" s="385">
        <v>14701</v>
      </c>
    </row>
    <row r="143" ht="17.4" spans="1:10">
      <c r="A143" s="349">
        <v>8</v>
      </c>
      <c r="B143" s="350" t="s">
        <v>59</v>
      </c>
      <c r="C143" s="376"/>
      <c r="D143" s="352"/>
      <c r="E143" s="352"/>
      <c r="F143" s="352"/>
      <c r="G143" s="352"/>
      <c r="H143" s="353"/>
      <c r="I143" s="366"/>
      <c r="J143" s="384"/>
    </row>
    <row r="144" ht="17.4" spans="1:10">
      <c r="A144" s="349">
        <v>9</v>
      </c>
      <c r="B144" s="350" t="s">
        <v>59</v>
      </c>
      <c r="C144" s="354"/>
      <c r="D144" s="352"/>
      <c r="E144" s="352">
        <v>0</v>
      </c>
      <c r="F144" s="352"/>
      <c r="G144" s="352"/>
      <c r="H144" s="353">
        <v>0</v>
      </c>
      <c r="I144" s="366"/>
      <c r="J144" s="385">
        <v>512</v>
      </c>
    </row>
    <row r="145" ht="17.4" spans="1:10">
      <c r="A145" s="349">
        <v>10</v>
      </c>
      <c r="B145" s="350" t="s">
        <v>59</v>
      </c>
      <c r="C145" s="354"/>
      <c r="D145" s="352"/>
      <c r="E145" s="352"/>
      <c r="F145" s="352"/>
      <c r="G145" s="352"/>
      <c r="H145" s="353"/>
      <c r="I145" s="366"/>
      <c r="J145" s="384"/>
    </row>
    <row r="146" ht="17.4" spans="1:10">
      <c r="A146" s="349">
        <v>11</v>
      </c>
      <c r="B146" s="350" t="s">
        <v>59</v>
      </c>
      <c r="C146" s="376"/>
      <c r="D146" s="352"/>
      <c r="E146" s="352">
        <v>0</v>
      </c>
      <c r="F146" s="352"/>
      <c r="G146" s="352"/>
      <c r="H146" s="353">
        <v>0</v>
      </c>
      <c r="I146" s="366"/>
      <c r="J146" s="384"/>
    </row>
    <row r="147" ht="17.4" spans="1:10">
      <c r="A147" s="349">
        <v>12</v>
      </c>
      <c r="B147" s="350" t="s">
        <v>59</v>
      </c>
      <c r="C147" s="354"/>
      <c r="D147" s="352"/>
      <c r="E147" s="352">
        <v>0</v>
      </c>
      <c r="F147" s="352"/>
      <c r="G147" s="352"/>
      <c r="H147" s="353">
        <v>0</v>
      </c>
      <c r="I147" s="366"/>
      <c r="J147" s="384"/>
    </row>
    <row r="148" ht="17.4" spans="1:10">
      <c r="A148" s="349">
        <v>13</v>
      </c>
      <c r="B148" s="350" t="s">
        <v>59</v>
      </c>
      <c r="C148" s="376"/>
      <c r="D148" s="352"/>
      <c r="E148" s="352"/>
      <c r="F148" s="352"/>
      <c r="G148" s="352"/>
      <c r="H148" s="353"/>
      <c r="I148" s="366"/>
      <c r="J148" s="384"/>
    </row>
    <row r="149" ht="17.4" spans="1:10">
      <c r="A149" s="349">
        <v>14</v>
      </c>
      <c r="B149" s="350" t="s">
        <v>59</v>
      </c>
      <c r="C149" s="354"/>
      <c r="D149" s="352"/>
      <c r="E149" s="352"/>
      <c r="F149" s="352"/>
      <c r="G149" s="352"/>
      <c r="H149" s="353"/>
      <c r="I149" s="366"/>
      <c r="J149" s="384"/>
    </row>
    <row r="150" ht="17.4" spans="1:10">
      <c r="A150" s="349">
        <v>15</v>
      </c>
      <c r="B150" s="350" t="s">
        <v>59</v>
      </c>
      <c r="C150" s="376"/>
      <c r="D150" s="352"/>
      <c r="E150" s="352">
        <v>0</v>
      </c>
      <c r="F150" s="352"/>
      <c r="G150" s="352"/>
      <c r="H150" s="353">
        <v>0</v>
      </c>
      <c r="I150" s="366"/>
      <c r="J150" s="384"/>
    </row>
    <row r="151" ht="17.4" spans="1:10">
      <c r="A151" s="349">
        <v>16</v>
      </c>
      <c r="B151" s="350" t="s">
        <v>59</v>
      </c>
      <c r="C151" s="376"/>
      <c r="D151" s="352"/>
      <c r="E151" s="352">
        <v>0</v>
      </c>
      <c r="F151" s="352"/>
      <c r="G151" s="352"/>
      <c r="H151" s="353">
        <v>1180</v>
      </c>
      <c r="I151" s="386">
        <v>3287.63636363636</v>
      </c>
      <c r="J151" s="385">
        <v>5346</v>
      </c>
    </row>
    <row r="152" ht="17.4" spans="1:10">
      <c r="A152" s="349">
        <v>17</v>
      </c>
      <c r="B152" s="350" t="s">
        <v>59</v>
      </c>
      <c r="C152" s="376"/>
      <c r="D152" s="352"/>
      <c r="E152" s="352"/>
      <c r="F152" s="352"/>
      <c r="G152" s="352"/>
      <c r="H152" s="353"/>
      <c r="I152" s="366"/>
      <c r="J152" s="384"/>
    </row>
    <row r="153" ht="17.4" spans="1:10">
      <c r="A153" s="349">
        <v>18</v>
      </c>
      <c r="B153" s="350" t="s">
        <v>59</v>
      </c>
      <c r="C153" s="354"/>
      <c r="D153" s="352"/>
      <c r="E153" s="352">
        <v>0</v>
      </c>
      <c r="F153" s="352"/>
      <c r="G153" s="352"/>
      <c r="H153" s="353">
        <v>0</v>
      </c>
      <c r="I153" s="366"/>
      <c r="J153" s="384"/>
    </row>
    <row r="154" ht="17.4" spans="1:10">
      <c r="A154" s="349">
        <v>19</v>
      </c>
      <c r="B154" s="350" t="s">
        <v>59</v>
      </c>
      <c r="C154" s="351">
        <v>50003387</v>
      </c>
      <c r="D154" s="352"/>
      <c r="E154" s="352">
        <v>4854</v>
      </c>
      <c r="F154" s="352"/>
      <c r="G154" s="352"/>
      <c r="H154" s="353">
        <v>6044</v>
      </c>
      <c r="I154" s="366">
        <v>8595</v>
      </c>
      <c r="J154" s="385">
        <v>10663</v>
      </c>
    </row>
    <row r="155" ht="17.4" spans="1:10">
      <c r="A155" s="349">
        <v>20</v>
      </c>
      <c r="B155" s="350" t="s">
        <v>59</v>
      </c>
      <c r="C155" s="376"/>
      <c r="D155" s="352"/>
      <c r="E155" s="352"/>
      <c r="F155" s="352"/>
      <c r="G155" s="352"/>
      <c r="H155" s="353"/>
      <c r="I155" s="366"/>
      <c r="J155" s="384"/>
    </row>
    <row r="156" ht="17.4" spans="1:10">
      <c r="A156" s="349">
        <v>21</v>
      </c>
      <c r="B156" s="350" t="s">
        <v>59</v>
      </c>
      <c r="C156" s="376"/>
      <c r="D156" s="352"/>
      <c r="E156" s="352"/>
      <c r="F156" s="352"/>
      <c r="G156" s="352"/>
      <c r="H156" s="353"/>
      <c r="I156" s="366"/>
      <c r="J156" s="384"/>
    </row>
    <row r="157" ht="17.4" spans="1:10">
      <c r="A157" s="349">
        <v>22</v>
      </c>
      <c r="B157" s="350" t="s">
        <v>59</v>
      </c>
      <c r="C157" s="351">
        <v>50002397</v>
      </c>
      <c r="D157" s="352"/>
      <c r="E157" s="352">
        <v>802</v>
      </c>
      <c r="F157" s="352"/>
      <c r="G157" s="352"/>
      <c r="H157" s="353">
        <v>1978</v>
      </c>
      <c r="I157" s="366">
        <v>4682</v>
      </c>
      <c r="J157" s="385">
        <v>6531</v>
      </c>
    </row>
    <row r="158" ht="17.4" spans="1:10">
      <c r="A158" s="349">
        <v>23</v>
      </c>
      <c r="B158" s="350" t="s">
        <v>59</v>
      </c>
      <c r="C158" s="376"/>
      <c r="D158" s="352"/>
      <c r="E158" s="352"/>
      <c r="F158" s="352"/>
      <c r="G158" s="352"/>
      <c r="H158" s="353"/>
      <c r="I158" s="366"/>
      <c r="J158" s="384"/>
    </row>
    <row r="159" ht="17.4" spans="1:10">
      <c r="A159" s="349">
        <v>24</v>
      </c>
      <c r="B159" s="350" t="s">
        <v>59</v>
      </c>
      <c r="C159" s="351">
        <v>50002985</v>
      </c>
      <c r="D159" s="352"/>
      <c r="E159" s="352">
        <v>3274</v>
      </c>
      <c r="F159" s="352"/>
      <c r="G159" s="352"/>
      <c r="H159" s="353">
        <v>5957</v>
      </c>
      <c r="I159" s="366">
        <v>11400</v>
      </c>
      <c r="J159" s="385">
        <v>15173</v>
      </c>
    </row>
    <row r="160" ht="17.4" spans="1:10">
      <c r="A160" s="349">
        <v>25</v>
      </c>
      <c r="B160" s="350" t="s">
        <v>59</v>
      </c>
      <c r="C160" s="351">
        <v>50002966</v>
      </c>
      <c r="D160" s="352"/>
      <c r="E160" s="352">
        <v>1174</v>
      </c>
      <c r="F160" s="352"/>
      <c r="G160" s="352"/>
      <c r="H160" s="353">
        <v>4834</v>
      </c>
      <c r="I160" s="366">
        <v>7439</v>
      </c>
      <c r="J160" s="385">
        <v>9225</v>
      </c>
    </row>
    <row r="161" ht="17.4" spans="1:10">
      <c r="A161" s="349">
        <v>26</v>
      </c>
      <c r="B161" s="350" t="s">
        <v>59</v>
      </c>
      <c r="C161" s="374"/>
      <c r="D161" s="352"/>
      <c r="E161" s="352"/>
      <c r="F161" s="352"/>
      <c r="G161" s="352"/>
      <c r="H161" s="353"/>
      <c r="I161" s="366"/>
      <c r="J161" s="384"/>
    </row>
    <row r="162" ht="17.4" spans="1:10">
      <c r="A162" s="349">
        <v>27</v>
      </c>
      <c r="B162" s="350" t="s">
        <v>59</v>
      </c>
      <c r="C162" s="374"/>
      <c r="D162" s="352"/>
      <c r="E162" s="352">
        <v>0</v>
      </c>
      <c r="F162" s="352"/>
      <c r="G162" s="352"/>
      <c r="H162" s="353">
        <v>0</v>
      </c>
      <c r="I162" s="366"/>
      <c r="J162" s="385">
        <v>1665</v>
      </c>
    </row>
    <row r="163" customHeight="1" spans="1:10">
      <c r="A163" s="357" t="s">
        <v>335</v>
      </c>
      <c r="B163" s="350" t="s">
        <v>59</v>
      </c>
      <c r="C163" s="351">
        <v>2911041070</v>
      </c>
      <c r="D163" s="352"/>
      <c r="E163" s="352">
        <v>115.13</v>
      </c>
      <c r="F163" s="352"/>
      <c r="G163" s="352"/>
      <c r="H163" s="353">
        <v>115.14</v>
      </c>
      <c r="I163" s="366">
        <v>946.85</v>
      </c>
      <c r="J163" s="385">
        <v>2485.56</v>
      </c>
    </row>
    <row r="164" ht="17.4" spans="1:10">
      <c r="A164" s="349" t="s">
        <v>337</v>
      </c>
      <c r="B164" s="350" t="s">
        <v>59</v>
      </c>
      <c r="C164" s="351">
        <v>2911041113</v>
      </c>
      <c r="D164" s="352"/>
      <c r="E164" s="352">
        <v>0</v>
      </c>
      <c r="F164" s="352"/>
      <c r="G164" s="352"/>
      <c r="H164" s="353">
        <v>0</v>
      </c>
      <c r="I164" s="366"/>
      <c r="J164" s="384"/>
    </row>
    <row r="165" ht="17.4" spans="1:10">
      <c r="A165" s="349" t="s">
        <v>340</v>
      </c>
      <c r="B165" s="350" t="s">
        <v>59</v>
      </c>
      <c r="C165" s="354"/>
      <c r="D165" s="352"/>
      <c r="E165" s="352">
        <v>0</v>
      </c>
      <c r="F165" s="352"/>
      <c r="G165" s="352"/>
      <c r="H165" s="353">
        <v>0</v>
      </c>
      <c r="I165" s="366"/>
      <c r="J165" s="385">
        <v>0</v>
      </c>
    </row>
    <row r="166" spans="1:10">
      <c r="A166" s="362" t="s">
        <v>342</v>
      </c>
      <c r="B166" s="350" t="s">
        <v>59</v>
      </c>
      <c r="C166" s="377"/>
      <c r="D166" s="352"/>
      <c r="E166" s="352"/>
      <c r="F166" s="352"/>
      <c r="G166" s="352"/>
      <c r="H166" s="353"/>
      <c r="I166" s="366"/>
      <c r="J166" s="384"/>
    </row>
    <row r="167" spans="1:10">
      <c r="A167" s="363" t="s">
        <v>343</v>
      </c>
      <c r="B167" s="350" t="s">
        <v>59</v>
      </c>
      <c r="C167" s="377"/>
      <c r="D167" s="352"/>
      <c r="E167" s="352"/>
      <c r="F167" s="352"/>
      <c r="G167" s="352"/>
      <c r="H167" s="353"/>
      <c r="I167" s="366"/>
      <c r="J167" s="384"/>
    </row>
    <row r="168" spans="1:10">
      <c r="A168" s="378">
        <v>1</v>
      </c>
      <c r="B168" s="350" t="s">
        <v>60</v>
      </c>
      <c r="C168" s="354"/>
      <c r="D168" s="352"/>
      <c r="E168" s="352">
        <v>0</v>
      </c>
      <c r="F168" s="352">
        <v>0</v>
      </c>
      <c r="G168" s="352">
        <v>0</v>
      </c>
      <c r="H168" s="353">
        <v>0</v>
      </c>
      <c r="I168" s="366">
        <v>0</v>
      </c>
      <c r="J168" s="366">
        <v>0</v>
      </c>
    </row>
    <row r="169" spans="1:10">
      <c r="A169" s="378">
        <v>2</v>
      </c>
      <c r="B169" s="350" t="s">
        <v>60</v>
      </c>
      <c r="C169" s="354"/>
      <c r="D169" s="352"/>
      <c r="E169" s="352">
        <v>0</v>
      </c>
      <c r="F169" s="352">
        <v>0</v>
      </c>
      <c r="G169" s="352">
        <v>0</v>
      </c>
      <c r="H169" s="353">
        <v>0</v>
      </c>
      <c r="I169" s="366">
        <v>4106.37</v>
      </c>
      <c r="J169" s="366">
        <v>7043.77</v>
      </c>
    </row>
    <row r="170" spans="1:10">
      <c r="A170" s="378">
        <v>3</v>
      </c>
      <c r="B170" s="350" t="s">
        <v>60</v>
      </c>
      <c r="C170" s="376"/>
      <c r="D170" s="352"/>
      <c r="E170" s="352">
        <v>0</v>
      </c>
      <c r="F170" s="352">
        <v>0</v>
      </c>
      <c r="G170" s="352">
        <v>0</v>
      </c>
      <c r="H170" s="353">
        <v>0</v>
      </c>
      <c r="I170" s="366">
        <v>0</v>
      </c>
      <c r="J170" s="366">
        <v>0</v>
      </c>
    </row>
    <row r="171" spans="1:10">
      <c r="A171" s="378">
        <v>4</v>
      </c>
      <c r="B171" s="350" t="s">
        <v>60</v>
      </c>
      <c r="C171" s="351">
        <v>50002962</v>
      </c>
      <c r="D171" s="352"/>
      <c r="E171" s="352">
        <v>0</v>
      </c>
      <c r="F171" s="352">
        <v>0</v>
      </c>
      <c r="G171" s="352">
        <v>0</v>
      </c>
      <c r="H171" s="353">
        <v>0</v>
      </c>
      <c r="I171" s="366">
        <v>0</v>
      </c>
      <c r="J171" s="366">
        <v>0</v>
      </c>
    </row>
    <row r="172" spans="1:10">
      <c r="A172" s="378">
        <v>5</v>
      </c>
      <c r="B172" s="350" t="s">
        <v>60</v>
      </c>
      <c r="C172" s="376"/>
      <c r="D172" s="352"/>
      <c r="E172" s="352">
        <v>457</v>
      </c>
      <c r="F172" s="352">
        <v>1317</v>
      </c>
      <c r="G172" s="352">
        <v>2177</v>
      </c>
      <c r="H172" s="353">
        <v>3035.33</v>
      </c>
      <c r="I172" s="366">
        <v>7091.69</v>
      </c>
      <c r="J172" s="366">
        <v>9990.85</v>
      </c>
    </row>
    <row r="173" spans="1:10">
      <c r="A173" s="378">
        <v>6</v>
      </c>
      <c r="B173" s="350" t="s">
        <v>60</v>
      </c>
      <c r="C173" s="376"/>
      <c r="D173" s="352"/>
      <c r="E173" s="352">
        <v>0</v>
      </c>
      <c r="F173" s="352">
        <v>0</v>
      </c>
      <c r="G173" s="352">
        <v>493.96</v>
      </c>
      <c r="H173" s="353">
        <v>806.61</v>
      </c>
      <c r="I173" s="366">
        <v>4918.05</v>
      </c>
      <c r="J173" s="366">
        <v>7953.86</v>
      </c>
    </row>
    <row r="174" spans="1:10">
      <c r="A174" s="378">
        <v>7</v>
      </c>
      <c r="B174" s="350" t="s">
        <v>60</v>
      </c>
      <c r="C174" s="351">
        <v>50003423</v>
      </c>
      <c r="D174" s="352"/>
      <c r="E174" s="352">
        <v>463</v>
      </c>
      <c r="F174" s="352">
        <v>1233.08</v>
      </c>
      <c r="G174" s="352">
        <v>1829.3</v>
      </c>
      <c r="H174" s="353">
        <v>1914.79</v>
      </c>
      <c r="I174" s="366">
        <v>3088.82</v>
      </c>
      <c r="J174" s="366">
        <v>4593.49</v>
      </c>
    </row>
    <row r="175" spans="1:10">
      <c r="A175" s="378">
        <v>8</v>
      </c>
      <c r="B175" s="350" t="s">
        <v>60</v>
      </c>
      <c r="C175" s="354"/>
      <c r="D175" s="352"/>
      <c r="E175" s="352">
        <v>4</v>
      </c>
      <c r="F175" s="352">
        <v>308.04</v>
      </c>
      <c r="G175" s="352">
        <v>2226.07</v>
      </c>
      <c r="H175" s="353">
        <v>2495.84</v>
      </c>
      <c r="I175" s="366">
        <v>6799.19</v>
      </c>
      <c r="J175" s="366">
        <v>9896.14</v>
      </c>
    </row>
    <row r="176" spans="1:10">
      <c r="A176" s="378">
        <v>9</v>
      </c>
      <c r="B176" s="350" t="s">
        <v>60</v>
      </c>
      <c r="C176" s="354"/>
      <c r="D176" s="352"/>
      <c r="E176" s="352">
        <v>0</v>
      </c>
      <c r="F176" s="352">
        <v>0</v>
      </c>
      <c r="G176" s="352">
        <v>0</v>
      </c>
      <c r="H176" s="353">
        <v>0</v>
      </c>
      <c r="I176" s="366">
        <v>0</v>
      </c>
      <c r="J176" s="366">
        <v>0</v>
      </c>
    </row>
    <row r="177" spans="1:10">
      <c r="A177" s="378">
        <v>10</v>
      </c>
      <c r="B177" s="350" t="s">
        <v>60</v>
      </c>
      <c r="C177" s="376"/>
      <c r="D177" s="352"/>
      <c r="E177" s="352">
        <v>0</v>
      </c>
      <c r="F177" s="352">
        <v>0</v>
      </c>
      <c r="G177" s="352">
        <v>0</v>
      </c>
      <c r="H177" s="353">
        <v>0</v>
      </c>
      <c r="I177" s="366">
        <v>4.88</v>
      </c>
      <c r="J177" s="366">
        <v>1442.54</v>
      </c>
    </row>
    <row r="178" spans="1:10">
      <c r="A178" s="378">
        <v>11</v>
      </c>
      <c r="B178" s="350" t="s">
        <v>60</v>
      </c>
      <c r="C178" s="354"/>
      <c r="D178" s="352"/>
      <c r="E178" s="352">
        <v>0</v>
      </c>
      <c r="F178" s="352">
        <v>0</v>
      </c>
      <c r="G178" s="352">
        <v>0</v>
      </c>
      <c r="H178" s="353">
        <v>0</v>
      </c>
      <c r="I178" s="366">
        <v>0</v>
      </c>
      <c r="J178" s="366">
        <v>0</v>
      </c>
    </row>
    <row r="179" spans="1:10">
      <c r="A179" s="378">
        <v>12</v>
      </c>
      <c r="B179" s="350" t="s">
        <v>60</v>
      </c>
      <c r="C179" s="376"/>
      <c r="D179" s="352"/>
      <c r="E179" s="352">
        <v>0</v>
      </c>
      <c r="F179" s="352">
        <v>0</v>
      </c>
      <c r="G179" s="352">
        <v>0</v>
      </c>
      <c r="H179" s="353">
        <v>0</v>
      </c>
      <c r="I179" s="366">
        <v>0</v>
      </c>
      <c r="J179" s="366">
        <v>0</v>
      </c>
    </row>
    <row r="180" spans="1:10">
      <c r="A180" s="378">
        <v>13</v>
      </c>
      <c r="B180" s="350" t="s">
        <v>60</v>
      </c>
      <c r="C180" s="354"/>
      <c r="D180" s="352"/>
      <c r="E180" s="352">
        <v>0</v>
      </c>
      <c r="F180" s="352">
        <v>0</v>
      </c>
      <c r="G180" s="352">
        <v>0</v>
      </c>
      <c r="H180" s="353">
        <v>0</v>
      </c>
      <c r="I180" s="366">
        <v>4629</v>
      </c>
      <c r="J180" s="366">
        <v>8195.72</v>
      </c>
    </row>
    <row r="181" spans="1:10">
      <c r="A181" s="378">
        <v>14</v>
      </c>
      <c r="B181" s="350" t="s">
        <v>60</v>
      </c>
      <c r="C181" s="376"/>
      <c r="D181" s="352"/>
      <c r="E181" s="352">
        <v>0</v>
      </c>
      <c r="F181" s="352">
        <v>0</v>
      </c>
      <c r="G181" s="352">
        <v>0</v>
      </c>
      <c r="H181" s="353">
        <v>0</v>
      </c>
      <c r="I181" s="366">
        <v>0</v>
      </c>
      <c r="J181" s="366">
        <v>0</v>
      </c>
    </row>
    <row r="182" spans="1:10">
      <c r="A182" s="378">
        <v>15</v>
      </c>
      <c r="B182" s="350" t="s">
        <v>60</v>
      </c>
      <c r="C182" s="376"/>
      <c r="D182" s="352"/>
      <c r="E182" s="352">
        <v>0</v>
      </c>
      <c r="F182" s="352">
        <v>0</v>
      </c>
      <c r="G182" s="352">
        <v>0</v>
      </c>
      <c r="H182" s="353">
        <v>0</v>
      </c>
      <c r="I182" s="366">
        <v>0</v>
      </c>
      <c r="J182" s="366">
        <v>0</v>
      </c>
    </row>
    <row r="183" spans="1:10">
      <c r="A183" s="378">
        <v>16</v>
      </c>
      <c r="B183" s="350" t="s">
        <v>60</v>
      </c>
      <c r="C183" s="376"/>
      <c r="D183" s="352"/>
      <c r="E183" s="352">
        <v>0</v>
      </c>
      <c r="F183" s="352">
        <v>0</v>
      </c>
      <c r="G183" s="352">
        <v>0</v>
      </c>
      <c r="H183" s="353">
        <v>0</v>
      </c>
      <c r="I183" s="366">
        <v>0</v>
      </c>
      <c r="J183" s="366">
        <v>0</v>
      </c>
    </row>
    <row r="184" spans="1:10">
      <c r="A184" s="378">
        <v>17</v>
      </c>
      <c r="B184" s="350" t="s">
        <v>60</v>
      </c>
      <c r="C184" s="354"/>
      <c r="D184" s="352"/>
      <c r="E184" s="352">
        <v>0</v>
      </c>
      <c r="F184" s="352">
        <v>0</v>
      </c>
      <c r="G184" s="352">
        <v>0</v>
      </c>
      <c r="H184" s="353">
        <v>0</v>
      </c>
      <c r="I184" s="366">
        <v>0</v>
      </c>
      <c r="J184" s="366">
        <v>0</v>
      </c>
    </row>
    <row r="185" spans="1:10">
      <c r="A185" s="378">
        <v>18</v>
      </c>
      <c r="B185" s="350" t="s">
        <v>60</v>
      </c>
      <c r="C185" s="354"/>
      <c r="D185" s="352"/>
      <c r="E185" s="352">
        <v>4.02</v>
      </c>
      <c r="F185" s="352">
        <v>4.02</v>
      </c>
      <c r="G185" s="352">
        <v>4.02</v>
      </c>
      <c r="H185" s="353">
        <v>4.02</v>
      </c>
      <c r="I185" s="366">
        <v>4.02</v>
      </c>
      <c r="J185" s="366">
        <v>4.02</v>
      </c>
    </row>
    <row r="186" spans="1:10">
      <c r="A186" s="378">
        <v>19</v>
      </c>
      <c r="B186" s="350" t="s">
        <v>60</v>
      </c>
      <c r="C186" s="351">
        <v>50003387</v>
      </c>
      <c r="D186" s="352"/>
      <c r="E186" s="352">
        <v>0</v>
      </c>
      <c r="F186" s="352">
        <v>0</v>
      </c>
      <c r="G186" s="352">
        <v>1.03</v>
      </c>
      <c r="H186" s="353">
        <v>1.03</v>
      </c>
      <c r="I186" s="366">
        <v>1.03</v>
      </c>
      <c r="J186" s="366">
        <v>1568.28</v>
      </c>
    </row>
    <row r="187" spans="1:10">
      <c r="A187" s="357" t="s">
        <v>335</v>
      </c>
      <c r="B187" s="350" t="s">
        <v>60</v>
      </c>
      <c r="C187" s="351">
        <v>2911041070</v>
      </c>
      <c r="D187" s="352"/>
      <c r="E187" s="352">
        <v>0</v>
      </c>
      <c r="F187" s="352">
        <v>0</v>
      </c>
      <c r="G187" s="352">
        <v>1182.03</v>
      </c>
      <c r="H187" s="353">
        <v>1375.69</v>
      </c>
      <c r="I187" s="366">
        <v>5743.46</v>
      </c>
      <c r="J187" s="366">
        <v>8806.19</v>
      </c>
    </row>
    <row r="188" ht="17.4" spans="1:10">
      <c r="A188" s="349" t="s">
        <v>337</v>
      </c>
      <c r="B188" s="350" t="s">
        <v>60</v>
      </c>
      <c r="C188" s="351">
        <v>2911041113</v>
      </c>
      <c r="D188" s="352"/>
      <c r="E188" s="352">
        <v>0</v>
      </c>
      <c r="F188" s="352">
        <v>0</v>
      </c>
      <c r="G188" s="352"/>
      <c r="H188" s="353">
        <v>0</v>
      </c>
      <c r="I188" s="366"/>
      <c r="J188" s="366">
        <v>0</v>
      </c>
    </row>
    <row r="189" ht="17.4" spans="1:10">
      <c r="A189" s="379" t="s">
        <v>340</v>
      </c>
      <c r="B189" s="380" t="s">
        <v>60</v>
      </c>
      <c r="C189" s="381"/>
      <c r="D189" s="352"/>
      <c r="E189" s="352">
        <v>0</v>
      </c>
      <c r="F189" s="352"/>
      <c r="G189" s="352"/>
      <c r="H189" s="353">
        <v>0</v>
      </c>
      <c r="I189" s="366"/>
      <c r="J189" s="366">
        <v>0</v>
      </c>
    </row>
    <row r="190" spans="1:10">
      <c r="A190" s="357" t="s">
        <v>342</v>
      </c>
      <c r="B190" s="380" t="s">
        <v>60</v>
      </c>
      <c r="C190" s="377"/>
      <c r="D190" s="352"/>
      <c r="E190" s="352"/>
      <c r="F190" s="352"/>
      <c r="G190" s="352"/>
      <c r="H190" s="353"/>
      <c r="I190" s="366"/>
      <c r="J190" s="366"/>
    </row>
    <row r="191" spans="1:10">
      <c r="A191" s="382" t="s">
        <v>343</v>
      </c>
      <c r="B191" s="380" t="s">
        <v>60</v>
      </c>
      <c r="C191" s="383"/>
      <c r="D191" s="352"/>
      <c r="E191" s="352"/>
      <c r="F191" s="352"/>
      <c r="G191" s="352"/>
      <c r="H191" s="353"/>
      <c r="I191" s="366"/>
      <c r="J191" s="366"/>
    </row>
  </sheetData>
  <conditionalFormatting sqref="J28:J135">
    <cfRule type="cellIs" dxfId="36" priority="1" operator="lessThan">
      <formula>0</formula>
    </cfRule>
  </conditionalFormatting>
  <conditionalFormatting sqref="J168:J191">
    <cfRule type="cellIs" dxfId="36" priority="4" operator="lessThan">
      <formula>0</formula>
    </cfRule>
  </conditionalFormatting>
  <conditionalFormatting sqref="D2:E25">
    <cfRule type="cellIs" dxfId="36" priority="15" operator="lessThan">
      <formula>0</formula>
    </cfRule>
  </conditionalFormatting>
  <conditionalFormatting sqref="D27:I150 D151:H151 D152:I191">
    <cfRule type="cellIs" dxfId="36" priority="10" operator="lessThan">
      <formula>0</formula>
    </cfRule>
  </conditionalFormatting>
  <pageMargins left="0.7" right="0.7" top="0.75" bottom="0.75" header="0.3" footer="0.3"/>
  <pageSetup paperSize="9" orientation="portrait"/>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8"/>
  <dimension ref="A1:L11"/>
  <sheetViews>
    <sheetView zoomScale="192" zoomScaleNormal="192" topLeftCell="E1" workbookViewId="0">
      <selection activeCell="L2" sqref="L2"/>
    </sheetView>
  </sheetViews>
  <sheetFormatPr defaultColWidth="8.83333333333333" defaultRowHeight="13.8"/>
  <cols>
    <col min="1" max="1" width="11.1666666666667" customWidth="1"/>
    <col min="2" max="3" width="13.8333333333333" customWidth="1"/>
    <col min="4" max="4" width="15.6666666666667" customWidth="1"/>
    <col min="5" max="5" width="16.5" customWidth="1"/>
    <col min="6" max="7" width="9.83333333333333" customWidth="1"/>
    <col min="8" max="8" width="15.1666666666667" customWidth="1"/>
    <col min="9" max="9" width="16.6666666666667" customWidth="1"/>
  </cols>
  <sheetData>
    <row r="1" ht="82.8" spans="2:12">
      <c r="B1" s="332" t="s">
        <v>840</v>
      </c>
      <c r="C1" s="332" t="s">
        <v>841</v>
      </c>
      <c r="D1" s="332" t="s">
        <v>842</v>
      </c>
      <c r="E1" s="333" t="s">
        <v>843</v>
      </c>
      <c r="F1" s="333" t="s">
        <v>844</v>
      </c>
      <c r="G1" s="332" t="s">
        <v>845</v>
      </c>
      <c r="H1" s="332" t="s">
        <v>846</v>
      </c>
      <c r="I1" s="332" t="s">
        <v>847</v>
      </c>
      <c r="J1" s="332" t="s">
        <v>848</v>
      </c>
      <c r="K1" s="332" t="s">
        <v>849</v>
      </c>
      <c r="L1" s="333" t="s">
        <v>850</v>
      </c>
    </row>
    <row r="2" ht="25.25" customHeight="1" spans="1:12">
      <c r="A2" s="332" t="s">
        <v>851</v>
      </c>
      <c r="B2" s="334">
        <v>22</v>
      </c>
      <c r="C2" s="335">
        <v>-22</v>
      </c>
      <c r="D2" s="335">
        <v>22</v>
      </c>
      <c r="E2" s="336">
        <v>30</v>
      </c>
      <c r="F2" s="336">
        <f>-3.5*1.1</f>
        <v>-3.85</v>
      </c>
      <c r="G2" s="334">
        <v>-65</v>
      </c>
      <c r="H2" s="337">
        <v>-0.05</v>
      </c>
      <c r="I2" s="332">
        <f>-G2*H2</f>
        <v>-3.25</v>
      </c>
      <c r="J2" s="332">
        <v>2</v>
      </c>
      <c r="K2" s="332">
        <v>-2</v>
      </c>
      <c r="L2" s="336">
        <v>36</v>
      </c>
    </row>
    <row r="3" ht="23.5" customHeight="1" spans="1:12">
      <c r="A3" s="332" t="s">
        <v>852</v>
      </c>
      <c r="B3" s="338">
        <f t="shared" ref="B3:G3" si="0">B2/100</f>
        <v>0.22</v>
      </c>
      <c r="C3" s="338">
        <f t="shared" si="0"/>
        <v>-0.22</v>
      </c>
      <c r="D3" s="339">
        <f t="shared" si="0"/>
        <v>0.22</v>
      </c>
      <c r="E3" s="340">
        <v>0.3</v>
      </c>
      <c r="F3" s="341">
        <f t="shared" si="0"/>
        <v>-0.0385</v>
      </c>
      <c r="G3" s="338">
        <f t="shared" si="0"/>
        <v>-0.65</v>
      </c>
      <c r="H3" s="337">
        <v>-0.05</v>
      </c>
      <c r="I3" s="338">
        <f>I2/100</f>
        <v>-0.0325</v>
      </c>
      <c r="J3" s="338">
        <f t="shared" ref="J3:L3" si="1">J2/100</f>
        <v>0.02</v>
      </c>
      <c r="K3" s="338">
        <f t="shared" si="1"/>
        <v>-0.02</v>
      </c>
      <c r="L3" s="341">
        <f t="shared" si="1"/>
        <v>0.36</v>
      </c>
    </row>
    <row r="6" ht="55.2" spans="2:4">
      <c r="B6" s="333" t="s">
        <v>853</v>
      </c>
      <c r="C6" s="333" t="s">
        <v>854</v>
      </c>
      <c r="D6" t="s">
        <v>855</v>
      </c>
    </row>
    <row r="7" spans="1:4">
      <c r="A7" s="332" t="s">
        <v>856</v>
      </c>
      <c r="B7" s="338">
        <v>55</v>
      </c>
      <c r="C7" s="338">
        <v>858</v>
      </c>
      <c r="D7" s="338">
        <v>80.3</v>
      </c>
    </row>
    <row r="8" spans="1:4">
      <c r="A8" s="332" t="s">
        <v>857</v>
      </c>
      <c r="B8" s="338">
        <f>B7/365</f>
        <v>0.150684931506849</v>
      </c>
      <c r="C8" s="338">
        <f>C7/365</f>
        <v>2.35068493150685</v>
      </c>
      <c r="D8" s="338">
        <f>D7/365</f>
        <v>0.22</v>
      </c>
    </row>
    <row r="10" ht="27.6" spans="2:2">
      <c r="B10" t="s">
        <v>858</v>
      </c>
    </row>
    <row r="11" spans="1:2">
      <c r="A11" t="s">
        <v>859</v>
      </c>
      <c r="B11">
        <v>1.1</v>
      </c>
    </row>
  </sheetData>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6">
    <pageSetUpPr fitToPage="1"/>
  </sheetPr>
  <dimension ref="A1:BT89"/>
  <sheetViews>
    <sheetView zoomScale="75" zoomScaleNormal="75" topLeftCell="Y4" workbookViewId="0">
      <selection activeCell="AL34" sqref="AL34"/>
    </sheetView>
  </sheetViews>
  <sheetFormatPr defaultColWidth="10.8333333333333" defaultRowHeight="17.4"/>
  <cols>
    <col min="1" max="1" width="11.6666666666667" style="76" customWidth="1"/>
    <col min="2" max="2" width="48.3333333333333" style="77" customWidth="1"/>
    <col min="3" max="4" width="15.6666666666667" style="77" customWidth="1"/>
    <col min="5" max="5" width="12.5" style="77" customWidth="1"/>
    <col min="6" max="7" width="17.8333333333333" style="77" customWidth="1"/>
    <col min="8" max="8" width="15.8333333333333" style="78" customWidth="1"/>
    <col min="9" max="9" width="15.1666666666667" style="78" customWidth="1"/>
    <col min="10" max="10" width="16.8333333333333" style="77" customWidth="1"/>
    <col min="11" max="11" width="15.1666666666667" style="79" customWidth="1"/>
    <col min="12" max="12" width="15.1666666666667" style="77" customWidth="1"/>
    <col min="13" max="20" width="15.1666666666667" style="79" customWidth="1"/>
    <col min="21" max="24" width="15.1666666666667" style="77" customWidth="1"/>
    <col min="25" max="27" width="15.1666666666667" style="80" customWidth="1"/>
    <col min="28" max="28" width="21.6666666666667" style="80" customWidth="1"/>
    <col min="29" max="30" width="15.1666666666667" style="80" customWidth="1"/>
    <col min="31" max="33" width="15.1666666666667" style="79" customWidth="1"/>
    <col min="34" max="35" width="15.1666666666667" style="81" customWidth="1"/>
    <col min="36" max="36" width="19.5" style="81" customWidth="1"/>
    <col min="37" max="37" width="15.1666666666667" style="79" customWidth="1"/>
    <col min="38" max="39" width="15.1666666666667" style="81" customWidth="1"/>
    <col min="40" max="40" width="15.1666666666667" style="77" customWidth="1"/>
    <col min="41" max="41" width="15.8333333333333" style="82" customWidth="1"/>
    <col min="42" max="66" width="15.8333333333333" style="77" customWidth="1"/>
    <col min="67" max="67" width="15.8333333333333" style="82" customWidth="1"/>
    <col min="68" max="68" width="15.8333333333333" style="77" customWidth="1"/>
    <col min="69" max="69" width="21" style="77" customWidth="1"/>
    <col min="70" max="71" width="15.8333333333333" customWidth="1"/>
    <col min="72" max="72" width="13" style="76" customWidth="1"/>
  </cols>
  <sheetData>
    <row r="1" s="73" customFormat="1" ht="21" spans="1:72">
      <c r="A1" s="83"/>
      <c r="B1" s="84" t="s">
        <v>44</v>
      </c>
      <c r="C1" s="85" t="s">
        <v>860</v>
      </c>
      <c r="D1" s="85"/>
      <c r="E1" s="85"/>
      <c r="F1" s="86">
        <f>DATE(2025,F2,1)</f>
        <v>45658</v>
      </c>
      <c r="G1" s="86"/>
      <c r="H1" s="87">
        <f>DATE(2025,H2+1,0)</f>
        <v>45747</v>
      </c>
      <c r="I1"/>
      <c r="K1" s="162"/>
      <c r="L1" s="163"/>
      <c r="M1" s="163"/>
      <c r="N1" s="163"/>
      <c r="O1" s="163"/>
      <c r="P1" s="163"/>
      <c r="Q1" s="163"/>
      <c r="R1" s="163"/>
      <c r="S1" s="163"/>
      <c r="T1" s="163"/>
      <c r="U1" s="163"/>
      <c r="V1" s="163"/>
      <c r="W1" s="163"/>
      <c r="X1" s="162"/>
      <c r="Y1" s="163"/>
      <c r="Z1" s="163"/>
      <c r="AA1" s="163"/>
      <c r="AB1" s="163"/>
      <c r="AC1" s="163"/>
      <c r="AD1" s="163"/>
      <c r="AE1" s="162"/>
      <c r="AF1" s="162"/>
      <c r="AG1" s="163"/>
      <c r="AH1" s="163"/>
      <c r="AI1" s="163"/>
      <c r="AJ1" s="163"/>
      <c r="AK1" s="163"/>
      <c r="AL1" s="163"/>
      <c r="AM1" s="163"/>
      <c r="AN1" s="163"/>
      <c r="AO1" s="163"/>
      <c r="AP1" s="162"/>
      <c r="AQ1" s="162"/>
      <c r="AR1" s="162"/>
      <c r="AS1" s="162"/>
      <c r="AT1" s="162"/>
      <c r="AU1" s="162"/>
      <c r="AV1" s="162"/>
      <c r="AW1" s="162"/>
      <c r="AX1" s="162"/>
      <c r="AY1" s="162"/>
      <c r="AZ1" s="162"/>
      <c r="BA1" s="162"/>
      <c r="BB1" s="162"/>
      <c r="BC1" s="162"/>
      <c r="BD1" s="162"/>
      <c r="BE1" s="162"/>
      <c r="BF1" s="162"/>
      <c r="BG1" s="162"/>
      <c r="BH1" s="162"/>
      <c r="BI1" s="162"/>
      <c r="BJ1" s="162"/>
      <c r="BK1" s="162"/>
      <c r="BL1" s="162"/>
      <c r="BM1" s="162"/>
      <c r="BN1" s="162"/>
      <c r="BO1" s="162"/>
      <c r="BP1" s="300"/>
      <c r="BQ1" s="162"/>
      <c r="BR1" s="162"/>
      <c r="BT1" s="83"/>
    </row>
    <row r="2" ht="23" customHeight="1" spans="2:70">
      <c r="B2" s="88"/>
      <c r="F2" s="84">
        <v>1</v>
      </c>
      <c r="G2" s="84">
        <v>2</v>
      </c>
      <c r="H2" s="84">
        <v>3</v>
      </c>
      <c r="I2" s="77"/>
      <c r="J2" s="164"/>
      <c r="K2" s="77"/>
      <c r="L2" s="79"/>
      <c r="U2" s="79"/>
      <c r="V2" s="79"/>
      <c r="W2" s="79"/>
      <c r="Y2" s="79"/>
      <c r="Z2" s="79"/>
      <c r="AA2" s="79"/>
      <c r="AB2" s="79"/>
      <c r="AC2" s="79"/>
      <c r="AD2" s="79"/>
      <c r="AE2" s="77"/>
      <c r="AF2" s="77"/>
      <c r="AH2" s="79"/>
      <c r="AI2" s="79"/>
      <c r="AJ2" s="79"/>
      <c r="AL2" s="79"/>
      <c r="AM2" s="79"/>
      <c r="AN2" s="79"/>
      <c r="AO2" s="79"/>
      <c r="BO2" s="77"/>
      <c r="BP2" s="82"/>
      <c r="BR2" s="77"/>
    </row>
    <row r="3" ht="77" customHeight="1" spans="3:71">
      <c r="C3" s="89" t="s">
        <v>861</v>
      </c>
      <c r="D3" s="89"/>
      <c r="E3" s="89"/>
      <c r="F3" s="90">
        <f>DAY(DATE(2024,F2+1,0))</f>
        <v>31</v>
      </c>
      <c r="G3" s="90">
        <f t="shared" ref="G3:H3" si="0">DAY(DATE(2024,G2+1,0))</f>
        <v>29</v>
      </c>
      <c r="H3" s="90">
        <f t="shared" si="0"/>
        <v>31</v>
      </c>
      <c r="I3" s="165">
        <f>N3</f>
        <v>90</v>
      </c>
      <c r="J3" s="165">
        <f>N3</f>
        <v>90</v>
      </c>
      <c r="K3" s="165">
        <f>N3</f>
        <v>90</v>
      </c>
      <c r="L3" s="165">
        <f>N3</f>
        <v>90</v>
      </c>
      <c r="M3" s="165">
        <v>1</v>
      </c>
      <c r="N3" s="166">
        <f>H1-F1+1</f>
        <v>90</v>
      </c>
      <c r="O3" s="167"/>
      <c r="P3" s="168" t="s">
        <v>862</v>
      </c>
      <c r="Q3" s="168"/>
      <c r="R3" s="192" t="s">
        <v>863</v>
      </c>
      <c r="S3" s="192"/>
      <c r="T3" s="192"/>
      <c r="U3" s="192"/>
      <c r="V3" s="192"/>
      <c r="W3" s="192"/>
      <c r="X3" s="192"/>
      <c r="Y3" s="192"/>
      <c r="Z3" s="192"/>
      <c r="AA3" s="192"/>
      <c r="AB3" s="192"/>
      <c r="AC3" s="192"/>
      <c r="AD3" s="192"/>
      <c r="AE3" s="211" t="s">
        <v>864</v>
      </c>
      <c r="AF3" s="211"/>
      <c r="AG3" s="211"/>
      <c r="AH3" s="211"/>
      <c r="AI3" s="211"/>
      <c r="AJ3" s="192"/>
      <c r="AK3" s="192"/>
      <c r="AL3" s="192"/>
      <c r="AM3" s="192"/>
      <c r="AN3" s="192"/>
      <c r="AO3" s="250"/>
      <c r="AP3" s="251"/>
      <c r="AQ3" s="252" t="s">
        <v>865</v>
      </c>
      <c r="AR3" s="252"/>
      <c r="AS3" s="252"/>
      <c r="AT3" s="252"/>
      <c r="AU3" s="252"/>
      <c r="AV3" s="252"/>
      <c r="AW3" s="252"/>
      <c r="AX3" s="252"/>
      <c r="AY3" s="252"/>
      <c r="AZ3" s="252"/>
      <c r="BA3" s="252"/>
      <c r="BB3" s="252"/>
      <c r="BC3" s="252"/>
      <c r="BD3" s="273"/>
      <c r="BE3" s="273"/>
      <c r="BF3" s="273"/>
      <c r="BG3" s="273"/>
      <c r="BH3" s="273"/>
      <c r="BI3" s="273"/>
      <c r="BJ3" s="273"/>
      <c r="BK3" s="281" t="s">
        <v>866</v>
      </c>
      <c r="BL3" s="282"/>
      <c r="BM3" s="282"/>
      <c r="BN3" s="282"/>
      <c r="BO3" s="282"/>
      <c r="BP3" s="301"/>
      <c r="BQ3" s="302" t="s">
        <v>867</v>
      </c>
      <c r="BR3" s="303"/>
      <c r="BS3" s="304"/>
    </row>
    <row r="4" s="74" customFormat="1" ht="208" customHeight="1" spans="1:72">
      <c r="A4" s="91" t="s">
        <v>191</v>
      </c>
      <c r="B4" s="92" t="s">
        <v>868</v>
      </c>
      <c r="C4" s="93" t="s">
        <v>869</v>
      </c>
      <c r="D4" s="93" t="s">
        <v>870</v>
      </c>
      <c r="E4" s="94" t="s">
        <v>209</v>
      </c>
      <c r="F4" s="95" t="s">
        <v>871</v>
      </c>
      <c r="G4" s="96" t="s">
        <v>872</v>
      </c>
      <c r="H4" s="96" t="s">
        <v>873</v>
      </c>
      <c r="I4" s="96" t="s">
        <v>874</v>
      </c>
      <c r="J4" s="96" t="s">
        <v>875</v>
      </c>
      <c r="K4" s="96" t="s">
        <v>876</v>
      </c>
      <c r="L4" s="96" t="s">
        <v>855</v>
      </c>
      <c r="M4" s="96" t="s">
        <v>877</v>
      </c>
      <c r="N4" s="169" t="s">
        <v>878</v>
      </c>
      <c r="O4" s="170" t="s">
        <v>879</v>
      </c>
      <c r="P4" s="171" t="s">
        <v>880</v>
      </c>
      <c r="Q4" s="193" t="s">
        <v>881</v>
      </c>
      <c r="R4" s="194" t="s">
        <v>882</v>
      </c>
      <c r="S4" s="194" t="s">
        <v>883</v>
      </c>
      <c r="T4" s="194" t="s">
        <v>884</v>
      </c>
      <c r="U4" s="194" t="s">
        <v>885</v>
      </c>
      <c r="V4" s="194" t="s">
        <v>886</v>
      </c>
      <c r="W4" s="194" t="s">
        <v>887</v>
      </c>
      <c r="X4" s="194" t="s">
        <v>888</v>
      </c>
      <c r="Y4" s="194" t="s">
        <v>889</v>
      </c>
      <c r="Z4" s="194" t="s">
        <v>890</v>
      </c>
      <c r="AA4" s="194" t="s">
        <v>891</v>
      </c>
      <c r="AB4" s="194" t="s">
        <v>892</v>
      </c>
      <c r="AC4" s="194" t="s">
        <v>893</v>
      </c>
      <c r="AD4" s="212" t="s">
        <v>894</v>
      </c>
      <c r="AE4" s="213" t="s">
        <v>895</v>
      </c>
      <c r="AF4" s="214" t="s">
        <v>896</v>
      </c>
      <c r="AG4" s="214" t="s">
        <v>897</v>
      </c>
      <c r="AH4" s="214" t="s">
        <v>898</v>
      </c>
      <c r="AI4" s="214" t="s">
        <v>899</v>
      </c>
      <c r="AJ4" s="194" t="s">
        <v>900</v>
      </c>
      <c r="AK4" s="194" t="s">
        <v>901</v>
      </c>
      <c r="AL4" s="212" t="s">
        <v>902</v>
      </c>
      <c r="AM4" s="231" t="s">
        <v>903</v>
      </c>
      <c r="AN4" s="231" t="s">
        <v>904</v>
      </c>
      <c r="AO4" s="253" t="s">
        <v>905</v>
      </c>
      <c r="AP4" s="254" t="s">
        <v>906</v>
      </c>
      <c r="AQ4" s="171" t="s">
        <v>907</v>
      </c>
      <c r="AR4" s="255" t="s">
        <v>908</v>
      </c>
      <c r="AS4" s="252" t="s">
        <v>909</v>
      </c>
      <c r="AT4" s="252" t="s">
        <v>910</v>
      </c>
      <c r="AU4" s="252" t="s">
        <v>911</v>
      </c>
      <c r="AV4" s="252" t="s">
        <v>912</v>
      </c>
      <c r="AW4" s="252" t="s">
        <v>913</v>
      </c>
      <c r="AX4" s="252" t="s">
        <v>914</v>
      </c>
      <c r="AY4" s="252" t="s">
        <v>915</v>
      </c>
      <c r="AZ4" s="252" t="s">
        <v>916</v>
      </c>
      <c r="BA4" s="252" t="s">
        <v>917</v>
      </c>
      <c r="BB4" s="252" t="s">
        <v>918</v>
      </c>
      <c r="BC4" s="252" t="s">
        <v>919</v>
      </c>
      <c r="BD4" s="273" t="s">
        <v>920</v>
      </c>
      <c r="BE4" s="273" t="s">
        <v>921</v>
      </c>
      <c r="BF4" s="273" t="s">
        <v>922</v>
      </c>
      <c r="BG4" s="283" t="s">
        <v>923</v>
      </c>
      <c r="BH4" s="283" t="s">
        <v>924</v>
      </c>
      <c r="BI4" s="283" t="s">
        <v>925</v>
      </c>
      <c r="BJ4" s="273" t="s">
        <v>926</v>
      </c>
      <c r="BK4" s="284" t="s">
        <v>927</v>
      </c>
      <c r="BL4" s="285" t="s">
        <v>928</v>
      </c>
      <c r="BM4" s="285" t="s">
        <v>929</v>
      </c>
      <c r="BN4" s="285" t="s">
        <v>930</v>
      </c>
      <c r="BO4" s="285" t="s">
        <v>931</v>
      </c>
      <c r="BP4" s="285" t="s">
        <v>932</v>
      </c>
      <c r="BQ4" s="305" t="s">
        <v>933</v>
      </c>
      <c r="BR4" s="306" t="s">
        <v>934</v>
      </c>
      <c r="BS4" s="252" t="s">
        <v>935</v>
      </c>
      <c r="BT4" s="91" t="s">
        <v>191</v>
      </c>
    </row>
    <row r="5" spans="1:72">
      <c r="A5" s="97">
        <v>1</v>
      </c>
      <c r="B5" s="98" t="str" cm="1">
        <f t="array" ref="B5">INDEX(Table_Household_Alloc[Owner],MATCH(1,(Table_Household_Alloc[Lot]=A5)*(Table_Household_Alloc[cluster]=$B$1),0))</f>
        <v>Mead Family trust</v>
      </c>
      <c r="C5" s="99" cm="1">
        <f t="array" ref="C5">INDEX(Reading_import[Meter'#],MATCH(1,(Table_Household_Alloc[Lot]=A5)*(Table_Household_Alloc[cluster]=$B$1),0))</f>
        <v>50002845</v>
      </c>
      <c r="D5" s="100" cm="1">
        <f t="array" ref="D5">INDEX(Table_Household_Alloc[UE % over Cluster],MATCH(1,(Table_Household_Alloc[Lot]=A5)*(Table_Household_Alloc[cluster]=$B$1),0))</f>
        <v>0.036</v>
      </c>
      <c r="E5" s="101" t="str" cm="1">
        <f t="array" ref="E5">INDEX(Table_Household_Alloc[Stage of Dev.],MATCH(1,(Table_Household_Alloc[Lot]=A5)*(Table_Household_Alloc[cluster]=$B$1),0))</f>
        <v>UC</v>
      </c>
      <c r="F5" s="102" cm="1">
        <f t="array" ref="F5">INDEX(Amanda_energy[Daily_Supply_incl_GST],MATCH(1,(Amanda_energy[Cluster]=$B$1)*(Amanda_energy[Month]=$F$2),0))/MAX($A:$A)</f>
        <v>8.11904761904762</v>
      </c>
      <c r="G5" s="103" cm="1">
        <f t="array" ref="G5">INDEX(Amanda_energy[Daily_Supply_incl_GST],MATCH(1,(Amanda_energy[Cluster]=$B$1)*(Amanda_energy[Month]=$G$2),0))/MAX($A:$A)</f>
        <v>7.33333333333333</v>
      </c>
      <c r="H5" s="103" t="e" cm="1">
        <f t="array" ref="H5">INDEX(Amanda_energy[Daily_Supply_incl_GST],MATCH(1,(Amanda_energy[Cluster]=$B$1)*(Amanda_energy[Month]=$H$2),0))/MAX($A:$A)</f>
        <v>#N/A</v>
      </c>
      <c r="I5" s="103" t="e">
        <f t="shared" ref="I5:I25" si="1">$J$40/MAX($A:$A)</f>
        <v>#N/A</v>
      </c>
      <c r="J5" s="172">
        <f>'Tariff Rates'!$B$8*$J$3</f>
        <v>13.5616438356164</v>
      </c>
      <c r="K5" s="172">
        <f>'Tariff Rates'!$C$8*Table1[[#This Row],[Percentage of Unit Entitlement (%)]]*'Energy billing Mastersheet'!$K$3</f>
        <v>7.61621917808219</v>
      </c>
      <c r="L5" s="172">
        <f>$L$3*'Tariff Rates'!$D$8*IF(Table1[[#This Row],[Stage of Dev.]]="V",0,1)</f>
        <v>19.8</v>
      </c>
      <c r="M5" s="173">
        <v>1.1</v>
      </c>
      <c r="N5" s="174" t="e">
        <f t="shared" ref="N5:N25" si="2">SUM(F5:M5)</f>
        <v>#N/A</v>
      </c>
      <c r="O5" s="175" cm="1">
        <f t="array" ref="O5">INDEX(Reading_import[1/1/2025],MATCH(1,(Reading_import[Lot]=A5)*(Reading_import[cluster]=$B$1),0))</f>
        <v>5</v>
      </c>
      <c r="P5" s="176" cm="1">
        <f t="array" ref="P5">INDEX(Reading_import[1/3/2025],MATCH(1,(Reading_import[Lot]=A5)*(Reading_import[cluster]=$B$1),0))</f>
        <v>12</v>
      </c>
      <c r="Q5" s="195">
        <f>Table1[[#This Row],[Last day of reporting period: import]]-Table1[[#This Row],[1st day of reporting period: import]]</f>
        <v>7</v>
      </c>
      <c r="R5" s="196">
        <f t="shared" ref="R5:R20" si="3">Q5/$N$3</f>
        <v>0.0777777777777778</v>
      </c>
      <c r="S5" s="197">
        <f t="shared" ref="S5:S25" si="4">Q5/$Q$32</f>
        <v>0.00128676470588235</v>
      </c>
      <c r="T5" s="198">
        <f>IF(Table1[[#This Row],[Stage of Dev.]]="V",0,233*Table1[[#This Row],[Percentage of Unit Entitlement (%)]])</f>
        <v>8.388</v>
      </c>
      <c r="U5" s="199">
        <f t="shared" ref="U5:U20" si="5">IF(T5&gt;R5,R5,T5)</f>
        <v>0.0777777777777778</v>
      </c>
      <c r="V5" s="199">
        <f>Table1[[#This Row],[Daily Battery allowance based on UE% (kWh)]]-Table1[[#This Row],[Applicable Battery Allowance Daily Consumption (kWh)]]</f>
        <v>8.31022222222222</v>
      </c>
      <c r="W5" s="200">
        <f>Table1[[#This Row],[Unused Daily Allowance (kWh)]]/$V$32</f>
        <v>0.0588957441698395</v>
      </c>
      <c r="X5" s="199">
        <f>IF(Table1[[#This Row],[Applicable Battery Allowance Daily Consumption (kWh)]]&gt;Table1[[#This Row],[Total Daily Average Consumptio for Billing Period (kWh)]],Table1[[#This Row],[Total Consumption Import  (kWh)]],U5*$N$3)</f>
        <v>7</v>
      </c>
      <c r="Y5" s="215">
        <f>IF(Table1[[#This Row],[Applicable Battery Allowance Daily Consumption (kWh)]]&gt;0,ABS(Q5-X5),0)</f>
        <v>0</v>
      </c>
      <c r="Z5" s="216">
        <f>IFERROR(Table1[[#This Row],[Energy Exceeding Battery Allowance (kWh)]]/$Y$32,0)</f>
        <v>0</v>
      </c>
      <c r="AA5" s="217" t="e">
        <f t="shared" ref="AA5:AA25" si="6">IF($Y$32-$E$40&gt;0,$Y$32-$E$40,0)</f>
        <v>#N/A</v>
      </c>
      <c r="AB5" s="218">
        <f>IFERROR(Table1[[#This Row],[Total Cluster Energy Balance for P2P Trading (kWh)]]*Table1[[#This Row],[Energy Exceeding Battery Allowance %]],0)</f>
        <v>0</v>
      </c>
      <c r="AC5" s="219">
        <f>Table1[[#This Row],[P2P Import Consumption within Battery Allowance(kWh)]]+Table1[[#This Row],[P2P Import Consumption over Battery Allowance based on Energy Exceeding Allowance % (kWh)]]</f>
        <v>7</v>
      </c>
      <c r="AD5" s="219">
        <f>Table1[[#This Row],[Total Consumption Import  (kWh)]]-Table1[[#This Row],[Total P2P import (kWh)]]</f>
        <v>0</v>
      </c>
      <c r="AE5" s="220">
        <f>IFERROR(Table1[[#This Row],[Total P2P import (kWh)]]/$AC$32,0)</f>
        <v>0.00128676470588235</v>
      </c>
      <c r="AF5" s="221">
        <f t="shared" ref="AF5:AF25" si="7">($Q$26-$AR$26)</f>
        <v>1474</v>
      </c>
      <c r="AG5" s="221">
        <f t="shared" ref="AG5:AG20" si="8">AF5*AE5</f>
        <v>1.89669117647059</v>
      </c>
      <c r="AH5" s="232">
        <f t="shared" ref="AH5:AH25" si="9">SUM($Q$28:$Q$30)</f>
        <v>458</v>
      </c>
      <c r="AI5" s="232">
        <f>Table1[[#This Row],[Cluster''s Total Common Services (kWh)]]*Table1[[#This Row],[Percentage of Unit Entitlement (%)]]</f>
        <v>16.488</v>
      </c>
      <c r="AJ5" s="233">
        <f>AG5*'Tariff Rates'!$B$3</f>
        <v>0.417272058823529</v>
      </c>
      <c r="AK5" s="233">
        <f>Table1[[#This Row],[Common Services based on Split per Unit Entitlement % to battery (kWh)]]*'Tariff Rates'!$B$3</f>
        <v>3.62736</v>
      </c>
      <c r="AL5" s="234">
        <f>Table1[[#This Row],[Total P2P import (kWh)]]*IF(Table1[[#This Row],[Total Lot Export (kWh)]]=0,'Tariff Rates'!$B$3,'Tariff Rates'!$L$3)</f>
        <v>1.54</v>
      </c>
      <c r="AM5" s="235">
        <f>Table1[[#This Row],[P2P Import Consumption over Battery Allowance based on Energy Exceeding Allowance % (kWh)]]*'Tariff Rates'!$J$3</f>
        <v>0</v>
      </c>
      <c r="AN5" s="236">
        <f>Table1[[#This Row],[Energy Import from Grid (kWh)]]*'Tariff Rates'!$E$3</f>
        <v>0</v>
      </c>
      <c r="AO5" s="256">
        <f>SUM(AJ5:AN5)</f>
        <v>5.58463205882353</v>
      </c>
      <c r="AP5" s="257" cm="1">
        <f t="array" ref="AP5">INDEX(Reading_export[1/1/2025],MATCH(1,(Reading_export[Lot]=A5)*(Reading_export[cluster]=$B$1),0))</f>
        <v>0</v>
      </c>
      <c r="AQ5" s="257" cm="1">
        <f t="array" ref="AQ5">INDEX(Reading_export[1/3/2025],MATCH(1,(Reading_export[Lot]=A5)*(Reading_export[cluster]=$B$1),0))</f>
        <v>0</v>
      </c>
      <c r="AR5" s="258">
        <f>Table1[[#This Row],[Last day of reporting period: export]]-Table1[[#This Row],[1st day of reporting period: export]]</f>
        <v>0</v>
      </c>
      <c r="AS5" s="259">
        <f t="shared" ref="AS5:AS25" si="10">AR5/$AR$32</f>
        <v>0</v>
      </c>
      <c r="AT5" s="260">
        <f>Table1[[#This Row],[Percentage of Total export for Billing Period (%)]]*$AC$32</f>
        <v>0</v>
      </c>
      <c r="AU5" s="260" t="e">
        <f t="shared" ref="AU5:AU25" si="11">IF($Y$32-$E$40&gt;0,$Y$32-$E$40,0)</f>
        <v>#N/A</v>
      </c>
      <c r="AV5" s="261">
        <f>IFERROR(Table1[[#This Row],[Total Cluster Energy Balance for P2P Trading (kWh)2]]*Table1[[#This Row],[Unused Daily Allowance %]],0)</f>
        <v>0</v>
      </c>
      <c r="AW5" s="260">
        <f t="shared" ref="AW5:AW20" si="12">AS5*AF5</f>
        <v>0</v>
      </c>
      <c r="AX5" s="261">
        <f>Table1[[#This Row],[Cluster''s Total Common Services (kWh)]]*Table1[[#This Row],[Percentage of Total export for Billing Period (%)]]</f>
        <v>0</v>
      </c>
      <c r="AY5" s="261">
        <f>$Q$27*Table1[[#This Row],[Percentage of Total export for Billing Period (%)]]</f>
        <v>0</v>
      </c>
      <c r="AZ5" s="26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5" s="261">
        <f>IFERROR(IF($AZ$32-$F$40&gt;0,$AZ$32-$F$40,0),0)</f>
        <v>0</v>
      </c>
      <c r="BB5" s="261">
        <f>Table1[[#This Row],[Energy Losses When Export to Grid (kWh)]]*Table1[[#This Row],[Percentage of Total export for Billing Period (%)]]</f>
        <v>0</v>
      </c>
      <c r="BC5" s="261">
        <f>Table1[[#This Row],[Therotical Energy Export to Grid (kWh)]]-Table1[[#This Row],[Energy Losses When Export to Grid based up % total export (kWh)]]</f>
        <v>0</v>
      </c>
      <c r="BD5" s="274">
        <f>AW5*'Tariff Rates'!$C$3</f>
        <v>0</v>
      </c>
      <c r="BE5" s="274">
        <f>Table1[[#This Row],[Common Service based upon % total export to battery (kWh)]]*'Tariff Rates'!$C$3</f>
        <v>0</v>
      </c>
      <c r="BF5" s="274">
        <f>Table1[[#This Row],[EV Charger based upon % total export to battery (kWh)]]*'Tariff Rates'!$C$3</f>
        <v>0</v>
      </c>
      <c r="BG5" s="286">
        <f>AT5*'Tariff Rates'!$C$3</f>
        <v>0</v>
      </c>
      <c r="BH5" s="286">
        <f>Table1[[#This Row],[Borrowed Allowance Based on Unused Daily Allowance % (kWh)]]*'Tariff Rates'!$K$3</f>
        <v>0</v>
      </c>
      <c r="BI5" s="286">
        <f>BC5*'Tariff Rates'!$F$3</f>
        <v>0</v>
      </c>
      <c r="BJ5" s="286">
        <f>SUM(BD5:BI5)</f>
        <v>0</v>
      </c>
      <c r="BK5" s="287">
        <f>$D$45*Table1[[#This Row],[Percentage of Unit Entitlement (%)]]</f>
        <v>0</v>
      </c>
      <c r="BL5" s="288">
        <f>BK5*'Tariff Rates'!$H$3</f>
        <v>0</v>
      </c>
      <c r="BM5" s="288">
        <f>($Q$27)*Table1[[#This Row],[Percentage of Unit Entitlement (%)]]*'Tariff Rates'!$B$3</f>
        <v>12.80664</v>
      </c>
      <c r="BN5" s="288">
        <f>SUM(BM5,BL5)</f>
        <v>12.80664</v>
      </c>
      <c r="BO5" s="288">
        <f>BK5</f>
        <v>0</v>
      </c>
      <c r="BP5" s="307">
        <f>BO5+BN5</f>
        <v>12.80664</v>
      </c>
      <c r="BQ5" s="308" t="e">
        <f t="shared" ref="BQ5:BQ25" si="13">AO5+BJ5+N5+BP5</f>
        <v>#N/A</v>
      </c>
      <c r="BR5" s="309"/>
      <c r="BS5" s="310"/>
      <c r="BT5" s="311">
        <v>1</v>
      </c>
    </row>
    <row r="6" spans="1:72">
      <c r="A6" s="104">
        <v>2</v>
      </c>
      <c r="B6" s="98" t="str" cm="1">
        <f t="array" ref="B6">INDEX(Table_Household_Alloc[Owner],MATCH(1,(Table_Household_Alloc[Lot]=A6)*(Table_Household_Alloc[cluster]=$B$1),0))</f>
        <v>Margareta Roeck</v>
      </c>
      <c r="C6" s="99" cm="1">
        <f t="array" ref="C6">INDEX(Reading_import[Meter'#],MATCH(1,(Table_Household_Alloc[Lot]=A6)*(Table_Household_Alloc[cluster]=$B$1),0))</f>
        <v>50002862</v>
      </c>
      <c r="D6" s="100" cm="1">
        <f t="array" ref="D6">INDEX(Table_Household_Alloc[UE % over Cluster],MATCH(1,(Table_Household_Alloc[Lot]=A6)*(Table_Household_Alloc[cluster]=$B$1),0))</f>
        <v>0.036</v>
      </c>
      <c r="E6" s="101" t="str" cm="1">
        <f t="array" ref="E6">INDEX(Table_Household_Alloc[Stage of Dev.],MATCH(1,(Table_Household_Alloc[Lot]=A6)*(Table_Household_Alloc[cluster]=$B$1),0))</f>
        <v>UC</v>
      </c>
      <c r="F6" s="102" cm="1">
        <f t="array" ref="F6">INDEX(Amanda_energy[Daily_Supply_incl_GST],MATCH(1,(Amanda_energy[Cluster]=$B$1)*(Amanda_energy[Month]=$F$2),0))/MAX($A:$A)</f>
        <v>8.11904761904762</v>
      </c>
      <c r="G6" s="103" cm="1">
        <f t="array" ref="G6">INDEX(Amanda_energy[Daily_Supply_incl_GST],MATCH(1,(Amanda_energy[Cluster]=$B$1)*(Amanda_energy[Month]=$G$2),0))/MAX($A:$A)</f>
        <v>7.33333333333333</v>
      </c>
      <c r="H6" s="103" t="e" cm="1">
        <f t="array" ref="H6">INDEX(Amanda_energy[Daily_Supply_incl_GST],MATCH(1,(Amanda_energy[Cluster]=$B$1)*(Amanda_energy[Month]=$H$2),0))/MAX($A:$A)</f>
        <v>#N/A</v>
      </c>
      <c r="I6" s="103" t="e">
        <f t="shared" si="1"/>
        <v>#N/A</v>
      </c>
      <c r="J6" s="172">
        <f>'Tariff Rates'!$B$8*$J$3</f>
        <v>13.5616438356164</v>
      </c>
      <c r="K6" s="172">
        <f>'Tariff Rates'!$C$8*Table1[[#This Row],[Percentage of Unit Entitlement (%)]]*'Energy billing Mastersheet'!$K$3</f>
        <v>7.61621917808219</v>
      </c>
      <c r="L6" s="172">
        <f>$L$3*'Tariff Rates'!$D$8*IF(Table1[[#This Row],[Stage of Dev.]]="V",0,1)</f>
        <v>19.8</v>
      </c>
      <c r="M6" s="173">
        <v>1.1</v>
      </c>
      <c r="N6" s="174" t="e">
        <f t="shared" si="2"/>
        <v>#N/A</v>
      </c>
      <c r="O6" s="175" cm="1">
        <f t="array" ref="O6">INDEX(Reading_import[1/1/2025],MATCH(1,(Reading_import[Lot]=A6)*(Reading_import[cluster]=$B$1),0))</f>
        <v>252</v>
      </c>
      <c r="P6" s="176" cm="1">
        <f t="array" ref="P6">INDEX(Reading_import[1/3/2025],MATCH(1,(Reading_import[Lot]=A6)*(Reading_import[cluster]=$B$1),0))</f>
        <v>302</v>
      </c>
      <c r="Q6" s="195">
        <f>Table1[[#This Row],[Last day of reporting period: import]]-Table1[[#This Row],[1st day of reporting period: import]]</f>
        <v>50</v>
      </c>
      <c r="R6" s="196">
        <f t="shared" si="3"/>
        <v>0.555555555555556</v>
      </c>
      <c r="S6" s="197">
        <f t="shared" si="4"/>
        <v>0.00919117647058824</v>
      </c>
      <c r="T6" s="198">
        <f>IF(Table1[[#This Row],[Stage of Dev.]]="V",0,233*Table1[[#This Row],[Percentage of Unit Entitlement (%)]])</f>
        <v>8.388</v>
      </c>
      <c r="U6" s="199">
        <f t="shared" si="5"/>
        <v>0.555555555555556</v>
      </c>
      <c r="V6" s="199">
        <f>Table1[[#This Row],[Daily Battery allowance based on UE% (kWh)]]-Table1[[#This Row],[Applicable Battery Allowance Daily Consumption (kWh)]]</f>
        <v>7.83244444444444</v>
      </c>
      <c r="W6" s="200">
        <f>Table1[[#This Row],[Unused Daily Allowance (kWh)]]/$V$32</f>
        <v>0.0555096641087325</v>
      </c>
      <c r="X6" s="199">
        <f>IF(Table1[[#This Row],[Applicable Battery Allowance Daily Consumption (kWh)]]&gt;Table1[[#This Row],[Total Daily Average Consumptio for Billing Period (kWh)]],Table1[[#This Row],[Total Consumption Import  (kWh)]],U6*$N$3)</f>
        <v>50</v>
      </c>
      <c r="Y6" s="215">
        <f>IF(Table1[[#This Row],[Applicable Battery Allowance Daily Consumption (kWh)]]&gt;0,ABS(Q6-X6),0)</f>
        <v>0</v>
      </c>
      <c r="Z6" s="216">
        <f>IFERROR(Table1[[#This Row],[Energy Exceeding Battery Allowance (kWh)]]/$Y$32,0)</f>
        <v>0</v>
      </c>
      <c r="AA6" s="217" t="e">
        <f t="shared" si="6"/>
        <v>#N/A</v>
      </c>
      <c r="AB6" s="218">
        <f>IFERROR(Table1[[#This Row],[Total Cluster Energy Balance for P2P Trading (kWh)]]*Table1[[#This Row],[Energy Exceeding Battery Allowance %]],0)</f>
        <v>0</v>
      </c>
      <c r="AC6" s="219">
        <f>Table1[[#This Row],[P2P Import Consumption within Battery Allowance(kWh)]]+Table1[[#This Row],[P2P Import Consumption over Battery Allowance based on Energy Exceeding Allowance % (kWh)]]</f>
        <v>50</v>
      </c>
      <c r="AD6" s="219">
        <f>Table1[[#This Row],[Total Consumption Import  (kWh)]]-Table1[[#This Row],[Total P2P import (kWh)]]</f>
        <v>0</v>
      </c>
      <c r="AE6" s="220">
        <f>IFERROR(Table1[[#This Row],[Total P2P import (kWh)]]/$AC$32,0)</f>
        <v>0.00919117647058824</v>
      </c>
      <c r="AF6" s="221">
        <f t="shared" si="7"/>
        <v>1474</v>
      </c>
      <c r="AG6" s="221">
        <f t="shared" si="8"/>
        <v>13.5477941176471</v>
      </c>
      <c r="AH6" s="232">
        <f t="shared" si="9"/>
        <v>458</v>
      </c>
      <c r="AI6" s="232">
        <f>Table1[[#This Row],[Cluster''s Total Common Services (kWh)]]*Table1[[#This Row],[Percentage of Unit Entitlement (%)]]</f>
        <v>16.488</v>
      </c>
      <c r="AJ6" s="233">
        <f>AG6*'Tariff Rates'!$B$3</f>
        <v>2.98051470588235</v>
      </c>
      <c r="AK6" s="233">
        <f>Table1[[#This Row],[Common Services based on Split per Unit Entitlement % to battery (kWh)]]*'Tariff Rates'!$B$3</f>
        <v>3.62736</v>
      </c>
      <c r="AL6" s="234">
        <f>Table1[[#This Row],[Total P2P import (kWh)]]*IF(Table1[[#This Row],[Total Lot Export (kWh)]]=0,'Tariff Rates'!$B$3,'Tariff Rates'!$L$3)</f>
        <v>11</v>
      </c>
      <c r="AM6" s="235">
        <f>Table1[[#This Row],[P2P Import Consumption over Battery Allowance based on Energy Exceeding Allowance % (kWh)]]*'Tariff Rates'!$J$3</f>
        <v>0</v>
      </c>
      <c r="AN6" s="236">
        <f>Table1[[#This Row],[Energy Import from Grid (kWh)]]*'Tariff Rates'!$E$3</f>
        <v>0</v>
      </c>
      <c r="AO6" s="256">
        <f t="shared" ref="AO6:AO20" si="14">SUM(AJ6:AN6)</f>
        <v>17.6078747058824</v>
      </c>
      <c r="AP6" s="257" cm="1">
        <f t="array" ref="AP6">INDEX(Reading_export[1/1/2025],MATCH(1,(Reading_export[Lot]=A6)*(Reading_export[cluster]=$B$1),0))</f>
        <v>0</v>
      </c>
      <c r="AQ6" s="257" cm="1">
        <f t="array" ref="AQ6">INDEX(Reading_export[1/3/2025],MATCH(1,(Reading_export[Lot]=A6)*(Reading_export[cluster]=$B$1),0))</f>
        <v>0</v>
      </c>
      <c r="AR6" s="258">
        <f>Table1[[#This Row],[Last day of reporting period: export]]-Table1[[#This Row],[1st day of reporting period: export]]</f>
        <v>0</v>
      </c>
      <c r="AS6" s="259">
        <f t="shared" si="10"/>
        <v>0</v>
      </c>
      <c r="AT6" s="260">
        <f>Table1[[#This Row],[Percentage of Total export for Billing Period (%)]]*$AC$32</f>
        <v>0</v>
      </c>
      <c r="AU6" s="260" t="e">
        <f t="shared" si="11"/>
        <v>#N/A</v>
      </c>
      <c r="AV6" s="261">
        <f>IFERROR(Table1[[#This Row],[Total Cluster Energy Balance for P2P Trading (kWh)2]]*Table1[[#This Row],[Unused Daily Allowance %]],0)</f>
        <v>0</v>
      </c>
      <c r="AW6" s="260">
        <f t="shared" si="12"/>
        <v>0</v>
      </c>
      <c r="AX6" s="261">
        <f>Table1[[#This Row],[Cluster''s Total Common Services (kWh)]]*Table1[[#This Row],[Percentage of Total export for Billing Period (%)]]</f>
        <v>0</v>
      </c>
      <c r="AY6" s="261">
        <f>$Q$27*Table1[[#This Row],[Percentage of Total export for Billing Period (%)]]</f>
        <v>0</v>
      </c>
      <c r="AZ6" s="26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6" s="261">
        <f t="shared" ref="BA6:BA25" si="15">IFERROR(IF($AZ$32-$F$40&gt;0,$AZ$32-$F$40,0),0)</f>
        <v>0</v>
      </c>
      <c r="BB6" s="261">
        <f>Table1[[#This Row],[Energy Losses When Export to Grid (kWh)]]*Table1[[#This Row],[Percentage of Total export for Billing Period (%)]]</f>
        <v>0</v>
      </c>
      <c r="BC6" s="261">
        <f>Table1[[#This Row],[Therotical Energy Export to Grid (kWh)]]-Table1[[#This Row],[Energy Losses When Export to Grid based up % total export (kWh)]]</f>
        <v>0</v>
      </c>
      <c r="BD6" s="274">
        <f>AW6*'Tariff Rates'!$C$3</f>
        <v>0</v>
      </c>
      <c r="BE6" s="274">
        <f>Table1[[#This Row],[Common Service based upon % total export to battery (kWh)]]*'Tariff Rates'!$C$3</f>
        <v>0</v>
      </c>
      <c r="BF6" s="274">
        <f>Table1[[#This Row],[EV Charger based upon % total export to battery (kWh)]]*'Tariff Rates'!$C$3</f>
        <v>0</v>
      </c>
      <c r="BG6" s="286">
        <f>AT6*'Tariff Rates'!$C$3</f>
        <v>0</v>
      </c>
      <c r="BH6" s="286">
        <f>Table1[[#This Row],[Borrowed Allowance Based on Unused Daily Allowance % (kWh)]]*'Tariff Rates'!$K$3</f>
        <v>0</v>
      </c>
      <c r="BI6" s="286">
        <f>BC6*'Tariff Rates'!$F$3</f>
        <v>0</v>
      </c>
      <c r="BJ6" s="286">
        <f>SUM(BD6:BI6)</f>
        <v>0</v>
      </c>
      <c r="BK6" s="287">
        <f>$D$45*Table1[[#This Row],[Percentage of Unit Entitlement (%)]]</f>
        <v>0</v>
      </c>
      <c r="BL6" s="288">
        <f>BK6*'Tariff Rates'!$H$3</f>
        <v>0</v>
      </c>
      <c r="BM6" s="288">
        <f>($Q$27)*Table1[[#This Row],[Percentage of Unit Entitlement (%)]]*'Tariff Rates'!$B$3</f>
        <v>12.80664</v>
      </c>
      <c r="BN6" s="288">
        <f t="shared" ref="BN6:BN20" si="16">SUM(BM6,BL6)</f>
        <v>12.80664</v>
      </c>
      <c r="BO6" s="288">
        <f t="shared" ref="BO6:BO20" si="17">BK6</f>
        <v>0</v>
      </c>
      <c r="BP6" s="307">
        <f t="shared" ref="BP6:BP20" si="18">BO6+BN6</f>
        <v>12.80664</v>
      </c>
      <c r="BQ6" s="308" t="e">
        <f t="shared" si="13"/>
        <v>#N/A</v>
      </c>
      <c r="BR6" s="312"/>
      <c r="BS6" s="313"/>
      <c r="BT6" s="314">
        <v>2</v>
      </c>
    </row>
    <row r="7" spans="1:72">
      <c r="A7" s="97">
        <v>3</v>
      </c>
      <c r="B7" s="98" t="str" cm="1">
        <f t="array" ref="B7">INDEX(Table_Household_Alloc[Owner],MATCH(1,(Table_Household_Alloc[Lot]=A7)*(Table_Household_Alloc[cluster]=$B$1),0))</f>
        <v>Battigielli</v>
      </c>
      <c r="C7" s="99" cm="1">
        <f t="array" ref="C7">INDEX(Reading_import[Meter'#],MATCH(1,(Table_Household_Alloc[Lot]=A7)*(Table_Household_Alloc[cluster]=$B$1),0))</f>
        <v>50002872</v>
      </c>
      <c r="D7" s="100" cm="1">
        <f t="array" ref="D7">INDEX(Table_Household_Alloc[UE % over Cluster],MATCH(1,(Table_Household_Alloc[Lot]=A7)*(Table_Household_Alloc[cluster]=$B$1),0))</f>
        <v>0.037</v>
      </c>
      <c r="E7" s="101" t="str" cm="1">
        <f t="array" ref="E7">INDEX(Table_Household_Alloc[Stage of Dev.],MATCH(1,(Table_Household_Alloc[Lot]=A7)*(Table_Household_Alloc[cluster]=$B$1),0))</f>
        <v>O</v>
      </c>
      <c r="F7" s="102" cm="1">
        <f t="array" ref="F7">INDEX(Amanda_energy[Daily_Supply_incl_GST],MATCH(1,(Amanda_energy[Cluster]=$B$1)*(Amanda_energy[Month]=$F$2),0))/MAX($A:$A)</f>
        <v>8.11904761904762</v>
      </c>
      <c r="G7" s="103" cm="1">
        <f t="array" ref="G7">INDEX(Amanda_energy[Daily_Supply_incl_GST],MATCH(1,(Amanda_energy[Cluster]=$B$1)*(Amanda_energy[Month]=$G$2),0))/MAX($A:$A)</f>
        <v>7.33333333333333</v>
      </c>
      <c r="H7" s="103" t="e" cm="1">
        <f t="array" ref="H7">INDEX(Amanda_energy[Daily_Supply_incl_GST],MATCH(1,(Amanda_energy[Cluster]=$B$1)*(Amanda_energy[Month]=$H$2),0))/MAX($A:$A)</f>
        <v>#N/A</v>
      </c>
      <c r="I7" s="103" t="e">
        <f t="shared" si="1"/>
        <v>#N/A</v>
      </c>
      <c r="J7" s="172">
        <f>'Tariff Rates'!$B$8*$J$3</f>
        <v>13.5616438356164</v>
      </c>
      <c r="K7" s="172">
        <f>'Tariff Rates'!$C$8*Table1[[#This Row],[Percentage of Unit Entitlement (%)]]*'Energy billing Mastersheet'!$K$3</f>
        <v>7.82778082191781</v>
      </c>
      <c r="L7" s="172">
        <f>$L$3*'Tariff Rates'!$D$8*IF(Table1[[#This Row],[Stage of Dev.]]="V",0,1)</f>
        <v>19.8</v>
      </c>
      <c r="M7" s="173">
        <v>1.1</v>
      </c>
      <c r="N7" s="174" t="e">
        <f t="shared" si="2"/>
        <v>#N/A</v>
      </c>
      <c r="O7" s="175" cm="1">
        <f t="array" ref="O7">INDEX(Reading_import[1/1/2025],MATCH(1,(Reading_import[Lot]=A7)*(Reading_import[cluster]=$B$1),0))</f>
        <v>8271</v>
      </c>
      <c r="P7" s="176" cm="1">
        <f t="array" ref="P7">INDEX(Reading_import[1/3/2025],MATCH(1,(Reading_import[Lot]=A7)*(Reading_import[cluster]=$B$1),0))</f>
        <v>8830</v>
      </c>
      <c r="Q7" s="195">
        <f>Table1[[#This Row],[Last day of reporting period: import]]-Table1[[#This Row],[1st day of reporting period: import]]</f>
        <v>559</v>
      </c>
      <c r="R7" s="196">
        <f t="shared" si="3"/>
        <v>6.21111111111111</v>
      </c>
      <c r="S7" s="197">
        <f t="shared" si="4"/>
        <v>0.102757352941176</v>
      </c>
      <c r="T7" s="198">
        <f>IF(Table1[[#This Row],[Stage of Dev.]]="V",0,233*Table1[[#This Row],[Percentage of Unit Entitlement (%)]])</f>
        <v>8.621</v>
      </c>
      <c r="U7" s="199">
        <f t="shared" si="5"/>
        <v>6.21111111111111</v>
      </c>
      <c r="V7" s="199">
        <f>Table1[[#This Row],[Daily Battery allowance based on UE% (kWh)]]-Table1[[#This Row],[Applicable Battery Allowance Daily Consumption (kWh)]]</f>
        <v>2.40988888888889</v>
      </c>
      <c r="W7" s="200">
        <f>Table1[[#This Row],[Unused Daily Allowance (kWh)]]/$V$32</f>
        <v>0.0170792303361275</v>
      </c>
      <c r="X7" s="199">
        <f>IF(Table1[[#This Row],[Applicable Battery Allowance Daily Consumption (kWh)]]&gt;Table1[[#This Row],[Total Daily Average Consumptio for Billing Period (kWh)]],Table1[[#This Row],[Total Consumption Import  (kWh)]],U7*$N$3)</f>
        <v>559</v>
      </c>
      <c r="Y7" s="215">
        <f>IF(Table1[[#This Row],[Applicable Battery Allowance Daily Consumption (kWh)]]&gt;0,ABS(Q7-X7),0)</f>
        <v>0</v>
      </c>
      <c r="Z7" s="216">
        <f>IFERROR(Table1[[#This Row],[Energy Exceeding Battery Allowance (kWh)]]/$Y$32,0)</f>
        <v>0</v>
      </c>
      <c r="AA7" s="217" t="e">
        <f t="shared" si="6"/>
        <v>#N/A</v>
      </c>
      <c r="AB7" s="218">
        <f>IFERROR(Table1[[#This Row],[Total Cluster Energy Balance for P2P Trading (kWh)]]*Table1[[#This Row],[Energy Exceeding Battery Allowance %]],0)</f>
        <v>0</v>
      </c>
      <c r="AC7" s="219">
        <f>Table1[[#This Row],[P2P Import Consumption within Battery Allowance(kWh)]]+Table1[[#This Row],[P2P Import Consumption over Battery Allowance based on Energy Exceeding Allowance % (kWh)]]</f>
        <v>559</v>
      </c>
      <c r="AD7" s="219">
        <f>Table1[[#This Row],[Total Consumption Import  (kWh)]]-Table1[[#This Row],[Total P2P import (kWh)]]</f>
        <v>0</v>
      </c>
      <c r="AE7" s="220">
        <f>IFERROR(Table1[[#This Row],[Total P2P import (kWh)]]/$AC$32,0)</f>
        <v>0.102757352941176</v>
      </c>
      <c r="AF7" s="221">
        <f t="shared" si="7"/>
        <v>1474</v>
      </c>
      <c r="AG7" s="221">
        <f t="shared" si="8"/>
        <v>151.464338235294</v>
      </c>
      <c r="AH7" s="232">
        <f t="shared" si="9"/>
        <v>458</v>
      </c>
      <c r="AI7" s="232">
        <f>Table1[[#This Row],[Cluster''s Total Common Services (kWh)]]*Table1[[#This Row],[Percentage of Unit Entitlement (%)]]</f>
        <v>16.946</v>
      </c>
      <c r="AJ7" s="233">
        <f>AG7*'Tariff Rates'!$B$3</f>
        <v>33.3221544117647</v>
      </c>
      <c r="AK7" s="233">
        <f>Table1[[#This Row],[Common Services based on Split per Unit Entitlement % to battery (kWh)]]*'Tariff Rates'!$B$3</f>
        <v>3.72812</v>
      </c>
      <c r="AL7" s="234">
        <f>Table1[[#This Row],[Total P2P import (kWh)]]*IF(Table1[[#This Row],[Total Lot Export (kWh)]]=0,'Tariff Rates'!$B$3,'Tariff Rates'!$L$3)</f>
        <v>122.98</v>
      </c>
      <c r="AM7" s="235">
        <f>Table1[[#This Row],[P2P Import Consumption over Battery Allowance based on Energy Exceeding Allowance % (kWh)]]*'Tariff Rates'!$J$3</f>
        <v>0</v>
      </c>
      <c r="AN7" s="236">
        <f>Table1[[#This Row],[Energy Import from Grid (kWh)]]*'Tariff Rates'!$E$3</f>
        <v>0</v>
      </c>
      <c r="AO7" s="256">
        <f t="shared" si="14"/>
        <v>160.030274411765</v>
      </c>
      <c r="AP7" s="257" cm="1">
        <f t="array" ref="AP7">INDEX(Reading_export[1/1/2025],MATCH(1,(Reading_export[Lot]=A7)*(Reading_export[cluster]=$B$1),0))</f>
        <v>0</v>
      </c>
      <c r="AQ7" s="257" cm="1">
        <f t="array" ref="AQ7">INDEX(Reading_export[1/3/2025],MATCH(1,(Reading_export[Lot]=A7)*(Reading_export[cluster]=$B$1),0))</f>
        <v>0</v>
      </c>
      <c r="AR7" s="258">
        <f>Table1[[#This Row],[Last day of reporting period: export]]-Table1[[#This Row],[1st day of reporting period: export]]</f>
        <v>0</v>
      </c>
      <c r="AS7" s="259">
        <f t="shared" si="10"/>
        <v>0</v>
      </c>
      <c r="AT7" s="260">
        <f>Table1[[#This Row],[Percentage of Total export for Billing Period (%)]]*$AC$32</f>
        <v>0</v>
      </c>
      <c r="AU7" s="260" t="e">
        <f t="shared" si="11"/>
        <v>#N/A</v>
      </c>
      <c r="AV7" s="261">
        <f>IFERROR(Table1[[#This Row],[Total Cluster Energy Balance for P2P Trading (kWh)2]]*Table1[[#This Row],[Unused Daily Allowance %]],0)</f>
        <v>0</v>
      </c>
      <c r="AW7" s="260">
        <f t="shared" si="12"/>
        <v>0</v>
      </c>
      <c r="AX7" s="261">
        <f>Table1[[#This Row],[Cluster''s Total Common Services (kWh)]]*Table1[[#This Row],[Percentage of Total export for Billing Period (%)]]</f>
        <v>0</v>
      </c>
      <c r="AY7" s="261">
        <f>$Q$27*Table1[[#This Row],[Percentage of Total export for Billing Period (%)]]</f>
        <v>0</v>
      </c>
      <c r="AZ7" s="26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7" s="261">
        <f t="shared" si="15"/>
        <v>0</v>
      </c>
      <c r="BB7" s="261">
        <f>Table1[[#This Row],[Energy Losses When Export to Grid (kWh)]]*Table1[[#This Row],[Percentage of Total export for Billing Period (%)]]</f>
        <v>0</v>
      </c>
      <c r="BC7" s="261">
        <f>Table1[[#This Row],[Therotical Energy Export to Grid (kWh)]]-Table1[[#This Row],[Energy Losses When Export to Grid based up % total export (kWh)]]</f>
        <v>0</v>
      </c>
      <c r="BD7" s="274">
        <f>AW7*'Tariff Rates'!$C$3</f>
        <v>0</v>
      </c>
      <c r="BE7" s="274">
        <f>Table1[[#This Row],[Common Service based upon % total export to battery (kWh)]]*'Tariff Rates'!$C$3</f>
        <v>0</v>
      </c>
      <c r="BF7" s="274">
        <f>Table1[[#This Row],[EV Charger based upon % total export to battery (kWh)]]*'Tariff Rates'!$C$3</f>
        <v>0</v>
      </c>
      <c r="BG7" s="286">
        <f>AT7*'Tariff Rates'!$C$3</f>
        <v>0</v>
      </c>
      <c r="BH7" s="286">
        <f>Table1[[#This Row],[Borrowed Allowance Based on Unused Daily Allowance % (kWh)]]*'Tariff Rates'!$K$3</f>
        <v>0</v>
      </c>
      <c r="BI7" s="286">
        <f>BC7*'Tariff Rates'!$F$3</f>
        <v>0</v>
      </c>
      <c r="BJ7" s="286">
        <f t="shared" ref="BJ7:BJ25" si="19">SUM(BD7:BI7)</f>
        <v>0</v>
      </c>
      <c r="BK7" s="287">
        <f>$D$45*Table1[[#This Row],[Percentage of Unit Entitlement (%)]]</f>
        <v>0</v>
      </c>
      <c r="BL7" s="288">
        <f>BK7*'Tariff Rates'!$H$3</f>
        <v>0</v>
      </c>
      <c r="BM7" s="288">
        <f>($Q$27)*Table1[[#This Row],[Percentage of Unit Entitlement (%)]]*'Tariff Rates'!$B$3</f>
        <v>13.16238</v>
      </c>
      <c r="BN7" s="288">
        <f t="shared" si="16"/>
        <v>13.16238</v>
      </c>
      <c r="BO7" s="288">
        <f t="shared" si="17"/>
        <v>0</v>
      </c>
      <c r="BP7" s="307">
        <f t="shared" si="18"/>
        <v>13.16238</v>
      </c>
      <c r="BQ7" s="308" t="e">
        <f t="shared" si="13"/>
        <v>#N/A</v>
      </c>
      <c r="BR7" s="315"/>
      <c r="BS7" s="316"/>
      <c r="BT7" s="311">
        <v>3</v>
      </c>
    </row>
    <row r="8" spans="1:72">
      <c r="A8" s="104">
        <v>4</v>
      </c>
      <c r="B8" s="98" t="str" cm="1">
        <f t="array" ref="B8">INDEX(Table_Household_Alloc[Owner],MATCH(1,(Table_Household_Alloc[Lot]=A8)*(Table_Household_Alloc[cluster]=$B$1),0))</f>
        <v>Paul Jurjevich &amp; Trish Rushton</v>
      </c>
      <c r="C8" s="99" cm="1">
        <f t="array" ref="C8">INDEX(Reading_import[Meter'#],MATCH(1,(Table_Household_Alloc[Lot]=A8)*(Table_Household_Alloc[cluster]=$B$1),0))</f>
        <v>50002869</v>
      </c>
      <c r="D8" s="100" cm="1">
        <f t="array" ref="D8">INDEX(Table_Household_Alloc[UE % over Cluster],MATCH(1,(Table_Household_Alloc[Lot]=A8)*(Table_Household_Alloc[cluster]=$B$1),0))</f>
        <v>0.038</v>
      </c>
      <c r="E8" s="101" t="str" cm="1">
        <f t="array" ref="E8">INDEX(Table_Household_Alloc[Stage of Dev.],MATCH(1,(Table_Household_Alloc[Lot]=A8)*(Table_Household_Alloc[cluster]=$B$1),0))</f>
        <v>O</v>
      </c>
      <c r="F8" s="102" cm="1">
        <f t="array" ref="F8">INDEX(Amanda_energy[Daily_Supply_incl_GST],MATCH(1,(Amanda_energy[Cluster]=$B$1)*(Amanda_energy[Month]=$F$2),0))/MAX($A:$A)</f>
        <v>8.11904761904762</v>
      </c>
      <c r="G8" s="103" cm="1">
        <f t="array" ref="G8">INDEX(Amanda_energy[Daily_Supply_incl_GST],MATCH(1,(Amanda_energy[Cluster]=$B$1)*(Amanda_energy[Month]=$G$2),0))/MAX($A:$A)</f>
        <v>7.33333333333333</v>
      </c>
      <c r="H8" s="103" t="e" cm="1">
        <f t="array" ref="H8">INDEX(Amanda_energy[Daily_Supply_incl_GST],MATCH(1,(Amanda_energy[Cluster]=$B$1)*(Amanda_energy[Month]=$H$2),0))/MAX($A:$A)</f>
        <v>#N/A</v>
      </c>
      <c r="I8" s="103" t="e">
        <f t="shared" si="1"/>
        <v>#N/A</v>
      </c>
      <c r="J8" s="172">
        <f>'Tariff Rates'!$B$8*$J$3</f>
        <v>13.5616438356164</v>
      </c>
      <c r="K8" s="172">
        <f>'Tariff Rates'!$C$8*Table1[[#This Row],[Percentage of Unit Entitlement (%)]]*'Energy billing Mastersheet'!$K$3</f>
        <v>8.03934246575342</v>
      </c>
      <c r="L8" s="172">
        <f>$L$3*'Tariff Rates'!$D$8*IF(Table1[[#This Row],[Stage of Dev.]]="V",0,1)</f>
        <v>19.8</v>
      </c>
      <c r="M8" s="173">
        <v>1.1</v>
      </c>
      <c r="N8" s="174" t="e">
        <f t="shared" si="2"/>
        <v>#N/A</v>
      </c>
      <c r="O8" s="175" cm="1">
        <f t="array" ref="O8">INDEX(Reading_import[1/1/2025],MATCH(1,(Reading_import[Lot]=A8)*(Reading_import[cluster]=$B$1),0))</f>
        <v>4542</v>
      </c>
      <c r="P8" s="176" cm="1">
        <f t="array" ref="P8">INDEX(Reading_import[1/3/2025],MATCH(1,(Reading_import[Lot]=A8)*(Reading_import[cluster]=$B$1),0))</f>
        <v>4855</v>
      </c>
      <c r="Q8" s="195">
        <f>Table1[[#This Row],[Last day of reporting period: import]]-Table1[[#This Row],[1st day of reporting period: import]]</f>
        <v>313</v>
      </c>
      <c r="R8" s="196">
        <f t="shared" si="3"/>
        <v>3.47777777777778</v>
      </c>
      <c r="S8" s="197">
        <f t="shared" si="4"/>
        <v>0.0575367647058823</v>
      </c>
      <c r="T8" s="198">
        <f>IF(Table1[[#This Row],[Stage of Dev.]]="V",0,233*Table1[[#This Row],[Percentage of Unit Entitlement (%)]])</f>
        <v>8.854</v>
      </c>
      <c r="U8" s="199">
        <f t="shared" si="5"/>
        <v>3.47777777777778</v>
      </c>
      <c r="V8" s="199">
        <f>Table1[[#This Row],[Daily Battery allowance based on UE% (kWh)]]-Table1[[#This Row],[Applicable Battery Allowance Daily Consumption (kWh)]]</f>
        <v>5.37622222222222</v>
      </c>
      <c r="W8" s="200">
        <f>Table1[[#This Row],[Unused Daily Allowance (kWh)]]/$V$32</f>
        <v>0.0381020627527256</v>
      </c>
      <c r="X8" s="199">
        <f>IF(Table1[[#This Row],[Applicable Battery Allowance Daily Consumption (kWh)]]&gt;Table1[[#This Row],[Total Daily Average Consumptio for Billing Period (kWh)]],Table1[[#This Row],[Total Consumption Import  (kWh)]],U8*$N$3)</f>
        <v>313</v>
      </c>
      <c r="Y8" s="215">
        <f>IF(Table1[[#This Row],[Applicable Battery Allowance Daily Consumption (kWh)]]&gt;0,ABS(Q8-X8),0)</f>
        <v>0</v>
      </c>
      <c r="Z8" s="216">
        <f>IFERROR(Table1[[#This Row],[Energy Exceeding Battery Allowance (kWh)]]/$Y$32,0)</f>
        <v>0</v>
      </c>
      <c r="AA8" s="217" t="e">
        <f t="shared" si="6"/>
        <v>#N/A</v>
      </c>
      <c r="AB8" s="218">
        <f>IFERROR(Table1[[#This Row],[Total Cluster Energy Balance for P2P Trading (kWh)]]*Table1[[#This Row],[Energy Exceeding Battery Allowance %]],0)</f>
        <v>0</v>
      </c>
      <c r="AC8" s="219">
        <f>Table1[[#This Row],[P2P Import Consumption within Battery Allowance(kWh)]]+Table1[[#This Row],[P2P Import Consumption over Battery Allowance based on Energy Exceeding Allowance % (kWh)]]</f>
        <v>313</v>
      </c>
      <c r="AD8" s="219">
        <f>Table1[[#This Row],[Total Consumption Import  (kWh)]]-Table1[[#This Row],[Total P2P import (kWh)]]</f>
        <v>0</v>
      </c>
      <c r="AE8" s="220">
        <f>IFERROR(Table1[[#This Row],[Total P2P import (kWh)]]/$AC$32,0)</f>
        <v>0.0575367647058823</v>
      </c>
      <c r="AF8" s="221">
        <f t="shared" si="7"/>
        <v>1474</v>
      </c>
      <c r="AG8" s="221">
        <f t="shared" si="8"/>
        <v>84.8091911764706</v>
      </c>
      <c r="AH8" s="232">
        <f t="shared" si="9"/>
        <v>458</v>
      </c>
      <c r="AI8" s="232">
        <f>Table1[[#This Row],[Cluster''s Total Common Services (kWh)]]*Table1[[#This Row],[Percentage of Unit Entitlement (%)]]</f>
        <v>17.404</v>
      </c>
      <c r="AJ8" s="233">
        <f>AG8*'Tariff Rates'!$B$3</f>
        <v>18.6580220588235</v>
      </c>
      <c r="AK8" s="233">
        <f>Table1[[#This Row],[Common Services based on Split per Unit Entitlement % to battery (kWh)]]*'Tariff Rates'!$B$3</f>
        <v>3.82888</v>
      </c>
      <c r="AL8" s="234">
        <f>Table1[[#This Row],[Total P2P import (kWh)]]*IF(Table1[[#This Row],[Total Lot Export (kWh)]]=0,'Tariff Rates'!$B$3,'Tariff Rates'!$L$3)</f>
        <v>112.68</v>
      </c>
      <c r="AM8" s="235">
        <f>Table1[[#This Row],[P2P Import Consumption over Battery Allowance based on Energy Exceeding Allowance % (kWh)]]*'Tariff Rates'!$J$3</f>
        <v>0</v>
      </c>
      <c r="AN8" s="236">
        <f>Table1[[#This Row],[Energy Import from Grid (kWh)]]*'Tariff Rates'!$E$3</f>
        <v>0</v>
      </c>
      <c r="AO8" s="256">
        <f t="shared" si="14"/>
        <v>135.166902058824</v>
      </c>
      <c r="AP8" s="257" cm="1">
        <f t="array" ref="AP8">INDEX(Reading_export[1/1/2025],MATCH(1,(Reading_export[Lot]=A8)*(Reading_export[cluster]=$B$1),0))</f>
        <v>9031</v>
      </c>
      <c r="AQ8" s="257" cm="1">
        <f t="array" ref="AQ8">INDEX(Reading_export[1/3/2025],MATCH(1,(Reading_export[Lot]=A8)*(Reading_export[cluster]=$B$1),0))</f>
        <v>10612</v>
      </c>
      <c r="AR8" s="258">
        <f>Table1[[#This Row],[Last day of reporting period: export]]-Table1[[#This Row],[1st day of reporting period: export]]</f>
        <v>1581</v>
      </c>
      <c r="AS8" s="259">
        <f t="shared" si="10"/>
        <v>0.0589683338928052</v>
      </c>
      <c r="AT8" s="260">
        <f>Table1[[#This Row],[Percentage of Total export for Billing Period (%)]]*$AC$32</f>
        <v>320.78773637686</v>
      </c>
      <c r="AU8" s="260" t="e">
        <f t="shared" si="11"/>
        <v>#N/A</v>
      </c>
      <c r="AV8" s="261">
        <f>IFERROR(Table1[[#This Row],[Total Cluster Energy Balance for P2P Trading (kWh)2]]*Table1[[#This Row],[Unused Daily Allowance %]],0)</f>
        <v>0</v>
      </c>
      <c r="AW8" s="260">
        <f t="shared" si="12"/>
        <v>86.9193241579949</v>
      </c>
      <c r="AX8" s="261">
        <f>Table1[[#This Row],[Cluster''s Total Common Services (kWh)]]*Table1[[#This Row],[Percentage of Total export for Billing Period (%)]]</f>
        <v>27.0074969229048</v>
      </c>
      <c r="AY8" s="261">
        <f>$Q$27*Table1[[#This Row],[Percentage of Total export for Billing Period (%)]]</f>
        <v>95.351795904666</v>
      </c>
      <c r="AZ8" s="26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1050.93364663757</v>
      </c>
      <c r="BA8" s="261">
        <f t="shared" si="15"/>
        <v>0</v>
      </c>
      <c r="BB8" s="261">
        <f>Table1[[#This Row],[Energy Losses When Export to Grid (kWh)]]*Table1[[#This Row],[Percentage of Total export for Billing Period (%)]]</f>
        <v>0</v>
      </c>
      <c r="BC8" s="261">
        <f>Table1[[#This Row],[Therotical Energy Export to Grid (kWh)]]-Table1[[#This Row],[Energy Losses When Export to Grid based up % total export (kWh)]]</f>
        <v>1050.93364663757</v>
      </c>
      <c r="BD8" s="274">
        <f>AW8*'Tariff Rates'!$C$3</f>
        <v>-19.1222513147589</v>
      </c>
      <c r="BE8" s="274">
        <f>Table1[[#This Row],[Common Service based upon % total export to battery (kWh)]]*'Tariff Rates'!$C$3</f>
        <v>-5.94164932303905</v>
      </c>
      <c r="BF8" s="274">
        <f>Table1[[#This Row],[EV Charger based upon % total export to battery (kWh)]]*'Tariff Rates'!$C$3</f>
        <v>-20.9773950990265</v>
      </c>
      <c r="BG8" s="286">
        <f>AT8*'Tariff Rates'!$C$3</f>
        <v>-70.5733020029092</v>
      </c>
      <c r="BH8" s="286">
        <f>Table1[[#This Row],[Borrowed Allowance Based on Unused Daily Allowance % (kWh)]]*'Tariff Rates'!$K$3</f>
        <v>0</v>
      </c>
      <c r="BI8" s="286">
        <f>BC8*'Tariff Rates'!$F$3</f>
        <v>-40.4609453955466</v>
      </c>
      <c r="BJ8" s="286">
        <f t="shared" si="19"/>
        <v>-157.07554313528</v>
      </c>
      <c r="BK8" s="287">
        <f>$D$45*Table1[[#This Row],[Percentage of Unit Entitlement (%)]]</f>
        <v>0</v>
      </c>
      <c r="BL8" s="288">
        <f>BK8*'Tariff Rates'!$H$3</f>
        <v>0</v>
      </c>
      <c r="BM8" s="288">
        <f>($Q$27)*Table1[[#This Row],[Percentage of Unit Entitlement (%)]]*'Tariff Rates'!$B$3</f>
        <v>13.51812</v>
      </c>
      <c r="BN8" s="288">
        <f t="shared" si="16"/>
        <v>13.51812</v>
      </c>
      <c r="BO8" s="288">
        <f t="shared" si="17"/>
        <v>0</v>
      </c>
      <c r="BP8" s="307">
        <f t="shared" si="18"/>
        <v>13.51812</v>
      </c>
      <c r="BQ8" s="308" t="e">
        <f t="shared" si="13"/>
        <v>#N/A</v>
      </c>
      <c r="BR8" s="312"/>
      <c r="BS8" s="313"/>
      <c r="BT8" s="314">
        <v>4</v>
      </c>
    </row>
    <row r="9" spans="1:72">
      <c r="A9" s="97">
        <v>5</v>
      </c>
      <c r="B9" s="98" t="str" cm="1">
        <f t="array" ref="B9">INDEX(Table_Household_Alloc[Owner],MATCH(1,(Table_Household_Alloc[Lot]=A9)*(Table_Household_Alloc[cluster]=$B$1),0))</f>
        <v>Dwyer</v>
      </c>
      <c r="C9" s="99" cm="1">
        <f t="array" ref="C9">INDEX(Reading_import[Meter'#],MATCH(1,(Table_Household_Alloc[Lot]=A9)*(Table_Household_Alloc[cluster]=$B$1),0))</f>
        <v>50002879</v>
      </c>
      <c r="D9" s="100" cm="1">
        <f t="array" ref="D9">INDEX(Table_Household_Alloc[UE % over Cluster],MATCH(1,(Table_Household_Alloc[Lot]=A9)*(Table_Household_Alloc[cluster]=$B$1),0))</f>
        <v>0.039</v>
      </c>
      <c r="E9" s="101" t="str" cm="1">
        <f t="array" ref="E9">INDEX(Table_Household_Alloc[Stage of Dev.],MATCH(1,(Table_Household_Alloc[Lot]=A9)*(Table_Household_Alloc[cluster]=$B$1),0))</f>
        <v>O</v>
      </c>
      <c r="F9" s="102" cm="1">
        <f t="array" ref="F9">INDEX(Amanda_energy[Daily_Supply_incl_GST],MATCH(1,(Amanda_energy[Cluster]=$B$1)*(Amanda_energy[Month]=$F$2),0))/MAX($A:$A)</f>
        <v>8.11904761904762</v>
      </c>
      <c r="G9" s="103" cm="1">
        <f t="array" ref="G9">INDEX(Amanda_energy[Daily_Supply_incl_GST],MATCH(1,(Amanda_energy[Cluster]=$B$1)*(Amanda_energy[Month]=$G$2),0))/MAX($A:$A)</f>
        <v>7.33333333333333</v>
      </c>
      <c r="H9" s="103" t="e" cm="1">
        <f t="array" ref="H9">INDEX(Amanda_energy[Daily_Supply_incl_GST],MATCH(1,(Amanda_energy[Cluster]=$B$1)*(Amanda_energy[Month]=$H$2),0))/MAX($A:$A)</f>
        <v>#N/A</v>
      </c>
      <c r="I9" s="103" t="e">
        <f t="shared" si="1"/>
        <v>#N/A</v>
      </c>
      <c r="J9" s="172">
        <f>'Tariff Rates'!$B$8*$J$3</f>
        <v>13.5616438356164</v>
      </c>
      <c r="K9" s="172">
        <f>'Tariff Rates'!$C$8*Table1[[#This Row],[Percentage of Unit Entitlement (%)]]*'Energy billing Mastersheet'!$K$3</f>
        <v>8.25090410958904</v>
      </c>
      <c r="L9" s="172">
        <f>$L$3*'Tariff Rates'!$D$8*IF(Table1[[#This Row],[Stage of Dev.]]="V",0,1)</f>
        <v>19.8</v>
      </c>
      <c r="M9" s="173">
        <v>1.1</v>
      </c>
      <c r="N9" s="174" t="e">
        <f t="shared" si="2"/>
        <v>#N/A</v>
      </c>
      <c r="O9" s="175" cm="1">
        <f t="array" ref="O9">INDEX(Reading_import[1/1/2025],MATCH(1,(Reading_import[Lot]=A9)*(Reading_import[cluster]=$B$1),0))</f>
        <v>3545</v>
      </c>
      <c r="P9" s="176" cm="1">
        <f t="array" ref="P9">INDEX(Reading_import[1/3/2025],MATCH(1,(Reading_import[Lot]=A9)*(Reading_import[cluster]=$B$1),0))</f>
        <v>3673</v>
      </c>
      <c r="Q9" s="195">
        <f>Table1[[#This Row],[Last day of reporting period: import]]-Table1[[#This Row],[1st day of reporting period: import]]</f>
        <v>128</v>
      </c>
      <c r="R9" s="196">
        <f t="shared" si="3"/>
        <v>1.42222222222222</v>
      </c>
      <c r="S9" s="197">
        <f t="shared" si="4"/>
        <v>0.0235294117647059</v>
      </c>
      <c r="T9" s="198">
        <f>IF(Table1[[#This Row],[Stage of Dev.]]="V",0,233*Table1[[#This Row],[Percentage of Unit Entitlement (%)]])</f>
        <v>9.087</v>
      </c>
      <c r="U9" s="199">
        <f t="shared" si="5"/>
        <v>1.42222222222222</v>
      </c>
      <c r="V9" s="199">
        <f>Table1[[#This Row],[Daily Battery allowance based on UE% (kWh)]]-Table1[[#This Row],[Applicable Battery Allowance Daily Consumption (kWh)]]</f>
        <v>7.66477777777778</v>
      </c>
      <c r="W9" s="200">
        <f>Table1[[#This Row],[Unused Daily Allowance (kWh)]]/$V$32</f>
        <v>0.0543213862454278</v>
      </c>
      <c r="X9" s="199">
        <f>IF(Table1[[#This Row],[Applicable Battery Allowance Daily Consumption (kWh)]]&gt;Table1[[#This Row],[Total Daily Average Consumptio for Billing Period (kWh)]],Table1[[#This Row],[Total Consumption Import  (kWh)]],U9*$N$3)</f>
        <v>128</v>
      </c>
      <c r="Y9" s="215">
        <f>IF(Table1[[#This Row],[Applicable Battery Allowance Daily Consumption (kWh)]]&gt;0,ABS(Q9-X9),0)</f>
        <v>0</v>
      </c>
      <c r="Z9" s="216">
        <f>IFERROR(Table1[[#This Row],[Energy Exceeding Battery Allowance (kWh)]]/$Y$32,0)</f>
        <v>0</v>
      </c>
      <c r="AA9" s="217" t="e">
        <f t="shared" si="6"/>
        <v>#N/A</v>
      </c>
      <c r="AB9" s="218">
        <f>IFERROR(Table1[[#This Row],[Total Cluster Energy Balance for P2P Trading (kWh)]]*Table1[[#This Row],[Energy Exceeding Battery Allowance %]],0)</f>
        <v>0</v>
      </c>
      <c r="AC9" s="219">
        <f>Table1[[#This Row],[P2P Import Consumption within Battery Allowance(kWh)]]+Table1[[#This Row],[P2P Import Consumption over Battery Allowance based on Energy Exceeding Allowance % (kWh)]]</f>
        <v>128</v>
      </c>
      <c r="AD9" s="219">
        <f>Table1[[#This Row],[Total Consumption Import  (kWh)]]-Table1[[#This Row],[Total P2P import (kWh)]]</f>
        <v>0</v>
      </c>
      <c r="AE9" s="220">
        <f>IFERROR(Table1[[#This Row],[Total P2P import (kWh)]]/$AC$32,0)</f>
        <v>0.0235294117647059</v>
      </c>
      <c r="AF9" s="221">
        <f t="shared" si="7"/>
        <v>1474</v>
      </c>
      <c r="AG9" s="221">
        <f t="shared" si="8"/>
        <v>34.6823529411765</v>
      </c>
      <c r="AH9" s="232">
        <f t="shared" si="9"/>
        <v>458</v>
      </c>
      <c r="AI9" s="232">
        <f>Table1[[#This Row],[Cluster''s Total Common Services (kWh)]]*Table1[[#This Row],[Percentage of Unit Entitlement (%)]]</f>
        <v>17.862</v>
      </c>
      <c r="AJ9" s="233">
        <f>AG9*'Tariff Rates'!$B$3</f>
        <v>7.63011764705882</v>
      </c>
      <c r="AK9" s="233">
        <f>Table1[[#This Row],[Common Services based on Split per Unit Entitlement % to battery (kWh)]]*'Tariff Rates'!$B$3</f>
        <v>3.92964</v>
      </c>
      <c r="AL9" s="234">
        <f>Table1[[#This Row],[Total P2P import (kWh)]]*IF(Table1[[#This Row],[Total Lot Export (kWh)]]=0,'Tariff Rates'!$B$3,'Tariff Rates'!$L$3)</f>
        <v>46.08</v>
      </c>
      <c r="AM9" s="235">
        <f>Table1[[#This Row],[P2P Import Consumption over Battery Allowance based on Energy Exceeding Allowance % (kWh)]]*'Tariff Rates'!$J$3</f>
        <v>0</v>
      </c>
      <c r="AN9" s="236">
        <f>Table1[[#This Row],[Energy Import from Grid (kWh)]]*'Tariff Rates'!$E$3</f>
        <v>0</v>
      </c>
      <c r="AO9" s="256">
        <f t="shared" si="14"/>
        <v>57.6397576470588</v>
      </c>
      <c r="AP9" s="257" cm="1">
        <f t="array" ref="AP9">INDEX(Reading_export[1/1/2025],MATCH(1,(Reading_export[Lot]=A9)*(Reading_export[cluster]=$B$1),0))</f>
        <v>12884</v>
      </c>
      <c r="AQ9" s="257" cm="1">
        <f t="array" ref="AQ9">INDEX(Reading_export[1/3/2025],MATCH(1,(Reading_export[Lot]=A9)*(Reading_export[cluster]=$B$1),0))</f>
        <v>14647</v>
      </c>
      <c r="AR9" s="258">
        <f>Table1[[#This Row],[Last day of reporting period: export]]-Table1[[#This Row],[1st day of reporting period: export]]</f>
        <v>1763</v>
      </c>
      <c r="AS9" s="259">
        <f t="shared" si="10"/>
        <v>0.0657565924434001</v>
      </c>
      <c r="AT9" s="260">
        <f>Table1[[#This Row],[Percentage of Total export for Billing Period (%)]]*$AC$32</f>
        <v>357.715862892097</v>
      </c>
      <c r="AU9" s="260" t="e">
        <f t="shared" si="11"/>
        <v>#N/A</v>
      </c>
      <c r="AV9" s="261">
        <f>IFERROR(Table1[[#This Row],[Total Cluster Energy Balance for P2P Trading (kWh)2]]*Table1[[#This Row],[Unused Daily Allowance %]],0)</f>
        <v>0</v>
      </c>
      <c r="AW9" s="260">
        <f t="shared" si="12"/>
        <v>96.9252172615717</v>
      </c>
      <c r="AX9" s="261">
        <f>Table1[[#This Row],[Cluster''s Total Common Services (kWh)]]*Table1[[#This Row],[Percentage of Total export for Billing Period (%)]]</f>
        <v>30.1165193390772</v>
      </c>
      <c r="AY9" s="261">
        <f>$Q$27*Table1[[#This Row],[Percentage of Total export for Billing Period (%)]]</f>
        <v>106.328409980978</v>
      </c>
      <c r="AZ9" s="26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1171.91399052628</v>
      </c>
      <c r="BA9" s="261">
        <f t="shared" si="15"/>
        <v>0</v>
      </c>
      <c r="BB9" s="261">
        <f>Table1[[#This Row],[Energy Losses When Export to Grid (kWh)]]*Table1[[#This Row],[Percentage of Total export for Billing Period (%)]]</f>
        <v>0</v>
      </c>
      <c r="BC9" s="261">
        <f>Table1[[#This Row],[Therotical Energy Export to Grid (kWh)]]-Table1[[#This Row],[Energy Losses When Export to Grid based up % total export (kWh)]]</f>
        <v>1171.91399052628</v>
      </c>
      <c r="BD9" s="274">
        <f>AW9*'Tariff Rates'!$C$3</f>
        <v>-21.3235477975458</v>
      </c>
      <c r="BE9" s="274">
        <f>Table1[[#This Row],[Common Service based upon % total export to battery (kWh)]]*'Tariff Rates'!$C$3</f>
        <v>-6.62563425459699</v>
      </c>
      <c r="BF9" s="274">
        <f>Table1[[#This Row],[EV Charger based upon % total export to battery (kWh)]]*'Tariff Rates'!$C$3</f>
        <v>-23.3922501958151</v>
      </c>
      <c r="BG9" s="286">
        <f>AT9*'Tariff Rates'!$C$3</f>
        <v>-78.6974898362612</v>
      </c>
      <c r="BH9" s="286">
        <f>Table1[[#This Row],[Borrowed Allowance Based on Unused Daily Allowance % (kWh)]]*'Tariff Rates'!$K$3</f>
        <v>0</v>
      </c>
      <c r="BI9" s="286">
        <f>BC9*'Tariff Rates'!$F$3</f>
        <v>-45.1186886352616</v>
      </c>
      <c r="BJ9" s="286">
        <f t="shared" si="19"/>
        <v>-175.157610719481</v>
      </c>
      <c r="BK9" s="287">
        <f>$D$45*Table1[[#This Row],[Percentage of Unit Entitlement (%)]]</f>
        <v>0</v>
      </c>
      <c r="BL9" s="288">
        <f>BK9*'Tariff Rates'!$H$3</f>
        <v>0</v>
      </c>
      <c r="BM9" s="288">
        <f>($Q$27)*Table1[[#This Row],[Percentage of Unit Entitlement (%)]]*'Tariff Rates'!$B$3</f>
        <v>13.87386</v>
      </c>
      <c r="BN9" s="288">
        <f t="shared" si="16"/>
        <v>13.87386</v>
      </c>
      <c r="BO9" s="288">
        <f t="shared" si="17"/>
        <v>0</v>
      </c>
      <c r="BP9" s="307">
        <f t="shared" si="18"/>
        <v>13.87386</v>
      </c>
      <c r="BQ9" s="308" t="e">
        <f t="shared" si="13"/>
        <v>#N/A</v>
      </c>
      <c r="BR9" s="315"/>
      <c r="BS9" s="316"/>
      <c r="BT9" s="311">
        <v>5</v>
      </c>
    </row>
    <row r="10" spans="1:72">
      <c r="A10" s="104">
        <v>6</v>
      </c>
      <c r="B10" s="98" t="str" cm="1">
        <f t="array" ref="B10">INDEX(Table_Household_Alloc[Owner],MATCH(1,(Table_Household_Alloc[Lot]=A10)*(Table_Household_Alloc[cluster]=$B$1),0))</f>
        <v>Gillespie</v>
      </c>
      <c r="C10" s="99" cm="1">
        <f t="array" ref="C10">INDEX(Reading_import[Meter'#],MATCH(1,(Table_Household_Alloc[Lot]=A10)*(Table_Household_Alloc[cluster]=$B$1),0))</f>
        <v>50002865</v>
      </c>
      <c r="D10" s="100" cm="1">
        <f t="array" ref="D10">INDEX(Table_Household_Alloc[UE % over Cluster],MATCH(1,(Table_Household_Alloc[Lot]=A10)*(Table_Household_Alloc[cluster]=$B$1),0))</f>
        <v>0.039</v>
      </c>
      <c r="E10" s="101" t="str" cm="1">
        <f t="array" ref="E10">INDEX(Table_Household_Alloc[Stage of Dev.],MATCH(1,(Table_Household_Alloc[Lot]=A10)*(Table_Household_Alloc[cluster]=$B$1),0))</f>
        <v>O</v>
      </c>
      <c r="F10" s="102" cm="1">
        <f t="array" ref="F10">INDEX(Amanda_energy[Daily_Supply_incl_GST],MATCH(1,(Amanda_energy[Cluster]=$B$1)*(Amanda_energy[Month]=$F$2),0))/MAX($A:$A)</f>
        <v>8.11904761904762</v>
      </c>
      <c r="G10" s="103" cm="1">
        <f t="array" ref="G10">INDEX(Amanda_energy[Daily_Supply_incl_GST],MATCH(1,(Amanda_energy[Cluster]=$B$1)*(Amanda_energy[Month]=$G$2),0))/MAX($A:$A)</f>
        <v>7.33333333333333</v>
      </c>
      <c r="H10" s="103" t="e" cm="1">
        <f t="array" ref="H10">INDEX(Amanda_energy[Daily_Supply_incl_GST],MATCH(1,(Amanda_energy[Cluster]=$B$1)*(Amanda_energy[Month]=$H$2),0))/MAX($A:$A)</f>
        <v>#N/A</v>
      </c>
      <c r="I10" s="103" t="e">
        <f t="shared" si="1"/>
        <v>#N/A</v>
      </c>
      <c r="J10" s="172">
        <f>'Tariff Rates'!$B$8*$J$3</f>
        <v>13.5616438356164</v>
      </c>
      <c r="K10" s="172">
        <f>'Tariff Rates'!$C$8*Table1[[#This Row],[Percentage of Unit Entitlement (%)]]*'Energy billing Mastersheet'!$K$3</f>
        <v>8.25090410958904</v>
      </c>
      <c r="L10" s="172">
        <f>$L$3*'Tariff Rates'!$D$8*IF(Table1[[#This Row],[Stage of Dev.]]="V",0,1)</f>
        <v>19.8</v>
      </c>
      <c r="M10" s="173">
        <v>1.1</v>
      </c>
      <c r="N10" s="174" t="e">
        <f t="shared" si="2"/>
        <v>#N/A</v>
      </c>
      <c r="O10" s="175" cm="1">
        <f t="array" ref="O10">INDEX(Reading_import[1/1/2025],MATCH(1,(Reading_import[Lot]=A10)*(Reading_import[cluster]=$B$1),0))</f>
        <v>8639</v>
      </c>
      <c r="P10" s="176" cm="1">
        <f t="array" ref="P10">INDEX(Reading_import[1/3/2025],MATCH(1,(Reading_import[Lot]=A10)*(Reading_import[cluster]=$B$1),0))</f>
        <v>8918</v>
      </c>
      <c r="Q10" s="195">
        <f>Table1[[#This Row],[Last day of reporting period: import]]-Table1[[#This Row],[1st day of reporting period: import]]</f>
        <v>279</v>
      </c>
      <c r="R10" s="196">
        <f t="shared" si="3"/>
        <v>3.1</v>
      </c>
      <c r="S10" s="197">
        <f t="shared" si="4"/>
        <v>0.0512867647058824</v>
      </c>
      <c r="T10" s="198">
        <f>IF(Table1[[#This Row],[Stage of Dev.]]="V",0,233*Table1[[#This Row],[Percentage of Unit Entitlement (%)]])</f>
        <v>9.087</v>
      </c>
      <c r="U10" s="199">
        <f t="shared" si="5"/>
        <v>3.1</v>
      </c>
      <c r="V10" s="199">
        <f>Table1[[#This Row],[Daily Battery allowance based on UE% (kWh)]]-Table1[[#This Row],[Applicable Battery Allowance Daily Consumption (kWh)]]</f>
        <v>5.987</v>
      </c>
      <c r="W10" s="200">
        <f>Table1[[#This Row],[Unused Daily Allowance (kWh)]]/$V$32</f>
        <v>0.0424307330075872</v>
      </c>
      <c r="X10" s="199">
        <f>IF(Table1[[#This Row],[Applicable Battery Allowance Daily Consumption (kWh)]]&gt;Table1[[#This Row],[Total Daily Average Consumptio for Billing Period (kWh)]],Table1[[#This Row],[Total Consumption Import  (kWh)]],U10*$N$3)</f>
        <v>279</v>
      </c>
      <c r="Y10" s="215">
        <f>IF(Table1[[#This Row],[Applicable Battery Allowance Daily Consumption (kWh)]]&gt;0,ABS(Q10-X10),0)</f>
        <v>0</v>
      </c>
      <c r="Z10" s="216">
        <f>IFERROR(Table1[[#This Row],[Energy Exceeding Battery Allowance (kWh)]]/$Y$32,0)</f>
        <v>0</v>
      </c>
      <c r="AA10" s="217" t="e">
        <f t="shared" si="6"/>
        <v>#N/A</v>
      </c>
      <c r="AB10" s="218">
        <f>IFERROR(Table1[[#This Row],[Total Cluster Energy Balance for P2P Trading (kWh)]]*Table1[[#This Row],[Energy Exceeding Battery Allowance %]],0)</f>
        <v>0</v>
      </c>
      <c r="AC10" s="219">
        <f>Table1[[#This Row],[P2P Import Consumption within Battery Allowance(kWh)]]+Table1[[#This Row],[P2P Import Consumption over Battery Allowance based on Energy Exceeding Allowance % (kWh)]]</f>
        <v>279</v>
      </c>
      <c r="AD10" s="219">
        <f>Table1[[#This Row],[Total Consumption Import  (kWh)]]-Table1[[#This Row],[Total P2P import (kWh)]]</f>
        <v>0</v>
      </c>
      <c r="AE10" s="220">
        <f>IFERROR(Table1[[#This Row],[Total P2P import (kWh)]]/$AC$32,0)</f>
        <v>0.0512867647058824</v>
      </c>
      <c r="AF10" s="221">
        <f t="shared" si="7"/>
        <v>1474</v>
      </c>
      <c r="AG10" s="221">
        <f t="shared" si="8"/>
        <v>75.5966911764706</v>
      </c>
      <c r="AH10" s="232">
        <f t="shared" si="9"/>
        <v>458</v>
      </c>
      <c r="AI10" s="232">
        <f>Table1[[#This Row],[Cluster''s Total Common Services (kWh)]]*Table1[[#This Row],[Percentage of Unit Entitlement (%)]]</f>
        <v>17.862</v>
      </c>
      <c r="AJ10" s="233">
        <f>AG10*'Tariff Rates'!$B$3</f>
        <v>16.6312720588235</v>
      </c>
      <c r="AK10" s="233">
        <f>Table1[[#This Row],[Common Services based on Split per Unit Entitlement % to battery (kWh)]]*'Tariff Rates'!$B$3</f>
        <v>3.92964</v>
      </c>
      <c r="AL10" s="234">
        <f>Table1[[#This Row],[Total P2P import (kWh)]]*IF(Table1[[#This Row],[Total Lot Export (kWh)]]=0,'Tariff Rates'!$B$3,'Tariff Rates'!$L$3)</f>
        <v>100.44</v>
      </c>
      <c r="AM10" s="235">
        <f>Table1[[#This Row],[P2P Import Consumption over Battery Allowance based on Energy Exceeding Allowance % (kWh)]]*'Tariff Rates'!$J$3</f>
        <v>0</v>
      </c>
      <c r="AN10" s="236">
        <f>Table1[[#This Row],[Energy Import from Grid (kWh)]]*'Tariff Rates'!$E$3</f>
        <v>0</v>
      </c>
      <c r="AO10" s="256">
        <f t="shared" si="14"/>
        <v>121.000912058824</v>
      </c>
      <c r="AP10" s="257" cm="1">
        <f t="array" ref="AP10">INDEX(Reading_export[1/1/2025],MATCH(1,(Reading_export[Lot]=A10)*(Reading_export[cluster]=$B$1),0))</f>
        <v>18121</v>
      </c>
      <c r="AQ10" s="257" cm="1">
        <f t="array" ref="AQ10">INDEX(Reading_export[1/3/2025],MATCH(1,(Reading_export[Lot]=A10)*(Reading_export[cluster]=$B$1),0))</f>
        <v>20965</v>
      </c>
      <c r="AR10" s="258">
        <f>Table1[[#This Row],[Last day of reporting period: export]]-Table1[[#This Row],[1st day of reporting period: export]]</f>
        <v>2844</v>
      </c>
      <c r="AS10" s="259">
        <f t="shared" si="10"/>
        <v>0.106075864384021</v>
      </c>
      <c r="AT10" s="260">
        <f>Table1[[#This Row],[Percentage of Total export for Billing Period (%)]]*$AC$32</f>
        <v>577.052702249077</v>
      </c>
      <c r="AU10" s="260" t="e">
        <f t="shared" si="11"/>
        <v>#N/A</v>
      </c>
      <c r="AV10" s="261">
        <f>IFERROR(Table1[[#This Row],[Total Cluster Energy Balance for P2P Trading (kWh)2]]*Table1[[#This Row],[Unused Daily Allowance %]],0)</f>
        <v>0</v>
      </c>
      <c r="AW10" s="260">
        <f t="shared" si="12"/>
        <v>156.355824102048</v>
      </c>
      <c r="AX10" s="261">
        <f>Table1[[#This Row],[Cluster''s Total Common Services (kWh)]]*Table1[[#This Row],[Percentage of Total export for Billing Period (%)]]</f>
        <v>48.5827458878818</v>
      </c>
      <c r="AY10" s="261">
        <f>$Q$27*Table1[[#This Row],[Percentage of Total export for Billing Period (%)]]</f>
        <v>171.524672708963</v>
      </c>
      <c r="AZ10" s="26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1890.48405505203</v>
      </c>
      <c r="BA10" s="261">
        <f t="shared" si="15"/>
        <v>0</v>
      </c>
      <c r="BB10" s="261">
        <f>Table1[[#This Row],[Energy Losses When Export to Grid (kWh)]]*Table1[[#This Row],[Percentage of Total export for Billing Period (%)]]</f>
        <v>0</v>
      </c>
      <c r="BC10" s="261">
        <f>Table1[[#This Row],[Therotical Energy Export to Grid (kWh)]]-Table1[[#This Row],[Energy Losses When Export to Grid based up % total export (kWh)]]</f>
        <v>1890.48405505203</v>
      </c>
      <c r="BD10" s="274">
        <f>AW10*'Tariff Rates'!$C$3</f>
        <v>-34.3982813024505</v>
      </c>
      <c r="BE10" s="274">
        <f>Table1[[#This Row],[Common Service based upon % total export to battery (kWh)]]*'Tariff Rates'!$C$3</f>
        <v>-10.688204095334</v>
      </c>
      <c r="BF10" s="274">
        <f>Table1[[#This Row],[EV Charger based upon % total export to battery (kWh)]]*'Tariff Rates'!$C$3</f>
        <v>-37.7354279959718</v>
      </c>
      <c r="BG10" s="286">
        <f>AT10*'Tariff Rates'!$C$3</f>
        <v>-126.951594494797</v>
      </c>
      <c r="BH10" s="286">
        <f>Table1[[#This Row],[Borrowed Allowance Based on Unused Daily Allowance % (kWh)]]*'Tariff Rates'!$K$3</f>
        <v>0</v>
      </c>
      <c r="BI10" s="286">
        <f>BC10*'Tariff Rates'!$F$3</f>
        <v>-72.7836361195032</v>
      </c>
      <c r="BJ10" s="286">
        <f t="shared" si="19"/>
        <v>-282.557144008056</v>
      </c>
      <c r="BK10" s="287">
        <f>$D$45*Table1[[#This Row],[Percentage of Unit Entitlement (%)]]</f>
        <v>0</v>
      </c>
      <c r="BL10" s="288">
        <f>BK10*'Tariff Rates'!$H$3</f>
        <v>0</v>
      </c>
      <c r="BM10" s="288">
        <f>($Q$27)*Table1[[#This Row],[Percentage of Unit Entitlement (%)]]*'Tariff Rates'!$B$3</f>
        <v>13.87386</v>
      </c>
      <c r="BN10" s="288">
        <f t="shared" si="16"/>
        <v>13.87386</v>
      </c>
      <c r="BO10" s="288">
        <f t="shared" si="17"/>
        <v>0</v>
      </c>
      <c r="BP10" s="307">
        <f t="shared" si="18"/>
        <v>13.87386</v>
      </c>
      <c r="BQ10" s="308" t="e">
        <f t="shared" si="13"/>
        <v>#N/A</v>
      </c>
      <c r="BR10" s="312"/>
      <c r="BS10" s="313"/>
      <c r="BT10" s="314">
        <v>6</v>
      </c>
    </row>
    <row r="11" spans="1:72">
      <c r="A11" s="97">
        <v>7</v>
      </c>
      <c r="B11" s="98" t="str" cm="1">
        <f t="array" ref="B11">INDEX(Table_Household_Alloc[Owner],MATCH(1,(Table_Household_Alloc[Lot]=A11)*(Table_Household_Alloc[cluster]=$B$1),0))</f>
        <v>Rio &amp; Alix Healey-­‐Diaz</v>
      </c>
      <c r="C11" s="99" cm="1">
        <f t="array" ref="C11">INDEX(Reading_import[Meter'#],MATCH(1,(Table_Household_Alloc[Lot]=A11)*(Table_Household_Alloc[cluster]=$B$1),0))</f>
        <v>50002887</v>
      </c>
      <c r="D11" s="100" cm="1">
        <f t="array" ref="D11">INDEX(Table_Household_Alloc[UE % over Cluster],MATCH(1,(Table_Household_Alloc[Lot]=A11)*(Table_Household_Alloc[cluster]=$B$1),0))</f>
        <v>0.037</v>
      </c>
      <c r="E11" s="101" t="str" cm="1">
        <f t="array" ref="E11">INDEX(Table_Household_Alloc[Stage of Dev.],MATCH(1,(Table_Household_Alloc[Lot]=A11)*(Table_Household_Alloc[cluster]=$B$1),0))</f>
        <v>O</v>
      </c>
      <c r="F11" s="102" cm="1">
        <f t="array" ref="F11">INDEX(Amanda_energy[Daily_Supply_incl_GST],MATCH(1,(Amanda_energy[Cluster]=$B$1)*(Amanda_energy[Month]=$F$2),0))/MAX($A:$A)</f>
        <v>8.11904761904762</v>
      </c>
      <c r="G11" s="103" cm="1">
        <f t="array" ref="G11">INDEX(Amanda_energy[Daily_Supply_incl_GST],MATCH(1,(Amanda_energy[Cluster]=$B$1)*(Amanda_energy[Month]=$G$2),0))/MAX($A:$A)</f>
        <v>7.33333333333333</v>
      </c>
      <c r="H11" s="103" t="e" cm="1">
        <f t="array" ref="H11">INDEX(Amanda_energy[Daily_Supply_incl_GST],MATCH(1,(Amanda_energy[Cluster]=$B$1)*(Amanda_energy[Month]=$H$2),0))/MAX($A:$A)</f>
        <v>#N/A</v>
      </c>
      <c r="I11" s="103" t="e">
        <f t="shared" si="1"/>
        <v>#N/A</v>
      </c>
      <c r="J11" s="172">
        <f>'Tariff Rates'!$B$8*$J$3</f>
        <v>13.5616438356164</v>
      </c>
      <c r="K11" s="172">
        <f>'Tariff Rates'!$C$8*Table1[[#This Row],[Percentage of Unit Entitlement (%)]]*'Energy billing Mastersheet'!$K$3</f>
        <v>7.82778082191781</v>
      </c>
      <c r="L11" s="172">
        <f>$L$3*'Tariff Rates'!$D$8*IF(Table1[[#This Row],[Stage of Dev.]]="V",0,1)</f>
        <v>19.8</v>
      </c>
      <c r="M11" s="173">
        <v>1.1</v>
      </c>
      <c r="N11" s="174" t="e">
        <f t="shared" si="2"/>
        <v>#N/A</v>
      </c>
      <c r="O11" s="175" cm="1">
        <f t="array" ref="O11">INDEX(Reading_import[1/1/2025],MATCH(1,(Reading_import[Lot]=A11)*(Reading_import[cluster]=$B$1),0))</f>
        <v>8272</v>
      </c>
      <c r="P11" s="176" cm="1">
        <f t="array" ref="P11">INDEX(Reading_import[1/3/2025],MATCH(1,(Reading_import[Lot]=A11)*(Reading_import[cluster]=$B$1),0))</f>
        <v>8725</v>
      </c>
      <c r="Q11" s="195">
        <f>Table1[[#This Row],[Last day of reporting period: import]]-Table1[[#This Row],[1st day of reporting period: import]]</f>
        <v>453</v>
      </c>
      <c r="R11" s="196">
        <f t="shared" si="3"/>
        <v>5.03333333333333</v>
      </c>
      <c r="S11" s="197">
        <f t="shared" si="4"/>
        <v>0.0832720588235294</v>
      </c>
      <c r="T11" s="198">
        <f>IF(Table1[[#This Row],[Stage of Dev.]]="V",0,233*Table1[[#This Row],[Percentage of Unit Entitlement (%)]])</f>
        <v>8.621</v>
      </c>
      <c r="U11" s="199">
        <f t="shared" si="5"/>
        <v>5.03333333333333</v>
      </c>
      <c r="V11" s="199">
        <f>Table1[[#This Row],[Daily Battery allowance based on UE% (kWh)]]-Table1[[#This Row],[Applicable Battery Allowance Daily Consumption (kWh)]]</f>
        <v>3.58766666666667</v>
      </c>
      <c r="W11" s="200">
        <f>Table1[[#This Row],[Unused Daily Allowance (kWh)]]/$V$32</f>
        <v>0.0254263114169958</v>
      </c>
      <c r="X11" s="199">
        <f>IF(Table1[[#This Row],[Applicable Battery Allowance Daily Consumption (kWh)]]&gt;Table1[[#This Row],[Total Daily Average Consumptio for Billing Period (kWh)]],Table1[[#This Row],[Total Consumption Import  (kWh)]],U11*$N$3)</f>
        <v>453</v>
      </c>
      <c r="Y11" s="215">
        <f>IF(Table1[[#This Row],[Applicable Battery Allowance Daily Consumption (kWh)]]&gt;0,ABS(Q11-X11),0)</f>
        <v>0</v>
      </c>
      <c r="Z11" s="216">
        <f>IFERROR(Table1[[#This Row],[Energy Exceeding Battery Allowance (kWh)]]/$Y$32,0)</f>
        <v>0</v>
      </c>
      <c r="AA11" s="217" t="e">
        <f t="shared" si="6"/>
        <v>#N/A</v>
      </c>
      <c r="AB11" s="218">
        <f>IFERROR(Table1[[#This Row],[Total Cluster Energy Balance for P2P Trading (kWh)]]*Table1[[#This Row],[Energy Exceeding Battery Allowance %]],0)</f>
        <v>0</v>
      </c>
      <c r="AC11" s="219">
        <f>Table1[[#This Row],[P2P Import Consumption within Battery Allowance(kWh)]]+Table1[[#This Row],[P2P Import Consumption over Battery Allowance based on Energy Exceeding Allowance % (kWh)]]</f>
        <v>453</v>
      </c>
      <c r="AD11" s="219">
        <f>Table1[[#This Row],[Total Consumption Import  (kWh)]]-Table1[[#This Row],[Total P2P import (kWh)]]</f>
        <v>0</v>
      </c>
      <c r="AE11" s="220">
        <f>IFERROR(Table1[[#This Row],[Total P2P import (kWh)]]/$AC$32,0)</f>
        <v>0.0832720588235294</v>
      </c>
      <c r="AF11" s="221">
        <f t="shared" si="7"/>
        <v>1474</v>
      </c>
      <c r="AG11" s="221">
        <f t="shared" si="8"/>
        <v>122.743014705882</v>
      </c>
      <c r="AH11" s="232">
        <f t="shared" si="9"/>
        <v>458</v>
      </c>
      <c r="AI11" s="232">
        <f>Table1[[#This Row],[Cluster''s Total Common Services (kWh)]]*Table1[[#This Row],[Percentage of Unit Entitlement (%)]]</f>
        <v>16.946</v>
      </c>
      <c r="AJ11" s="233">
        <f>AG11*'Tariff Rates'!$B$3</f>
        <v>27.0034632352941</v>
      </c>
      <c r="AK11" s="233">
        <f>Table1[[#This Row],[Common Services based on Split per Unit Entitlement % to battery (kWh)]]*'Tariff Rates'!$B$3</f>
        <v>3.72812</v>
      </c>
      <c r="AL11" s="234">
        <f>Table1[[#This Row],[Total P2P import (kWh)]]*IF(Table1[[#This Row],[Total Lot Export (kWh)]]=0,'Tariff Rates'!$B$3,'Tariff Rates'!$L$3)</f>
        <v>99.66</v>
      </c>
      <c r="AM11" s="235">
        <f>Table1[[#This Row],[P2P Import Consumption over Battery Allowance based on Energy Exceeding Allowance % (kWh)]]*'Tariff Rates'!$J$3</f>
        <v>0</v>
      </c>
      <c r="AN11" s="236">
        <f>Table1[[#This Row],[Energy Import from Grid (kWh)]]*'Tariff Rates'!$E$3</f>
        <v>0</v>
      </c>
      <c r="AO11" s="256">
        <f t="shared" si="14"/>
        <v>130.391583235294</v>
      </c>
      <c r="AP11" s="257" cm="1">
        <f t="array" ref="AP11">INDEX(Reading_export[1/1/2025],MATCH(1,(Reading_export[Lot]=A11)*(Reading_export[cluster]=$B$1),0))</f>
        <v>0</v>
      </c>
      <c r="AQ11" s="257" cm="1">
        <f t="array" ref="AQ11">INDEX(Reading_export[1/3/2025],MATCH(1,(Reading_export[Lot]=A11)*(Reading_export[cluster]=$B$1),0))</f>
        <v>0</v>
      </c>
      <c r="AR11" s="258">
        <f>Table1[[#This Row],[Last day of reporting period: export]]-Table1[[#This Row],[1st day of reporting period: export]]</f>
        <v>0</v>
      </c>
      <c r="AS11" s="259">
        <f t="shared" si="10"/>
        <v>0</v>
      </c>
      <c r="AT11" s="260">
        <f>Table1[[#This Row],[Percentage of Total export for Billing Period (%)]]*$AC$32</f>
        <v>0</v>
      </c>
      <c r="AU11" s="260" t="e">
        <f t="shared" si="11"/>
        <v>#N/A</v>
      </c>
      <c r="AV11" s="261">
        <f>IFERROR(Table1[[#This Row],[Total Cluster Energy Balance for P2P Trading (kWh)2]]*Table1[[#This Row],[Unused Daily Allowance %]],0)</f>
        <v>0</v>
      </c>
      <c r="AW11" s="260">
        <f t="shared" si="12"/>
        <v>0</v>
      </c>
      <c r="AX11" s="261">
        <f>Table1[[#This Row],[Cluster''s Total Common Services (kWh)]]*Table1[[#This Row],[Percentage of Total export for Billing Period (%)]]</f>
        <v>0</v>
      </c>
      <c r="AY11" s="261">
        <f>$Q$27*Table1[[#This Row],[Percentage of Total export for Billing Period (%)]]</f>
        <v>0</v>
      </c>
      <c r="AZ11" s="26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11" s="261">
        <f t="shared" si="15"/>
        <v>0</v>
      </c>
      <c r="BB11" s="261">
        <f>Table1[[#This Row],[Energy Losses When Export to Grid (kWh)]]*Table1[[#This Row],[Percentage of Total export for Billing Period (%)]]</f>
        <v>0</v>
      </c>
      <c r="BC11" s="261">
        <f>Table1[[#This Row],[Therotical Energy Export to Grid (kWh)]]-Table1[[#This Row],[Energy Losses When Export to Grid based up % total export (kWh)]]</f>
        <v>0</v>
      </c>
      <c r="BD11" s="274">
        <f>AW11*'Tariff Rates'!$C$3</f>
        <v>0</v>
      </c>
      <c r="BE11" s="274">
        <f>Table1[[#This Row],[Common Service based upon % total export to battery (kWh)]]*'Tariff Rates'!$C$3</f>
        <v>0</v>
      </c>
      <c r="BF11" s="274">
        <f>Table1[[#This Row],[EV Charger based upon % total export to battery (kWh)]]*'Tariff Rates'!$C$3</f>
        <v>0</v>
      </c>
      <c r="BG11" s="286">
        <f>AT11*'Tariff Rates'!$C$3</f>
        <v>0</v>
      </c>
      <c r="BH11" s="286">
        <f>Table1[[#This Row],[Borrowed Allowance Based on Unused Daily Allowance % (kWh)]]*'Tariff Rates'!$K$3</f>
        <v>0</v>
      </c>
      <c r="BI11" s="286">
        <f>BC11*'Tariff Rates'!$F$3</f>
        <v>0</v>
      </c>
      <c r="BJ11" s="286">
        <f t="shared" si="19"/>
        <v>0</v>
      </c>
      <c r="BK11" s="287">
        <f>$D$45*Table1[[#This Row],[Percentage of Unit Entitlement (%)]]</f>
        <v>0</v>
      </c>
      <c r="BL11" s="288">
        <f>BK11*'Tariff Rates'!$H$3</f>
        <v>0</v>
      </c>
      <c r="BM11" s="288">
        <f>($Q$27)*Table1[[#This Row],[Percentage of Unit Entitlement (%)]]*'Tariff Rates'!$B$3</f>
        <v>13.16238</v>
      </c>
      <c r="BN11" s="288">
        <f t="shared" si="16"/>
        <v>13.16238</v>
      </c>
      <c r="BO11" s="288">
        <f t="shared" si="17"/>
        <v>0</v>
      </c>
      <c r="BP11" s="307">
        <f t="shared" si="18"/>
        <v>13.16238</v>
      </c>
      <c r="BQ11" s="308" t="e">
        <f t="shared" si="13"/>
        <v>#N/A</v>
      </c>
      <c r="BR11" s="315"/>
      <c r="BS11" s="316"/>
      <c r="BT11" s="311">
        <v>7</v>
      </c>
    </row>
    <row r="12" spans="1:72">
      <c r="A12" s="104">
        <v>8</v>
      </c>
      <c r="B12" s="98" t="str" cm="1">
        <f t="array" ref="B12">INDEX(Table_Household_Alloc[Owner],MATCH(1,(Table_Household_Alloc[Lot]=A12)*(Table_Household_Alloc[cluster]=$B$1),0))</f>
        <v>Marcus Browne &amp; Sook-­‐JaRebecchi</v>
      </c>
      <c r="C12" s="99" cm="1">
        <f t="array" ref="C12">INDEX(Reading_import[Meter'#],MATCH(1,(Table_Household_Alloc[Lot]=A12)*(Table_Household_Alloc[cluster]=$B$1),0))</f>
        <v>50002846</v>
      </c>
      <c r="D12" s="100" cm="1">
        <f t="array" ref="D12">INDEX(Table_Household_Alloc[UE % over Cluster],MATCH(1,(Table_Household_Alloc[Lot]=A12)*(Table_Household_Alloc[cluster]=$B$1),0))</f>
        <v>0.036</v>
      </c>
      <c r="E12" s="101" t="str" cm="1">
        <f t="array" ref="E12">INDEX(Table_Household_Alloc[Stage of Dev.],MATCH(1,(Table_Household_Alloc[Lot]=A12)*(Table_Household_Alloc[cluster]=$B$1),0))</f>
        <v>O</v>
      </c>
      <c r="F12" s="102" cm="1">
        <f t="array" ref="F12">INDEX(Amanda_energy[Daily_Supply_incl_GST],MATCH(1,(Amanda_energy[Cluster]=$B$1)*(Amanda_energy[Month]=$F$2),0))/MAX($A:$A)</f>
        <v>8.11904761904762</v>
      </c>
      <c r="G12" s="103" cm="1">
        <f t="array" ref="G12">INDEX(Amanda_energy[Daily_Supply_incl_GST],MATCH(1,(Amanda_energy[Cluster]=$B$1)*(Amanda_energy[Month]=$G$2),0))/MAX($A:$A)</f>
        <v>7.33333333333333</v>
      </c>
      <c r="H12" s="103" t="e" cm="1">
        <f t="array" ref="H12">INDEX(Amanda_energy[Daily_Supply_incl_GST],MATCH(1,(Amanda_energy[Cluster]=$B$1)*(Amanda_energy[Month]=$H$2),0))/MAX($A:$A)</f>
        <v>#N/A</v>
      </c>
      <c r="I12" s="103" t="e">
        <f t="shared" si="1"/>
        <v>#N/A</v>
      </c>
      <c r="J12" s="172">
        <f>'Tariff Rates'!$B$8*$J$3</f>
        <v>13.5616438356164</v>
      </c>
      <c r="K12" s="172">
        <f>'Tariff Rates'!$C$8*Table1[[#This Row],[Percentage of Unit Entitlement (%)]]*'Energy billing Mastersheet'!$K$3</f>
        <v>7.61621917808219</v>
      </c>
      <c r="L12" s="172">
        <f>$L$3*'Tariff Rates'!$D$8*IF(Table1[[#This Row],[Stage of Dev.]]="V",0,1)</f>
        <v>19.8</v>
      </c>
      <c r="M12" s="173">
        <v>1.1</v>
      </c>
      <c r="N12" s="174" t="e">
        <f t="shared" si="2"/>
        <v>#N/A</v>
      </c>
      <c r="O12" s="175" cm="1">
        <f t="array" ref="O12">INDEX(Reading_import[1/1/2025],MATCH(1,(Reading_import[Lot]=A12)*(Reading_import[cluster]=$B$1),0))</f>
        <v>3006</v>
      </c>
      <c r="P12" s="176" cm="1">
        <f t="array" ref="P12">INDEX(Reading_import[1/3/2025],MATCH(1,(Reading_import[Lot]=A12)*(Reading_import[cluster]=$B$1),0))</f>
        <v>3404</v>
      </c>
      <c r="Q12" s="195">
        <f>Table1[[#This Row],[Last day of reporting period: import]]-Table1[[#This Row],[1st day of reporting period: import]]</f>
        <v>398</v>
      </c>
      <c r="R12" s="196">
        <f t="shared" si="3"/>
        <v>4.42222222222222</v>
      </c>
      <c r="S12" s="197">
        <f t="shared" si="4"/>
        <v>0.0731617647058824</v>
      </c>
      <c r="T12" s="198">
        <f>IF(Table1[[#This Row],[Stage of Dev.]]="V",0,233*Table1[[#This Row],[Percentage of Unit Entitlement (%)]])</f>
        <v>8.388</v>
      </c>
      <c r="U12" s="199">
        <f t="shared" si="5"/>
        <v>4.42222222222222</v>
      </c>
      <c r="V12" s="199">
        <f>Table1[[#This Row],[Daily Battery allowance based on UE% (kWh)]]-Table1[[#This Row],[Applicable Battery Allowance Daily Consumption (kWh)]]</f>
        <v>3.96577777777778</v>
      </c>
      <c r="W12" s="200">
        <f>Table1[[#This Row],[Unused Daily Allowance (kWh)]]/$V$32</f>
        <v>0.0281060394281462</v>
      </c>
      <c r="X12" s="199">
        <f>IF(Table1[[#This Row],[Applicable Battery Allowance Daily Consumption (kWh)]]&gt;Table1[[#This Row],[Total Daily Average Consumptio for Billing Period (kWh)]],Table1[[#This Row],[Total Consumption Import  (kWh)]],U12*$N$3)</f>
        <v>398</v>
      </c>
      <c r="Y12" s="215">
        <f>IF(Table1[[#This Row],[Applicable Battery Allowance Daily Consumption (kWh)]]&gt;0,ABS(Q12-X12),0)</f>
        <v>0</v>
      </c>
      <c r="Z12" s="216">
        <f>IFERROR(Table1[[#This Row],[Energy Exceeding Battery Allowance (kWh)]]/$Y$32,0)</f>
        <v>0</v>
      </c>
      <c r="AA12" s="217" t="e">
        <f t="shared" si="6"/>
        <v>#N/A</v>
      </c>
      <c r="AB12" s="218">
        <f>IFERROR(Table1[[#This Row],[Total Cluster Energy Balance for P2P Trading (kWh)]]*Table1[[#This Row],[Energy Exceeding Battery Allowance %]],0)</f>
        <v>0</v>
      </c>
      <c r="AC12" s="219">
        <f>Table1[[#This Row],[P2P Import Consumption within Battery Allowance(kWh)]]+Table1[[#This Row],[P2P Import Consumption over Battery Allowance based on Energy Exceeding Allowance % (kWh)]]</f>
        <v>398</v>
      </c>
      <c r="AD12" s="219">
        <f>Table1[[#This Row],[Total Consumption Import  (kWh)]]-Table1[[#This Row],[Total P2P import (kWh)]]</f>
        <v>0</v>
      </c>
      <c r="AE12" s="220">
        <f>IFERROR(Table1[[#This Row],[Total P2P import (kWh)]]/$AC$32,0)</f>
        <v>0.0731617647058824</v>
      </c>
      <c r="AF12" s="221">
        <f t="shared" si="7"/>
        <v>1474</v>
      </c>
      <c r="AG12" s="221">
        <f t="shared" si="8"/>
        <v>107.840441176471</v>
      </c>
      <c r="AH12" s="232">
        <f t="shared" si="9"/>
        <v>458</v>
      </c>
      <c r="AI12" s="232">
        <f>Table1[[#This Row],[Cluster''s Total Common Services (kWh)]]*Table1[[#This Row],[Percentage of Unit Entitlement (%)]]</f>
        <v>16.488</v>
      </c>
      <c r="AJ12" s="233">
        <f>AG12*'Tariff Rates'!$B$3</f>
        <v>23.7248970588235</v>
      </c>
      <c r="AK12" s="233">
        <f>Table1[[#This Row],[Common Services based on Split per Unit Entitlement % to battery (kWh)]]*'Tariff Rates'!$B$3</f>
        <v>3.62736</v>
      </c>
      <c r="AL12" s="234">
        <f>Table1[[#This Row],[Total P2P import (kWh)]]*IF(Table1[[#This Row],[Total Lot Export (kWh)]]=0,'Tariff Rates'!$B$3,'Tariff Rates'!$L$3)</f>
        <v>143.28</v>
      </c>
      <c r="AM12" s="235">
        <f>Table1[[#This Row],[P2P Import Consumption over Battery Allowance based on Energy Exceeding Allowance % (kWh)]]*'Tariff Rates'!$J$3</f>
        <v>0</v>
      </c>
      <c r="AN12" s="236">
        <f>Table1[[#This Row],[Energy Import from Grid (kWh)]]*'Tariff Rates'!$E$3</f>
        <v>0</v>
      </c>
      <c r="AO12" s="256">
        <f t="shared" si="14"/>
        <v>170.632257058824</v>
      </c>
      <c r="AP12" s="257" cm="1">
        <f t="array" ref="AP12">INDEX(Reading_export[1/1/2025],MATCH(1,(Reading_export[Lot]=A12)*(Reading_export[cluster]=$B$1),0))</f>
        <v>2569</v>
      </c>
      <c r="AQ12" s="257" cm="1">
        <f t="array" ref="AQ12">INDEX(Reading_export[1/3/2025],MATCH(1,(Reading_export[Lot]=A12)*(Reading_export[cluster]=$B$1),0))</f>
        <v>4165</v>
      </c>
      <c r="AR12" s="258">
        <f>Table1[[#This Row],[Last day of reporting period: export]]-Table1[[#This Row],[1st day of reporting period: export]]</f>
        <v>1596</v>
      </c>
      <c r="AS12" s="259">
        <f t="shared" si="10"/>
        <v>0.0595278057513707</v>
      </c>
      <c r="AT12" s="260">
        <f>Table1[[#This Row],[Percentage of Total export for Billing Period (%)]]*$AC$32</f>
        <v>323.831263287457</v>
      </c>
      <c r="AU12" s="260" t="e">
        <f t="shared" si="11"/>
        <v>#N/A</v>
      </c>
      <c r="AV12" s="261">
        <f>IFERROR(Table1[[#This Row],[Total Cluster Energy Balance for P2P Trading (kWh)2]]*Table1[[#This Row],[Unused Daily Allowance %]],0)</f>
        <v>0</v>
      </c>
      <c r="AW12" s="260">
        <f t="shared" si="12"/>
        <v>87.7439856775204</v>
      </c>
      <c r="AX12" s="261">
        <f>Table1[[#This Row],[Cluster''s Total Common Services (kWh)]]*Table1[[#This Row],[Percentage of Total export for Billing Period (%)]]</f>
        <v>27.2637350341278</v>
      </c>
      <c r="AY12" s="261">
        <f>$Q$27*Table1[[#This Row],[Percentage of Total export for Billing Period (%)]]</f>
        <v>96.2564618999664</v>
      </c>
      <c r="AZ12" s="26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1060.90455410093</v>
      </c>
      <c r="BA12" s="261">
        <f t="shared" si="15"/>
        <v>0</v>
      </c>
      <c r="BB12" s="261">
        <f>Table1[[#This Row],[Energy Losses When Export to Grid (kWh)]]*Table1[[#This Row],[Percentage of Total export for Billing Period (%)]]</f>
        <v>0</v>
      </c>
      <c r="BC12" s="261">
        <f>Table1[[#This Row],[Therotical Energy Export to Grid (kWh)]]-Table1[[#This Row],[Energy Losses When Export to Grid based up % total export (kWh)]]</f>
        <v>1060.90455410093</v>
      </c>
      <c r="BD12" s="274">
        <f>AW12*'Tariff Rates'!$C$3</f>
        <v>-19.3036768490545</v>
      </c>
      <c r="BE12" s="274">
        <f>Table1[[#This Row],[Common Service based upon % total export to battery (kWh)]]*'Tariff Rates'!$C$3</f>
        <v>-5.99802170750811</v>
      </c>
      <c r="BF12" s="274">
        <f>Table1[[#This Row],[EV Charger based upon % total export to battery (kWh)]]*'Tariff Rates'!$C$3</f>
        <v>-21.1764216179926</v>
      </c>
      <c r="BG12" s="286">
        <f>AT12*'Tariff Rates'!$C$3</f>
        <v>-71.2428779232405</v>
      </c>
      <c r="BH12" s="286">
        <f>Table1[[#This Row],[Borrowed Allowance Based on Unused Daily Allowance % (kWh)]]*'Tariff Rates'!$K$3</f>
        <v>0</v>
      </c>
      <c r="BI12" s="286">
        <f>BC12*'Tariff Rates'!$F$3</f>
        <v>-40.8448253328858</v>
      </c>
      <c r="BJ12" s="286">
        <f t="shared" si="19"/>
        <v>-158.565823430681</v>
      </c>
      <c r="BK12" s="287">
        <f>$D$45*Table1[[#This Row],[Percentage of Unit Entitlement (%)]]</f>
        <v>0</v>
      </c>
      <c r="BL12" s="288">
        <f>BK12*'Tariff Rates'!$H$3</f>
        <v>0</v>
      </c>
      <c r="BM12" s="288">
        <f>($Q$27)*Table1[[#This Row],[Percentage of Unit Entitlement (%)]]*'Tariff Rates'!$B$3</f>
        <v>12.80664</v>
      </c>
      <c r="BN12" s="288">
        <f t="shared" si="16"/>
        <v>12.80664</v>
      </c>
      <c r="BO12" s="288">
        <f t="shared" si="17"/>
        <v>0</v>
      </c>
      <c r="BP12" s="307">
        <f t="shared" si="18"/>
        <v>12.80664</v>
      </c>
      <c r="BQ12" s="308" t="e">
        <f t="shared" si="13"/>
        <v>#N/A</v>
      </c>
      <c r="BR12" s="312"/>
      <c r="BS12" s="313"/>
      <c r="BT12" s="314">
        <v>8</v>
      </c>
    </row>
    <row r="13" spans="1:72">
      <c r="A13" s="97">
        <v>9</v>
      </c>
      <c r="B13" s="98" t="str" cm="1">
        <f t="array" ref="B13">INDEX(Table_Household_Alloc[Owner],MATCH(1,(Table_Household_Alloc[Lot]=A13)*(Table_Household_Alloc[cluster]=$B$1),0))</f>
        <v>Jasmine Heah</v>
      </c>
      <c r="C13" s="99" cm="1">
        <f t="array" ref="C13">INDEX(Reading_import[Meter'#],MATCH(1,(Table_Household_Alloc[Lot]=A13)*(Table_Household_Alloc[cluster]=$B$1),0))</f>
        <v>50002885</v>
      </c>
      <c r="D13" s="100" cm="1">
        <f t="array" ref="D13">INDEX(Table_Household_Alloc[UE % over Cluster],MATCH(1,(Table_Household_Alloc[Lot]=A13)*(Table_Household_Alloc[cluster]=$B$1),0))</f>
        <v>0.036</v>
      </c>
      <c r="E13" s="101" t="str" cm="1">
        <f t="array" ref="E13">INDEX(Table_Household_Alloc[Stage of Dev.],MATCH(1,(Table_Household_Alloc[Lot]=A13)*(Table_Household_Alloc[cluster]=$B$1),0))</f>
        <v>O</v>
      </c>
      <c r="F13" s="102" cm="1">
        <f t="array" ref="F13">INDEX(Amanda_energy[Daily_Supply_incl_GST],MATCH(1,(Amanda_energy[Cluster]=$B$1)*(Amanda_energy[Month]=$F$2),0))/MAX($A:$A)</f>
        <v>8.11904761904762</v>
      </c>
      <c r="G13" s="103" cm="1">
        <f t="array" ref="G13">INDEX(Amanda_energy[Daily_Supply_incl_GST],MATCH(1,(Amanda_energy[Cluster]=$B$1)*(Amanda_energy[Month]=$G$2),0))/MAX($A:$A)</f>
        <v>7.33333333333333</v>
      </c>
      <c r="H13" s="103" t="e" cm="1">
        <f t="array" ref="H13">INDEX(Amanda_energy[Daily_Supply_incl_GST],MATCH(1,(Amanda_energy[Cluster]=$B$1)*(Amanda_energy[Month]=$H$2),0))/MAX($A:$A)</f>
        <v>#N/A</v>
      </c>
      <c r="I13" s="103" t="e">
        <f t="shared" si="1"/>
        <v>#N/A</v>
      </c>
      <c r="J13" s="172">
        <f>'Tariff Rates'!$B$8*$J$3</f>
        <v>13.5616438356164</v>
      </c>
      <c r="K13" s="172">
        <f>'Tariff Rates'!$C$8*Table1[[#This Row],[Percentage of Unit Entitlement (%)]]*'Energy billing Mastersheet'!$K$3</f>
        <v>7.61621917808219</v>
      </c>
      <c r="L13" s="172">
        <f>$L$3*'Tariff Rates'!$D$8*IF(Table1[[#This Row],[Stage of Dev.]]="V",0,1)</f>
        <v>19.8</v>
      </c>
      <c r="M13" s="173">
        <v>1.1</v>
      </c>
      <c r="N13" s="174" t="e">
        <f t="shared" si="2"/>
        <v>#N/A</v>
      </c>
      <c r="O13" s="175" cm="1">
        <f t="array" ref="O13">INDEX(Reading_import[1/1/2025],MATCH(1,(Reading_import[Lot]=A13)*(Reading_import[cluster]=$B$1),0))</f>
        <v>13606</v>
      </c>
      <c r="P13" s="176" cm="1">
        <f t="array" ref="P13">INDEX(Reading_import[1/3/2025],MATCH(1,(Reading_import[Lot]=A13)*(Reading_import[cluster]=$B$1),0))</f>
        <v>14226</v>
      </c>
      <c r="Q13" s="195">
        <f>Table1[[#This Row],[Last day of reporting period: import]]-Table1[[#This Row],[1st day of reporting period: import]]</f>
        <v>620</v>
      </c>
      <c r="R13" s="196">
        <f t="shared" si="3"/>
        <v>6.88888888888889</v>
      </c>
      <c r="S13" s="197">
        <f t="shared" si="4"/>
        <v>0.113970588235294</v>
      </c>
      <c r="T13" s="198">
        <f>IF(Table1[[#This Row],[Stage of Dev.]]="V",0,233*Table1[[#This Row],[Percentage of Unit Entitlement (%)]])</f>
        <v>8.388</v>
      </c>
      <c r="U13" s="199">
        <f t="shared" si="5"/>
        <v>6.88888888888889</v>
      </c>
      <c r="V13" s="199">
        <f>Table1[[#This Row],[Daily Battery allowance based on UE% (kWh)]]-Table1[[#This Row],[Applicable Battery Allowance Daily Consumption (kWh)]]</f>
        <v>1.49911111111111</v>
      </c>
      <c r="W13" s="200">
        <f>Table1[[#This Row],[Unused Daily Allowance (kWh)]]/$V$32</f>
        <v>0.0106244167870825</v>
      </c>
      <c r="X13" s="199">
        <f>IF(Table1[[#This Row],[Applicable Battery Allowance Daily Consumption (kWh)]]&gt;Table1[[#This Row],[Total Daily Average Consumptio for Billing Period (kWh)]],Table1[[#This Row],[Total Consumption Import  (kWh)]],U13*$N$3)</f>
        <v>620</v>
      </c>
      <c r="Y13" s="215">
        <f>IF(Table1[[#This Row],[Applicable Battery Allowance Daily Consumption (kWh)]]&gt;0,ABS(Q13-X13),0)</f>
        <v>0</v>
      </c>
      <c r="Z13" s="216">
        <f>IFERROR(Table1[[#This Row],[Energy Exceeding Battery Allowance (kWh)]]/$Y$32,0)</f>
        <v>0</v>
      </c>
      <c r="AA13" s="217" t="e">
        <f t="shared" si="6"/>
        <v>#N/A</v>
      </c>
      <c r="AB13" s="218">
        <f>IFERROR(Table1[[#This Row],[Total Cluster Energy Balance for P2P Trading (kWh)]]*Table1[[#This Row],[Energy Exceeding Battery Allowance %]],0)</f>
        <v>0</v>
      </c>
      <c r="AC13" s="219">
        <f>Table1[[#This Row],[P2P Import Consumption within Battery Allowance(kWh)]]+Table1[[#This Row],[P2P Import Consumption over Battery Allowance based on Energy Exceeding Allowance % (kWh)]]</f>
        <v>620</v>
      </c>
      <c r="AD13" s="219">
        <f>Table1[[#This Row],[Total Consumption Import  (kWh)]]-Table1[[#This Row],[Total P2P import (kWh)]]</f>
        <v>0</v>
      </c>
      <c r="AE13" s="220">
        <f>IFERROR(Table1[[#This Row],[Total P2P import (kWh)]]/$AC$32,0)</f>
        <v>0.113970588235294</v>
      </c>
      <c r="AF13" s="221">
        <f t="shared" si="7"/>
        <v>1474</v>
      </c>
      <c r="AG13" s="221">
        <f t="shared" si="8"/>
        <v>167.992647058824</v>
      </c>
      <c r="AH13" s="232">
        <f t="shared" si="9"/>
        <v>458</v>
      </c>
      <c r="AI13" s="232">
        <f>Table1[[#This Row],[Cluster''s Total Common Services (kWh)]]*Table1[[#This Row],[Percentage of Unit Entitlement (%)]]</f>
        <v>16.488</v>
      </c>
      <c r="AJ13" s="233">
        <f>AG13*'Tariff Rates'!$B$3</f>
        <v>36.9583823529412</v>
      </c>
      <c r="AK13" s="233">
        <f>Table1[[#This Row],[Common Services based on Split per Unit Entitlement % to battery (kWh)]]*'Tariff Rates'!$B$3</f>
        <v>3.62736</v>
      </c>
      <c r="AL13" s="234">
        <f>Table1[[#This Row],[Total P2P import (kWh)]]*IF(Table1[[#This Row],[Total Lot Export (kWh)]]=0,'Tariff Rates'!$B$3,'Tariff Rates'!$L$3)</f>
        <v>136.4</v>
      </c>
      <c r="AM13" s="235">
        <f>Table1[[#This Row],[P2P Import Consumption over Battery Allowance based on Energy Exceeding Allowance % (kWh)]]*'Tariff Rates'!$J$3</f>
        <v>0</v>
      </c>
      <c r="AN13" s="236">
        <f>Table1[[#This Row],[Energy Import from Grid (kWh)]]*'Tariff Rates'!$E$3</f>
        <v>0</v>
      </c>
      <c r="AO13" s="256">
        <f t="shared" si="14"/>
        <v>176.985742352941</v>
      </c>
      <c r="AP13" s="257" cm="1">
        <f t="array" ref="AP13">INDEX(Reading_export[1/1/2025],MATCH(1,(Reading_export[Lot]=A13)*(Reading_export[cluster]=$B$1),0))</f>
        <v>0</v>
      </c>
      <c r="AQ13" s="257" cm="1">
        <f t="array" ref="AQ13">INDEX(Reading_export[1/3/2025],MATCH(1,(Reading_export[Lot]=A13)*(Reading_export[cluster]=$B$1),0))</f>
        <v>0</v>
      </c>
      <c r="AR13" s="258">
        <f>Table1[[#This Row],[Last day of reporting period: export]]-Table1[[#This Row],[1st day of reporting period: export]]</f>
        <v>0</v>
      </c>
      <c r="AS13" s="259">
        <f t="shared" si="10"/>
        <v>0</v>
      </c>
      <c r="AT13" s="260">
        <f>Table1[[#This Row],[Percentage of Total export for Billing Period (%)]]*$AC$32</f>
        <v>0</v>
      </c>
      <c r="AU13" s="260" t="e">
        <f t="shared" si="11"/>
        <v>#N/A</v>
      </c>
      <c r="AV13" s="261">
        <f>IFERROR(Table1[[#This Row],[Total Cluster Energy Balance for P2P Trading (kWh)2]]*Table1[[#This Row],[Unused Daily Allowance %]],0)</f>
        <v>0</v>
      </c>
      <c r="AW13" s="260">
        <f t="shared" si="12"/>
        <v>0</v>
      </c>
      <c r="AX13" s="261">
        <f>Table1[[#This Row],[Cluster''s Total Common Services (kWh)]]*Table1[[#This Row],[Percentage of Total export for Billing Period (%)]]</f>
        <v>0</v>
      </c>
      <c r="AY13" s="261">
        <f>$Q$27*Table1[[#This Row],[Percentage of Total export for Billing Period (%)]]</f>
        <v>0</v>
      </c>
      <c r="AZ13" s="26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13" s="261">
        <f t="shared" si="15"/>
        <v>0</v>
      </c>
      <c r="BB13" s="261">
        <f>Table1[[#This Row],[Energy Losses When Export to Grid (kWh)]]*Table1[[#This Row],[Percentage of Total export for Billing Period (%)]]</f>
        <v>0</v>
      </c>
      <c r="BC13" s="261">
        <f>Table1[[#This Row],[Therotical Energy Export to Grid (kWh)]]-Table1[[#This Row],[Energy Losses When Export to Grid based up % total export (kWh)]]</f>
        <v>0</v>
      </c>
      <c r="BD13" s="274">
        <f>AW13*'Tariff Rates'!$C$3</f>
        <v>0</v>
      </c>
      <c r="BE13" s="274">
        <f>Table1[[#This Row],[Common Service based upon % total export to battery (kWh)]]*'Tariff Rates'!$C$3</f>
        <v>0</v>
      </c>
      <c r="BF13" s="274">
        <f>Table1[[#This Row],[EV Charger based upon % total export to battery (kWh)]]*'Tariff Rates'!$C$3</f>
        <v>0</v>
      </c>
      <c r="BG13" s="286">
        <f>AT13*'Tariff Rates'!$C$3</f>
        <v>0</v>
      </c>
      <c r="BH13" s="286">
        <f>Table1[[#This Row],[Borrowed Allowance Based on Unused Daily Allowance % (kWh)]]*'Tariff Rates'!$K$3</f>
        <v>0</v>
      </c>
      <c r="BI13" s="286">
        <f>BC13*'Tariff Rates'!$F$3</f>
        <v>0</v>
      </c>
      <c r="BJ13" s="286">
        <f t="shared" si="19"/>
        <v>0</v>
      </c>
      <c r="BK13" s="287">
        <f>$D$45*Table1[[#This Row],[Percentage of Unit Entitlement (%)]]</f>
        <v>0</v>
      </c>
      <c r="BL13" s="288">
        <f>BK13*'Tariff Rates'!$H$3</f>
        <v>0</v>
      </c>
      <c r="BM13" s="288">
        <f>($Q$27)*Table1[[#This Row],[Percentage of Unit Entitlement (%)]]*'Tariff Rates'!$B$3</f>
        <v>12.80664</v>
      </c>
      <c r="BN13" s="288">
        <f t="shared" si="16"/>
        <v>12.80664</v>
      </c>
      <c r="BO13" s="288">
        <f t="shared" si="17"/>
        <v>0</v>
      </c>
      <c r="BP13" s="307">
        <f t="shared" si="18"/>
        <v>12.80664</v>
      </c>
      <c r="BQ13" s="308" t="e">
        <f t="shared" si="13"/>
        <v>#N/A</v>
      </c>
      <c r="BR13" s="315"/>
      <c r="BS13" s="316"/>
      <c r="BT13" s="311">
        <v>9</v>
      </c>
    </row>
    <row r="14" spans="1:72">
      <c r="A14" s="97">
        <v>10</v>
      </c>
      <c r="B14" s="98" t="str" cm="1">
        <f t="array" ref="B14">INDEX(Table_Household_Alloc[Owner],MATCH(1,(Table_Household_Alloc[Lot]=A14)*(Table_Household_Alloc[cluster]=$B$1),0))</f>
        <v>Pernille Stent</v>
      </c>
      <c r="C14" s="99" cm="1">
        <f t="array" ref="C14">INDEX(Reading_import[Meter'#],MATCH(1,(Table_Household_Alloc[Lot]=A14)*(Table_Household_Alloc[cluster]=$B$1),0))</f>
        <v>50002850</v>
      </c>
      <c r="D14" s="100" cm="1">
        <f t="array" ref="D14">INDEX(Table_Household_Alloc[UE % over Cluster],MATCH(1,(Table_Household_Alloc[Lot]=A14)*(Table_Household_Alloc[cluster]=$B$1),0))</f>
        <v>0.053</v>
      </c>
      <c r="E14" s="101" t="str" cm="1">
        <f t="array" ref="E14">INDEX(Table_Household_Alloc[Stage of Dev.],MATCH(1,(Table_Household_Alloc[Lot]=A14)*(Table_Household_Alloc[cluster]=$B$1),0))</f>
        <v>O</v>
      </c>
      <c r="F14" s="102" cm="1">
        <f t="array" ref="F14">INDEX(Amanda_energy[Daily_Supply_incl_GST],MATCH(1,(Amanda_energy[Cluster]=$B$1)*(Amanda_energy[Month]=$F$2),0))/MAX($A:$A)</f>
        <v>8.11904761904762</v>
      </c>
      <c r="G14" s="103" cm="1">
        <f t="array" ref="G14">INDEX(Amanda_energy[Daily_Supply_incl_GST],MATCH(1,(Amanda_energy[Cluster]=$B$1)*(Amanda_energy[Month]=$G$2),0))/MAX($A:$A)</f>
        <v>7.33333333333333</v>
      </c>
      <c r="H14" s="103" t="e" cm="1">
        <f t="array" ref="H14">INDEX(Amanda_energy[Daily_Supply_incl_GST],MATCH(1,(Amanda_energy[Cluster]=$B$1)*(Amanda_energy[Month]=$H$2),0))/MAX($A:$A)</f>
        <v>#N/A</v>
      </c>
      <c r="I14" s="103" t="e">
        <f t="shared" si="1"/>
        <v>#N/A</v>
      </c>
      <c r="J14" s="172">
        <f>'Tariff Rates'!$B$8*$J$3</f>
        <v>13.5616438356164</v>
      </c>
      <c r="K14" s="172">
        <f>'Tariff Rates'!$C$8*Table1[[#This Row],[Percentage of Unit Entitlement (%)]]*'Energy billing Mastersheet'!$K$3</f>
        <v>11.2127671232877</v>
      </c>
      <c r="L14" s="172">
        <f>$L$3*'Tariff Rates'!$D$8*IF(Table1[[#This Row],[Stage of Dev.]]="V",0,1)</f>
        <v>19.8</v>
      </c>
      <c r="M14" s="173">
        <v>1.1</v>
      </c>
      <c r="N14" s="174" t="e">
        <f t="shared" si="2"/>
        <v>#N/A</v>
      </c>
      <c r="O14" s="175" cm="1">
        <f t="array" ref="O14">INDEX(Reading_import[1/1/2025],MATCH(1,(Reading_import[Lot]=A14)*(Reading_import[cluster]=$B$1),0))</f>
        <v>3930</v>
      </c>
      <c r="P14" s="176" cm="1">
        <f t="array" ref="P14">INDEX(Reading_import[1/3/2025],MATCH(1,(Reading_import[Lot]=A14)*(Reading_import[cluster]=$B$1),0))</f>
        <v>4324</v>
      </c>
      <c r="Q14" s="195">
        <f>Table1[[#This Row],[Last day of reporting period: import]]-Table1[[#This Row],[1st day of reporting period: import]]</f>
        <v>394</v>
      </c>
      <c r="R14" s="196">
        <f t="shared" si="3"/>
        <v>4.37777777777778</v>
      </c>
      <c r="S14" s="197">
        <f t="shared" si="4"/>
        <v>0.0724264705882353</v>
      </c>
      <c r="T14" s="198">
        <f>IF(Table1[[#This Row],[Stage of Dev.]]="V",0,233*Table1[[#This Row],[Percentage of Unit Entitlement (%)]])</f>
        <v>12.349</v>
      </c>
      <c r="U14" s="199">
        <f t="shared" si="5"/>
        <v>4.37777777777778</v>
      </c>
      <c r="V14" s="199">
        <f>Table1[[#This Row],[Daily Battery allowance based on UE% (kWh)]]-Table1[[#This Row],[Applicable Battery Allowance Daily Consumption (kWh)]]</f>
        <v>7.97122222222222</v>
      </c>
      <c r="W14" s="200">
        <f>Table1[[#This Row],[Unused Daily Allowance (kWh)]]/$V$32</f>
        <v>0.0564932022474122</v>
      </c>
      <c r="X14" s="199">
        <f>IF(Table1[[#This Row],[Applicable Battery Allowance Daily Consumption (kWh)]]&gt;Table1[[#This Row],[Total Daily Average Consumptio for Billing Period (kWh)]],Table1[[#This Row],[Total Consumption Import  (kWh)]],U14*$N$3)</f>
        <v>394</v>
      </c>
      <c r="Y14" s="215">
        <f>IF(Table1[[#This Row],[Applicable Battery Allowance Daily Consumption (kWh)]]&gt;0,ABS(Q14-X14),0)</f>
        <v>5.6843418860808e-14</v>
      </c>
      <c r="Z14" s="216">
        <f>IFERROR(Table1[[#This Row],[Energy Exceeding Battery Allowance (kWh)]]/$Y$32,0)</f>
        <v>1</v>
      </c>
      <c r="AA14" s="217" t="e">
        <f t="shared" si="6"/>
        <v>#N/A</v>
      </c>
      <c r="AB14" s="218">
        <f>IFERROR(Table1[[#This Row],[Total Cluster Energy Balance for P2P Trading (kWh)]]*Table1[[#This Row],[Energy Exceeding Battery Allowance %]],0)</f>
        <v>0</v>
      </c>
      <c r="AC14" s="219">
        <f>Table1[[#This Row],[P2P Import Consumption within Battery Allowance(kWh)]]+Table1[[#This Row],[P2P Import Consumption over Battery Allowance based on Energy Exceeding Allowance % (kWh)]]</f>
        <v>394</v>
      </c>
      <c r="AD14" s="219">
        <f>Table1[[#This Row],[Total Consumption Import  (kWh)]]-Table1[[#This Row],[Total P2P import (kWh)]]</f>
        <v>0</v>
      </c>
      <c r="AE14" s="220">
        <f>IFERROR(Table1[[#This Row],[Total P2P import (kWh)]]/$AC$32,0)</f>
        <v>0.0724264705882353</v>
      </c>
      <c r="AF14" s="221">
        <f t="shared" si="7"/>
        <v>1474</v>
      </c>
      <c r="AG14" s="221">
        <f t="shared" si="8"/>
        <v>106.756617647059</v>
      </c>
      <c r="AH14" s="232">
        <f t="shared" si="9"/>
        <v>458</v>
      </c>
      <c r="AI14" s="232">
        <f>Table1[[#This Row],[Cluster''s Total Common Services (kWh)]]*Table1[[#This Row],[Percentage of Unit Entitlement (%)]]</f>
        <v>24.274</v>
      </c>
      <c r="AJ14" s="233">
        <f>AG14*'Tariff Rates'!$B$3</f>
        <v>23.4864558823529</v>
      </c>
      <c r="AK14" s="233">
        <f>Table1[[#This Row],[Common Services based on Split per Unit Entitlement % to battery (kWh)]]*'Tariff Rates'!$B$3</f>
        <v>5.34028</v>
      </c>
      <c r="AL14" s="234">
        <f>Table1[[#This Row],[Total P2P import (kWh)]]*IF(Table1[[#This Row],[Total Lot Export (kWh)]]=0,'Tariff Rates'!$B$3,'Tariff Rates'!$L$3)</f>
        <v>141.84</v>
      </c>
      <c r="AM14" s="235">
        <f>Table1[[#This Row],[P2P Import Consumption over Battery Allowance based on Energy Exceeding Allowance % (kWh)]]*'Tariff Rates'!$J$3</f>
        <v>0</v>
      </c>
      <c r="AN14" s="236">
        <f>Table1[[#This Row],[Energy Import from Grid (kWh)]]*'Tariff Rates'!$E$3</f>
        <v>0</v>
      </c>
      <c r="AO14" s="256">
        <f t="shared" si="14"/>
        <v>170.666735882353</v>
      </c>
      <c r="AP14" s="257" cm="1">
        <f t="array" ref="AP14">INDEX(Reading_export[1/1/2025],MATCH(1,(Reading_export[Lot]=A14)*(Reading_export[cluster]=$B$1),0))</f>
        <v>20316</v>
      </c>
      <c r="AQ14" s="257" cm="1">
        <f t="array" ref="AQ14">INDEX(Reading_export[1/3/2025],MATCH(1,(Reading_export[Lot]=A14)*(Reading_export[cluster]=$B$1),0))</f>
        <v>21130</v>
      </c>
      <c r="AR14" s="258">
        <f>Table1[[#This Row],[Last day of reporting period: export]]-Table1[[#This Row],[1st day of reporting period: export]]</f>
        <v>814</v>
      </c>
      <c r="AS14" s="259">
        <f t="shared" si="10"/>
        <v>0.0303606728581552</v>
      </c>
      <c r="AT14" s="260">
        <f>Table1[[#This Row],[Percentage of Total export for Billing Period (%)]]*$AC$32</f>
        <v>165.162060348364</v>
      </c>
      <c r="AU14" s="260" t="e">
        <f t="shared" si="11"/>
        <v>#N/A</v>
      </c>
      <c r="AV14" s="261">
        <f>IFERROR(Table1[[#This Row],[Total Cluster Energy Balance for P2P Trading (kWh)2]]*Table1[[#This Row],[Unused Daily Allowance %]],0)</f>
        <v>0</v>
      </c>
      <c r="AW14" s="260">
        <f t="shared" si="12"/>
        <v>44.7516317929208</v>
      </c>
      <c r="AX14" s="261">
        <f>Table1[[#This Row],[Cluster''s Total Common Services (kWh)]]*Table1[[#This Row],[Percentage of Total export for Billing Period (%)]]</f>
        <v>13.9051881690351</v>
      </c>
      <c r="AY14" s="261">
        <f>$Q$27*Table1[[#This Row],[Percentage of Total export for Billing Period (%)]]</f>
        <v>49.093208011637</v>
      </c>
      <c r="AZ14" s="26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541.087911678043</v>
      </c>
      <c r="BA14" s="261">
        <f t="shared" si="15"/>
        <v>0</v>
      </c>
      <c r="BB14" s="261">
        <f>Table1[[#This Row],[Energy Losses When Export to Grid (kWh)]]*Table1[[#This Row],[Percentage of Total export for Billing Period (%)]]</f>
        <v>0</v>
      </c>
      <c r="BC14" s="261">
        <f>Table1[[#This Row],[Therotical Energy Export to Grid (kWh)]]-Table1[[#This Row],[Energy Losses When Export to Grid based up % total export (kWh)]]</f>
        <v>541.087911678043</v>
      </c>
      <c r="BD14" s="274">
        <f>AW14*'Tariff Rates'!$C$3</f>
        <v>-9.84535899444258</v>
      </c>
      <c r="BE14" s="274">
        <f>Table1[[#This Row],[Common Service based upon % total export to battery (kWh)]]*'Tariff Rates'!$C$3</f>
        <v>-3.05914139718772</v>
      </c>
      <c r="BF14" s="274">
        <f>Table1[[#This Row],[EV Charger based upon % total export to battery (kWh)]]*'Tariff Rates'!$C$3</f>
        <v>-10.8005057625601</v>
      </c>
      <c r="BG14" s="286">
        <f>AT14*'Tariff Rates'!$C$3</f>
        <v>-36.3356532766402</v>
      </c>
      <c r="BH14" s="286">
        <f>Table1[[#This Row],[Borrowed Allowance Based on Unused Daily Allowance % (kWh)]]*'Tariff Rates'!$K$3</f>
        <v>0</v>
      </c>
      <c r="BI14" s="286">
        <f>BC14*'Tariff Rates'!$F$3</f>
        <v>-20.8318845996046</v>
      </c>
      <c r="BJ14" s="286">
        <f t="shared" si="19"/>
        <v>-80.8725440304353</v>
      </c>
      <c r="BK14" s="287">
        <f>$D$45*Table1[[#This Row],[Percentage of Unit Entitlement (%)]]</f>
        <v>0</v>
      </c>
      <c r="BL14" s="288">
        <f>BK14*'Tariff Rates'!$H$3</f>
        <v>0</v>
      </c>
      <c r="BM14" s="288">
        <f>($Q$27)*Table1[[#This Row],[Percentage of Unit Entitlement (%)]]*'Tariff Rates'!$B$3</f>
        <v>18.85422</v>
      </c>
      <c r="BN14" s="288">
        <f t="shared" si="16"/>
        <v>18.85422</v>
      </c>
      <c r="BO14" s="288">
        <f t="shared" si="17"/>
        <v>0</v>
      </c>
      <c r="BP14" s="307">
        <f t="shared" si="18"/>
        <v>18.85422</v>
      </c>
      <c r="BQ14" s="308" t="e">
        <f t="shared" si="13"/>
        <v>#N/A</v>
      </c>
      <c r="BR14" s="315"/>
      <c r="BS14" s="316"/>
      <c r="BT14" s="311">
        <v>10</v>
      </c>
    </row>
    <row r="15" spans="1:72">
      <c r="A15" s="104">
        <v>11</v>
      </c>
      <c r="B15" s="98" t="str" cm="1">
        <f t="array" ref="B15">INDEX(Table_Household_Alloc[Owner],MATCH(1,(Table_Household_Alloc[Lot]=A15)*(Table_Household_Alloc[cluster]=$B$1),0))</f>
        <v>Levi Holden</v>
      </c>
      <c r="C15" s="99" cm="1">
        <f t="array" ref="C15">INDEX(Reading_import[Meter'#],MATCH(1,(Table_Household_Alloc[Lot]=A15)*(Table_Household_Alloc[cluster]=$B$1),0))</f>
        <v>50002848</v>
      </c>
      <c r="D15" s="100" cm="1">
        <f t="array" ref="D15">INDEX(Table_Household_Alloc[UE % over Cluster],MATCH(1,(Table_Household_Alloc[Lot]=A15)*(Table_Household_Alloc[cluster]=$B$1),0))</f>
        <v>0.052</v>
      </c>
      <c r="E15" s="101" t="str" cm="1">
        <f t="array" ref="E15">INDEX(Table_Household_Alloc[Stage of Dev.],MATCH(1,(Table_Household_Alloc[Lot]=A15)*(Table_Household_Alloc[cluster]=$B$1),0))</f>
        <v>O</v>
      </c>
      <c r="F15" s="102" cm="1">
        <f t="array" ref="F15">INDEX(Amanda_energy[Daily_Supply_incl_GST],MATCH(1,(Amanda_energy[Cluster]=$B$1)*(Amanda_energy[Month]=$F$2),0))/MAX($A:$A)</f>
        <v>8.11904761904762</v>
      </c>
      <c r="G15" s="103" cm="1">
        <f t="array" ref="G15">INDEX(Amanda_energy[Daily_Supply_incl_GST],MATCH(1,(Amanda_energy[Cluster]=$B$1)*(Amanda_energy[Month]=$G$2),0))/MAX($A:$A)</f>
        <v>7.33333333333333</v>
      </c>
      <c r="H15" s="103" t="e" cm="1">
        <f t="array" ref="H15">INDEX(Amanda_energy[Daily_Supply_incl_GST],MATCH(1,(Amanda_energy[Cluster]=$B$1)*(Amanda_energy[Month]=$H$2),0))/MAX($A:$A)</f>
        <v>#N/A</v>
      </c>
      <c r="I15" s="103" t="e">
        <f t="shared" si="1"/>
        <v>#N/A</v>
      </c>
      <c r="J15" s="172">
        <f>'Tariff Rates'!$B$8*$J$3</f>
        <v>13.5616438356164</v>
      </c>
      <c r="K15" s="172">
        <f>'Tariff Rates'!$C$8*Table1[[#This Row],[Percentage of Unit Entitlement (%)]]*'Energy billing Mastersheet'!$K$3</f>
        <v>11.0012054794521</v>
      </c>
      <c r="L15" s="172">
        <f>$L$3*'Tariff Rates'!$D$8*IF(Table1[[#This Row],[Stage of Dev.]]="V",0,1)</f>
        <v>19.8</v>
      </c>
      <c r="M15" s="173">
        <v>1.1</v>
      </c>
      <c r="N15" s="174" t="e">
        <f t="shared" si="2"/>
        <v>#N/A</v>
      </c>
      <c r="O15" s="175" cm="1">
        <f t="array" ref="O15">INDEX(Reading_import[1/1/2025],MATCH(1,(Reading_import[Lot]=A15)*(Reading_import[cluster]=$B$1),0))</f>
        <v>1173</v>
      </c>
      <c r="P15" s="176" cm="1">
        <f t="array" ref="P15">INDEX(Reading_import[1/3/2025],MATCH(1,(Reading_import[Lot]=A15)*(Reading_import[cluster]=$B$1),0))</f>
        <v>1194</v>
      </c>
      <c r="Q15" s="195">
        <f>Table1[[#This Row],[Last day of reporting period: import]]-Table1[[#This Row],[1st day of reporting period: import]]</f>
        <v>21</v>
      </c>
      <c r="R15" s="196">
        <f t="shared" si="3"/>
        <v>0.233333333333333</v>
      </c>
      <c r="S15" s="197">
        <f t="shared" si="4"/>
        <v>0.00386029411764706</v>
      </c>
      <c r="T15" s="198">
        <f>IF(Table1[[#This Row],[Stage of Dev.]]="V",0,233*Table1[[#This Row],[Percentage of Unit Entitlement (%)]])</f>
        <v>12.116</v>
      </c>
      <c r="U15" s="199">
        <f t="shared" si="5"/>
        <v>0.233333333333333</v>
      </c>
      <c r="V15" s="199">
        <f>Table1[[#This Row],[Daily Battery allowance based on UE% (kWh)]]-Table1[[#This Row],[Applicable Battery Allowance Daily Consumption (kWh)]]</f>
        <v>11.8826666666667</v>
      </c>
      <c r="W15" s="200">
        <f>Table1[[#This Row],[Unused Daily Allowance (kWh)]]/$V$32</f>
        <v>0.0842141735011674</v>
      </c>
      <c r="X15" s="199">
        <f>IF(Table1[[#This Row],[Applicable Battery Allowance Daily Consumption (kWh)]]&gt;Table1[[#This Row],[Total Daily Average Consumptio for Billing Period (kWh)]],Table1[[#This Row],[Total Consumption Import  (kWh)]],U15*$N$3)</f>
        <v>21</v>
      </c>
      <c r="Y15" s="215">
        <f>IF(Table1[[#This Row],[Applicable Battery Allowance Daily Consumption (kWh)]]&gt;0,ABS(Q15-X15),0)</f>
        <v>0</v>
      </c>
      <c r="Z15" s="216">
        <f>IFERROR(Table1[[#This Row],[Energy Exceeding Battery Allowance (kWh)]]/$Y$32,0)</f>
        <v>0</v>
      </c>
      <c r="AA15" s="217" t="e">
        <f t="shared" si="6"/>
        <v>#N/A</v>
      </c>
      <c r="AB15" s="218">
        <f>IFERROR(Table1[[#This Row],[Total Cluster Energy Balance for P2P Trading (kWh)]]*Table1[[#This Row],[Energy Exceeding Battery Allowance %]],0)</f>
        <v>0</v>
      </c>
      <c r="AC15" s="219">
        <f>Table1[[#This Row],[P2P Import Consumption within Battery Allowance(kWh)]]+Table1[[#This Row],[P2P Import Consumption over Battery Allowance based on Energy Exceeding Allowance % (kWh)]]</f>
        <v>21</v>
      </c>
      <c r="AD15" s="219">
        <f>Table1[[#This Row],[Total Consumption Import  (kWh)]]-Table1[[#This Row],[Total P2P import (kWh)]]</f>
        <v>0</v>
      </c>
      <c r="AE15" s="220">
        <f>IFERROR(Table1[[#This Row],[Total P2P import (kWh)]]/$AC$32,0)</f>
        <v>0.00386029411764706</v>
      </c>
      <c r="AF15" s="221">
        <f t="shared" si="7"/>
        <v>1474</v>
      </c>
      <c r="AG15" s="221">
        <f t="shared" si="8"/>
        <v>5.69007352941177</v>
      </c>
      <c r="AH15" s="232">
        <f t="shared" si="9"/>
        <v>458</v>
      </c>
      <c r="AI15" s="232">
        <f>Table1[[#This Row],[Cluster''s Total Common Services (kWh)]]*Table1[[#This Row],[Percentage of Unit Entitlement (%)]]</f>
        <v>23.816</v>
      </c>
      <c r="AJ15" s="233">
        <f>AG15*'Tariff Rates'!$B$3</f>
        <v>1.25181617647059</v>
      </c>
      <c r="AK15" s="233">
        <f>Table1[[#This Row],[Common Services based on Split per Unit Entitlement % to battery (kWh)]]*'Tariff Rates'!$B$3</f>
        <v>5.23952</v>
      </c>
      <c r="AL15" s="234">
        <f>Table1[[#This Row],[Total P2P import (kWh)]]*IF(Table1[[#This Row],[Total Lot Export (kWh)]]=0,'Tariff Rates'!$B$3,'Tariff Rates'!$L$3)</f>
        <v>7.56</v>
      </c>
      <c r="AM15" s="235">
        <f>Table1[[#This Row],[P2P Import Consumption over Battery Allowance based on Energy Exceeding Allowance % (kWh)]]*'Tariff Rates'!$J$3</f>
        <v>0</v>
      </c>
      <c r="AN15" s="236">
        <f>Table1[[#This Row],[Energy Import from Grid (kWh)]]*'Tariff Rates'!$E$3</f>
        <v>0</v>
      </c>
      <c r="AO15" s="256">
        <f t="shared" si="14"/>
        <v>14.0513361764706</v>
      </c>
      <c r="AP15" s="257" cm="1">
        <f t="array" ref="AP15">INDEX(Reading_export[1/1/2025],MATCH(1,(Reading_export[Lot]=A15)*(Reading_export[cluster]=$B$1),0))</f>
        <v>22593</v>
      </c>
      <c r="AQ15" s="257" cm="1">
        <f t="array" ref="AQ15">INDEX(Reading_export[1/3/2025],MATCH(1,(Reading_export[Lot]=A15)*(Reading_export[cluster]=$B$1),0))</f>
        <v>24391</v>
      </c>
      <c r="AR15" s="258">
        <f>Table1[[#This Row],[Last day of reporting period: export]]-Table1[[#This Row],[1st day of reporting period: export]]</f>
        <v>1798</v>
      </c>
      <c r="AS15" s="259">
        <f t="shared" si="10"/>
        <v>0.067062026780053</v>
      </c>
      <c r="AT15" s="260">
        <f>Table1[[#This Row],[Percentage of Total export for Billing Period (%)]]*$AC$32</f>
        <v>364.817425683488</v>
      </c>
      <c r="AU15" s="260" t="e">
        <f t="shared" si="11"/>
        <v>#N/A</v>
      </c>
      <c r="AV15" s="261">
        <f>IFERROR(Table1[[#This Row],[Total Cluster Energy Balance for P2P Trading (kWh)2]]*Table1[[#This Row],[Unused Daily Allowance %]],0)</f>
        <v>0</v>
      </c>
      <c r="AW15" s="260">
        <f t="shared" si="12"/>
        <v>98.8494274737981</v>
      </c>
      <c r="AX15" s="261">
        <f>Table1[[#This Row],[Cluster''s Total Common Services (kWh)]]*Table1[[#This Row],[Percentage of Total export for Billing Period (%)]]</f>
        <v>30.7144082652643</v>
      </c>
      <c r="AY15" s="261">
        <f>$Q$27*Table1[[#This Row],[Percentage of Total export for Billing Period (%)]]</f>
        <v>108.439297303346</v>
      </c>
      <c r="AZ15" s="26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1195.1794412741</v>
      </c>
      <c r="BA15" s="261">
        <f t="shared" si="15"/>
        <v>0</v>
      </c>
      <c r="BB15" s="261">
        <f>Table1[[#This Row],[Energy Losses When Export to Grid (kWh)]]*Table1[[#This Row],[Percentage of Total export for Billing Period (%)]]</f>
        <v>0</v>
      </c>
      <c r="BC15" s="261">
        <f>Table1[[#This Row],[Therotical Energy Export to Grid (kWh)]]-Table1[[#This Row],[Energy Losses When Export to Grid based up % total export (kWh)]]</f>
        <v>1195.1794412741</v>
      </c>
      <c r="BD15" s="274">
        <f>AW15*'Tariff Rates'!$C$3</f>
        <v>-21.7468740442356</v>
      </c>
      <c r="BE15" s="274">
        <f>Table1[[#This Row],[Common Service based upon % total export to battery (kWh)]]*'Tariff Rates'!$C$3</f>
        <v>-6.75716981835814</v>
      </c>
      <c r="BF15" s="274">
        <f>Table1[[#This Row],[EV Charger based upon % total export to battery (kWh)]]*'Tariff Rates'!$C$3</f>
        <v>-23.856645406736</v>
      </c>
      <c r="BG15" s="286">
        <f>AT15*'Tariff Rates'!$C$3</f>
        <v>-80.2598336503674</v>
      </c>
      <c r="BH15" s="286">
        <f>Table1[[#This Row],[Borrowed Allowance Based on Unused Daily Allowance % (kWh)]]*'Tariff Rates'!$K$3</f>
        <v>0</v>
      </c>
      <c r="BI15" s="286">
        <f>BC15*'Tariff Rates'!$F$3</f>
        <v>-46.014408489053</v>
      </c>
      <c r="BJ15" s="286">
        <f t="shared" si="19"/>
        <v>-178.63493140875</v>
      </c>
      <c r="BK15" s="287">
        <f>$D$45*Table1[[#This Row],[Percentage of Unit Entitlement (%)]]</f>
        <v>0</v>
      </c>
      <c r="BL15" s="288">
        <f>BK15*'Tariff Rates'!$H$3</f>
        <v>0</v>
      </c>
      <c r="BM15" s="288">
        <f>($Q$27)*Table1[[#This Row],[Percentage of Unit Entitlement (%)]]*'Tariff Rates'!$B$3</f>
        <v>18.49848</v>
      </c>
      <c r="BN15" s="288">
        <f t="shared" si="16"/>
        <v>18.49848</v>
      </c>
      <c r="BO15" s="288">
        <f t="shared" si="17"/>
        <v>0</v>
      </c>
      <c r="BP15" s="307">
        <f t="shared" si="18"/>
        <v>18.49848</v>
      </c>
      <c r="BQ15" s="308" t="e">
        <f t="shared" si="13"/>
        <v>#N/A</v>
      </c>
      <c r="BR15" s="312"/>
      <c r="BS15" s="313"/>
      <c r="BT15" s="314">
        <v>11</v>
      </c>
    </row>
    <row r="16" spans="1:72">
      <c r="A16" s="97">
        <v>12</v>
      </c>
      <c r="B16" s="98" t="str" cm="1">
        <f t="array" ref="B16">INDEX(Table_Household_Alloc[Owner],MATCH(1,(Table_Household_Alloc[Lot]=A16)*(Table_Household_Alloc[cluster]=$B$1),0))</f>
        <v>Matt &amp; Kate Shaw</v>
      </c>
      <c r="C16" s="99" cm="1">
        <f t="array" ref="C16">INDEX(Reading_import[Meter'#],MATCH(1,(Table_Household_Alloc[Lot]=A16)*(Table_Household_Alloc[cluster]=$B$1),0))</f>
        <v>50002847</v>
      </c>
      <c r="D16" s="100" cm="1">
        <f t="array" ref="D16">INDEX(Table_Household_Alloc[UE % over Cluster],MATCH(1,(Table_Household_Alloc[Lot]=A16)*(Table_Household_Alloc[cluster]=$B$1),0))</f>
        <v>0.052</v>
      </c>
      <c r="E16" s="101" t="str" cm="1">
        <f t="array" ref="E16">INDEX(Table_Household_Alloc[Stage of Dev.],MATCH(1,(Table_Household_Alloc[Lot]=A16)*(Table_Household_Alloc[cluster]=$B$1),0))</f>
        <v>UC</v>
      </c>
      <c r="F16" s="102" cm="1">
        <f t="array" ref="F16">INDEX(Amanda_energy[Daily_Supply_incl_GST],MATCH(1,(Amanda_energy[Cluster]=$B$1)*(Amanda_energy[Month]=$F$2),0))/MAX($A:$A)</f>
        <v>8.11904761904762</v>
      </c>
      <c r="G16" s="103" cm="1">
        <f t="array" ref="G16">INDEX(Amanda_energy[Daily_Supply_incl_GST],MATCH(1,(Amanda_energy[Cluster]=$B$1)*(Amanda_energy[Month]=$G$2),0))/MAX($A:$A)</f>
        <v>7.33333333333333</v>
      </c>
      <c r="H16" s="103" t="e" cm="1">
        <f t="array" ref="H16">INDEX(Amanda_energy[Daily_Supply_incl_GST],MATCH(1,(Amanda_energy[Cluster]=$B$1)*(Amanda_energy[Month]=$H$2),0))/MAX($A:$A)</f>
        <v>#N/A</v>
      </c>
      <c r="I16" s="103" t="e">
        <f t="shared" si="1"/>
        <v>#N/A</v>
      </c>
      <c r="J16" s="172">
        <f>'Tariff Rates'!$B$8*$J$3</f>
        <v>13.5616438356164</v>
      </c>
      <c r="K16" s="172">
        <f>'Tariff Rates'!$C$8*Table1[[#This Row],[Percentage of Unit Entitlement (%)]]*'Energy billing Mastersheet'!$K$3</f>
        <v>11.0012054794521</v>
      </c>
      <c r="L16" s="172">
        <f>$L$3*'Tariff Rates'!$D$8*IF(Table1[[#This Row],[Stage of Dev.]]="V",0,1)</f>
        <v>19.8</v>
      </c>
      <c r="M16" s="173">
        <v>1.1</v>
      </c>
      <c r="N16" s="174" t="e">
        <f t="shared" si="2"/>
        <v>#N/A</v>
      </c>
      <c r="O16" s="175" cm="1">
        <f t="array" ref="O16">INDEX(Reading_import[1/1/2025],MATCH(1,(Reading_import[Lot]=A16)*(Reading_import[cluster]=$B$1),0))</f>
        <v>34</v>
      </c>
      <c r="P16" s="176" cm="1">
        <f t="array" ref="P16">INDEX(Reading_import[1/3/2025],MATCH(1,(Reading_import[Lot]=A16)*(Reading_import[cluster]=$B$1),0))</f>
        <v>42</v>
      </c>
      <c r="Q16" s="195">
        <f>Table1[[#This Row],[Last day of reporting period: import]]-Table1[[#This Row],[1st day of reporting period: import]]</f>
        <v>8</v>
      </c>
      <c r="R16" s="196">
        <f t="shared" si="3"/>
        <v>0.0888888888888889</v>
      </c>
      <c r="S16" s="197">
        <f t="shared" si="4"/>
        <v>0.00147058823529412</v>
      </c>
      <c r="T16" s="198">
        <f>IF(Table1[[#This Row],[Stage of Dev.]]="V",0,233*Table1[[#This Row],[Percentage of Unit Entitlement (%)]])</f>
        <v>12.116</v>
      </c>
      <c r="U16" s="199">
        <f t="shared" si="5"/>
        <v>0.0888888888888889</v>
      </c>
      <c r="V16" s="199">
        <f>Table1[[#This Row],[Daily Battery allowance based on UE% (kWh)]]-Table1[[#This Row],[Applicable Battery Allowance Daily Consumption (kWh)]]</f>
        <v>12.0271111111111</v>
      </c>
      <c r="W16" s="200">
        <f>Table1[[#This Row],[Unused Daily Allowance (kWh)]]/$V$32</f>
        <v>0.0852378721242928</v>
      </c>
      <c r="X16" s="199">
        <f>IF(Table1[[#This Row],[Applicable Battery Allowance Daily Consumption (kWh)]]&gt;Table1[[#This Row],[Total Daily Average Consumptio for Billing Period (kWh)]],Table1[[#This Row],[Total Consumption Import  (kWh)]],U16*$N$3)</f>
        <v>8</v>
      </c>
      <c r="Y16" s="215">
        <f>IF(Table1[[#This Row],[Applicable Battery Allowance Daily Consumption (kWh)]]&gt;0,ABS(Q16-X16),0)</f>
        <v>0</v>
      </c>
      <c r="Z16" s="216">
        <f>IFERROR(Table1[[#This Row],[Energy Exceeding Battery Allowance (kWh)]]/$Y$32,0)</f>
        <v>0</v>
      </c>
      <c r="AA16" s="217" t="e">
        <f t="shared" si="6"/>
        <v>#N/A</v>
      </c>
      <c r="AB16" s="218">
        <f>IFERROR(Table1[[#This Row],[Total Cluster Energy Balance for P2P Trading (kWh)]]*Table1[[#This Row],[Energy Exceeding Battery Allowance %]],0)</f>
        <v>0</v>
      </c>
      <c r="AC16" s="219">
        <f>Table1[[#This Row],[P2P Import Consumption within Battery Allowance(kWh)]]+Table1[[#This Row],[P2P Import Consumption over Battery Allowance based on Energy Exceeding Allowance % (kWh)]]</f>
        <v>8</v>
      </c>
      <c r="AD16" s="219">
        <f>Table1[[#This Row],[Total Consumption Import  (kWh)]]-Table1[[#This Row],[Total P2P import (kWh)]]</f>
        <v>0</v>
      </c>
      <c r="AE16" s="220">
        <f>IFERROR(Table1[[#This Row],[Total P2P import (kWh)]]/$AC$32,0)</f>
        <v>0.00147058823529412</v>
      </c>
      <c r="AF16" s="221">
        <f t="shared" si="7"/>
        <v>1474</v>
      </c>
      <c r="AG16" s="221">
        <f t="shared" si="8"/>
        <v>2.16764705882353</v>
      </c>
      <c r="AH16" s="232">
        <f t="shared" si="9"/>
        <v>458</v>
      </c>
      <c r="AI16" s="232">
        <f>Table1[[#This Row],[Cluster''s Total Common Services (kWh)]]*Table1[[#This Row],[Percentage of Unit Entitlement (%)]]</f>
        <v>23.816</v>
      </c>
      <c r="AJ16" s="233">
        <f>AG16*'Tariff Rates'!$B$3</f>
        <v>0.476882352941176</v>
      </c>
      <c r="AK16" s="233">
        <f>Table1[[#This Row],[Common Services based on Split per Unit Entitlement % to battery (kWh)]]*'Tariff Rates'!$B$3</f>
        <v>5.23952</v>
      </c>
      <c r="AL16" s="234">
        <f>Table1[[#This Row],[Total P2P import (kWh)]]*IF(Table1[[#This Row],[Total Lot Export (kWh)]]=0,'Tariff Rates'!$B$3,'Tariff Rates'!$L$3)</f>
        <v>1.76</v>
      </c>
      <c r="AM16" s="235">
        <f>Table1[[#This Row],[P2P Import Consumption over Battery Allowance based on Energy Exceeding Allowance % (kWh)]]*'Tariff Rates'!$J$3</f>
        <v>0</v>
      </c>
      <c r="AN16" s="236">
        <f>Table1[[#This Row],[Energy Import from Grid (kWh)]]*'Tariff Rates'!$E$3</f>
        <v>0</v>
      </c>
      <c r="AO16" s="256">
        <f t="shared" si="14"/>
        <v>7.47640235294118</v>
      </c>
      <c r="AP16" s="257" cm="1">
        <f t="array" ref="AP16">INDEX(Reading_export[1/1/2025],MATCH(1,(Reading_export[Lot]=A16)*(Reading_export[cluster]=$B$1),0))</f>
        <v>0</v>
      </c>
      <c r="AQ16" s="257" cm="1">
        <f t="array" ref="AQ16">INDEX(Reading_export[1/3/2025],MATCH(1,(Reading_export[Lot]=A16)*(Reading_export[cluster]=$B$1),0))</f>
        <v>0</v>
      </c>
      <c r="AR16" s="258">
        <f>Table1[[#This Row],[Last day of reporting period: export]]-Table1[[#This Row],[1st day of reporting period: export]]</f>
        <v>0</v>
      </c>
      <c r="AS16" s="259">
        <f t="shared" si="10"/>
        <v>0</v>
      </c>
      <c r="AT16" s="260">
        <f>Table1[[#This Row],[Percentage of Total export for Billing Period (%)]]*$AC$32</f>
        <v>0</v>
      </c>
      <c r="AU16" s="260" t="e">
        <f t="shared" si="11"/>
        <v>#N/A</v>
      </c>
      <c r="AV16" s="261">
        <f>IFERROR(Table1[[#This Row],[Total Cluster Energy Balance for P2P Trading (kWh)2]]*Table1[[#This Row],[Unused Daily Allowance %]],0)</f>
        <v>0</v>
      </c>
      <c r="AW16" s="260">
        <f t="shared" si="12"/>
        <v>0</v>
      </c>
      <c r="AX16" s="261">
        <f>Table1[[#This Row],[Cluster''s Total Common Services (kWh)]]*Table1[[#This Row],[Percentage of Total export for Billing Period (%)]]</f>
        <v>0</v>
      </c>
      <c r="AY16" s="261">
        <f>$Q$27*Table1[[#This Row],[Percentage of Total export for Billing Period (%)]]</f>
        <v>0</v>
      </c>
      <c r="AZ16" s="26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16" s="261">
        <f t="shared" si="15"/>
        <v>0</v>
      </c>
      <c r="BB16" s="261">
        <f>Table1[[#This Row],[Energy Losses When Export to Grid (kWh)]]*Table1[[#This Row],[Percentage of Total export for Billing Period (%)]]</f>
        <v>0</v>
      </c>
      <c r="BC16" s="261">
        <f>Table1[[#This Row],[Therotical Energy Export to Grid (kWh)]]-Table1[[#This Row],[Energy Losses When Export to Grid based up % total export (kWh)]]</f>
        <v>0</v>
      </c>
      <c r="BD16" s="274">
        <f>AW16*'Tariff Rates'!$C$3</f>
        <v>0</v>
      </c>
      <c r="BE16" s="274">
        <f>Table1[[#This Row],[Common Service based upon % total export to battery (kWh)]]*'Tariff Rates'!$C$3</f>
        <v>0</v>
      </c>
      <c r="BF16" s="274">
        <f>Table1[[#This Row],[EV Charger based upon % total export to battery (kWh)]]*'Tariff Rates'!$C$3</f>
        <v>0</v>
      </c>
      <c r="BG16" s="286">
        <f>AT16*'Tariff Rates'!$C$3</f>
        <v>0</v>
      </c>
      <c r="BH16" s="286">
        <f>Table1[[#This Row],[Borrowed Allowance Based on Unused Daily Allowance % (kWh)]]*'Tariff Rates'!$K$3</f>
        <v>0</v>
      </c>
      <c r="BI16" s="286">
        <f>BC16*'Tariff Rates'!$F$3</f>
        <v>0</v>
      </c>
      <c r="BJ16" s="286">
        <f t="shared" si="19"/>
        <v>0</v>
      </c>
      <c r="BK16" s="287">
        <f>$D$45*Table1[[#This Row],[Percentage of Unit Entitlement (%)]]</f>
        <v>0</v>
      </c>
      <c r="BL16" s="288">
        <f>BK16*'Tariff Rates'!$H$3</f>
        <v>0</v>
      </c>
      <c r="BM16" s="288">
        <f>($Q$27)*Table1[[#This Row],[Percentage of Unit Entitlement (%)]]*'Tariff Rates'!$B$3</f>
        <v>18.49848</v>
      </c>
      <c r="BN16" s="288">
        <f t="shared" si="16"/>
        <v>18.49848</v>
      </c>
      <c r="BO16" s="288">
        <f t="shared" si="17"/>
        <v>0</v>
      </c>
      <c r="BP16" s="307">
        <f t="shared" si="18"/>
        <v>18.49848</v>
      </c>
      <c r="BQ16" s="308" t="e">
        <f t="shared" si="13"/>
        <v>#N/A</v>
      </c>
      <c r="BR16" s="315"/>
      <c r="BS16" s="316"/>
      <c r="BT16" s="311">
        <v>12</v>
      </c>
    </row>
    <row r="17" spans="1:72">
      <c r="A17" s="104">
        <v>13</v>
      </c>
      <c r="B17" s="98" t="str" cm="1">
        <f t="array" ref="B17">INDEX(Table_Household_Alloc[Owner],MATCH(1,(Table_Household_Alloc[Lot]=A17)*(Table_Household_Alloc[cluster]=$B$1),0))</f>
        <v>Peter Froehlich &amp; Lydia Walzel</v>
      </c>
      <c r="C17" s="99" cm="1">
        <f t="array" ref="C17">INDEX(Reading_import[Meter'#],MATCH(1,(Table_Household_Alloc[Lot]=A17)*(Table_Household_Alloc[cluster]=$B$1),0))</f>
        <v>50002739</v>
      </c>
      <c r="D17" s="100" cm="1">
        <f t="array" ref="D17">INDEX(Table_Household_Alloc[UE % over Cluster],MATCH(1,(Table_Household_Alloc[Lot]=A17)*(Table_Household_Alloc[cluster]=$B$1),0))</f>
        <v>0.052</v>
      </c>
      <c r="E17" s="101" t="str" cm="1">
        <f t="array" ref="E17">INDEX(Table_Household_Alloc[Stage of Dev.],MATCH(1,(Table_Household_Alloc[Lot]=A17)*(Table_Household_Alloc[cluster]=$B$1),0))</f>
        <v>O</v>
      </c>
      <c r="F17" s="102" cm="1">
        <f t="array" ref="F17">INDEX(Amanda_energy[Daily_Supply_incl_GST],MATCH(1,(Amanda_energy[Cluster]=$B$1)*(Amanda_energy[Month]=$F$2),0))/MAX($A:$A)</f>
        <v>8.11904761904762</v>
      </c>
      <c r="G17" s="103" cm="1">
        <f t="array" ref="G17">INDEX(Amanda_energy[Daily_Supply_incl_GST],MATCH(1,(Amanda_energy[Cluster]=$B$1)*(Amanda_energy[Month]=$G$2),0))/MAX($A:$A)</f>
        <v>7.33333333333333</v>
      </c>
      <c r="H17" s="103" t="e" cm="1">
        <f t="array" ref="H17">INDEX(Amanda_energy[Daily_Supply_incl_GST],MATCH(1,(Amanda_energy[Cluster]=$B$1)*(Amanda_energy[Month]=$H$2),0))/MAX($A:$A)</f>
        <v>#N/A</v>
      </c>
      <c r="I17" s="103" t="e">
        <f t="shared" si="1"/>
        <v>#N/A</v>
      </c>
      <c r="J17" s="172">
        <f>'Tariff Rates'!$B$8*$J$3</f>
        <v>13.5616438356164</v>
      </c>
      <c r="K17" s="172">
        <f>'Tariff Rates'!$C$8*Table1[[#This Row],[Percentage of Unit Entitlement (%)]]*'Energy billing Mastersheet'!$K$3</f>
        <v>11.0012054794521</v>
      </c>
      <c r="L17" s="172">
        <f>$L$3*'Tariff Rates'!$D$8*IF(Table1[[#This Row],[Stage of Dev.]]="V",0,1)</f>
        <v>19.8</v>
      </c>
      <c r="M17" s="173">
        <v>1.1</v>
      </c>
      <c r="N17" s="174" t="e">
        <f t="shared" si="2"/>
        <v>#N/A</v>
      </c>
      <c r="O17" s="175" cm="1">
        <f t="array" ref="O17">INDEX(Reading_import[1/1/2025],MATCH(1,(Reading_import[Lot]=A17)*(Reading_import[cluster]=$B$1),0))</f>
        <v>5168</v>
      </c>
      <c r="P17" s="176" cm="1">
        <f t="array" ref="P17">INDEX(Reading_import[1/3/2025],MATCH(1,(Reading_import[Lot]=A17)*(Reading_import[cluster]=$B$1),0))</f>
        <v>5392</v>
      </c>
      <c r="Q17" s="195">
        <f>Table1[[#This Row],[Last day of reporting period: import]]-Table1[[#This Row],[1st day of reporting period: import]]</f>
        <v>224</v>
      </c>
      <c r="R17" s="196">
        <f t="shared" si="3"/>
        <v>2.48888888888889</v>
      </c>
      <c r="S17" s="197">
        <f t="shared" si="4"/>
        <v>0.0411764705882353</v>
      </c>
      <c r="T17" s="198">
        <f>IF(Table1[[#This Row],[Stage of Dev.]]="V",0,233*Table1[[#This Row],[Percentage of Unit Entitlement (%)]])</f>
        <v>12.116</v>
      </c>
      <c r="U17" s="199">
        <f t="shared" si="5"/>
        <v>2.48888888888889</v>
      </c>
      <c r="V17" s="199">
        <f>Table1[[#This Row],[Daily Battery allowance based on UE% (kWh)]]-Table1[[#This Row],[Applicable Battery Allowance Daily Consumption (kWh)]]</f>
        <v>9.62711111111111</v>
      </c>
      <c r="W17" s="200">
        <f>Table1[[#This Row],[Unused Daily Allowance (kWh)]]/$V$32</f>
        <v>0.0682287257708254</v>
      </c>
      <c r="X17" s="199">
        <f>IF(Table1[[#This Row],[Applicable Battery Allowance Daily Consumption (kWh)]]&gt;Table1[[#This Row],[Total Daily Average Consumptio for Billing Period (kWh)]],Table1[[#This Row],[Total Consumption Import  (kWh)]],U17*$N$3)</f>
        <v>224</v>
      </c>
      <c r="Y17" s="215">
        <f>IF(Table1[[#This Row],[Applicable Battery Allowance Daily Consumption (kWh)]]&gt;0,ABS(Q17-X17),0)</f>
        <v>0</v>
      </c>
      <c r="Z17" s="216">
        <f>IFERROR(Table1[[#This Row],[Energy Exceeding Battery Allowance (kWh)]]/$Y$32,0)</f>
        <v>0</v>
      </c>
      <c r="AA17" s="217" t="e">
        <f t="shared" si="6"/>
        <v>#N/A</v>
      </c>
      <c r="AB17" s="218">
        <f>IFERROR(Table1[[#This Row],[Total Cluster Energy Balance for P2P Trading (kWh)]]*Table1[[#This Row],[Energy Exceeding Battery Allowance %]],0)</f>
        <v>0</v>
      </c>
      <c r="AC17" s="219">
        <f>Table1[[#This Row],[P2P Import Consumption within Battery Allowance(kWh)]]+Table1[[#This Row],[P2P Import Consumption over Battery Allowance based on Energy Exceeding Allowance % (kWh)]]</f>
        <v>224</v>
      </c>
      <c r="AD17" s="219">
        <f>Table1[[#This Row],[Total Consumption Import  (kWh)]]-Table1[[#This Row],[Total P2P import (kWh)]]</f>
        <v>0</v>
      </c>
      <c r="AE17" s="220">
        <f>IFERROR(Table1[[#This Row],[Total P2P import (kWh)]]/$AC$32,0)</f>
        <v>0.0411764705882353</v>
      </c>
      <c r="AF17" s="221">
        <f t="shared" si="7"/>
        <v>1474</v>
      </c>
      <c r="AG17" s="221">
        <f t="shared" si="8"/>
        <v>60.6941176470588</v>
      </c>
      <c r="AH17" s="232">
        <f t="shared" si="9"/>
        <v>458</v>
      </c>
      <c r="AI17" s="232">
        <f>Table1[[#This Row],[Cluster''s Total Common Services (kWh)]]*Table1[[#This Row],[Percentage of Unit Entitlement (%)]]</f>
        <v>23.816</v>
      </c>
      <c r="AJ17" s="233">
        <f>AG17*'Tariff Rates'!$B$3</f>
        <v>13.3527058823529</v>
      </c>
      <c r="AK17" s="233">
        <f>Table1[[#This Row],[Common Services based on Split per Unit Entitlement % to battery (kWh)]]*'Tariff Rates'!$B$3</f>
        <v>5.23952</v>
      </c>
      <c r="AL17" s="234">
        <f>Table1[[#This Row],[Total P2P import (kWh)]]*IF(Table1[[#This Row],[Total Lot Export (kWh)]]=0,'Tariff Rates'!$B$3,'Tariff Rates'!$L$3)</f>
        <v>80.64</v>
      </c>
      <c r="AM17" s="235">
        <f>Table1[[#This Row],[P2P Import Consumption over Battery Allowance based on Energy Exceeding Allowance % (kWh)]]*'Tariff Rates'!$J$3</f>
        <v>0</v>
      </c>
      <c r="AN17" s="236">
        <f>Table1[[#This Row],[Energy Import from Grid (kWh)]]*'Tariff Rates'!$E$3</f>
        <v>0</v>
      </c>
      <c r="AO17" s="256">
        <f t="shared" si="14"/>
        <v>99.2322258823529</v>
      </c>
      <c r="AP17" s="257" cm="1">
        <f t="array" ref="AP17">INDEX(Reading_export[1/1/2025],MATCH(1,(Reading_export[Lot]=A17)*(Reading_export[cluster]=$B$1),0))</f>
        <v>41072</v>
      </c>
      <c r="AQ17" s="257" cm="1">
        <f t="array" ref="AQ17">INDEX(Reading_export[1/3/2025],MATCH(1,(Reading_export[Lot]=A17)*(Reading_export[cluster]=$B$1),0))</f>
        <v>44319</v>
      </c>
      <c r="AR17" s="258">
        <f>Table1[[#This Row],[Last day of reporting period: export]]-Table1[[#This Row],[1st day of reporting period: export]]</f>
        <v>3247</v>
      </c>
      <c r="AS17" s="259">
        <f t="shared" si="10"/>
        <v>0.121107008317482</v>
      </c>
      <c r="AT17" s="260">
        <f>Table1[[#This Row],[Percentage of Total export for Billing Period (%)]]*$AC$32</f>
        <v>658.8221252471</v>
      </c>
      <c r="AU17" s="260" t="e">
        <f t="shared" si="11"/>
        <v>#N/A</v>
      </c>
      <c r="AV17" s="261">
        <f>IFERROR(Table1[[#This Row],[Total Cluster Energy Balance for P2P Trading (kWh)2]]*Table1[[#This Row],[Unused Daily Allowance %]],0)</f>
        <v>0</v>
      </c>
      <c r="AW17" s="260">
        <f t="shared" si="12"/>
        <v>178.511730259968</v>
      </c>
      <c r="AX17" s="261">
        <f>Table1[[#This Row],[Cluster''s Total Common Services (kWh)]]*Table1[[#This Row],[Percentage of Total export for Billing Period (%)]]</f>
        <v>55.4670098094066</v>
      </c>
      <c r="AY17" s="261">
        <f>$Q$27*Table1[[#This Row],[Percentage of Total export for Billing Period (%)]]</f>
        <v>195.830032449368</v>
      </c>
      <c r="AZ17" s="26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2158.36910223416</v>
      </c>
      <c r="BA17" s="261">
        <f t="shared" si="15"/>
        <v>0</v>
      </c>
      <c r="BB17" s="261">
        <f>Table1[[#This Row],[Energy Losses When Export to Grid (kWh)]]*Table1[[#This Row],[Percentage of Total export for Billing Period (%)]]</f>
        <v>0</v>
      </c>
      <c r="BC17" s="261">
        <f>Table1[[#This Row],[Therotical Energy Export to Grid (kWh)]]-Table1[[#This Row],[Energy Losses When Export to Grid based up % total export (kWh)]]</f>
        <v>2158.36910223416</v>
      </c>
      <c r="BD17" s="274">
        <f>AW17*'Tariff Rates'!$C$3</f>
        <v>-39.2725806571929</v>
      </c>
      <c r="BE17" s="274">
        <f>Table1[[#This Row],[Common Service based upon % total export to battery (kWh)]]*'Tariff Rates'!$C$3</f>
        <v>-12.2027421580694</v>
      </c>
      <c r="BF17" s="274">
        <f>Table1[[#This Row],[EV Charger based upon % total export to battery (kWh)]]*'Tariff Rates'!$C$3</f>
        <v>-43.0826071388609</v>
      </c>
      <c r="BG17" s="286">
        <f>AT17*'Tariff Rates'!$C$3</f>
        <v>-144.940867554362</v>
      </c>
      <c r="BH17" s="286">
        <f>Table1[[#This Row],[Borrowed Allowance Based on Unused Daily Allowance % (kWh)]]*'Tariff Rates'!$K$3</f>
        <v>0</v>
      </c>
      <c r="BI17" s="286">
        <f>BC17*'Tariff Rates'!$F$3</f>
        <v>-83.0972104360151</v>
      </c>
      <c r="BJ17" s="286">
        <f t="shared" si="19"/>
        <v>-322.5960079445</v>
      </c>
      <c r="BK17" s="287">
        <f>$D$45*Table1[[#This Row],[Percentage of Unit Entitlement (%)]]</f>
        <v>0</v>
      </c>
      <c r="BL17" s="288">
        <f>BK17*'Tariff Rates'!$H$3</f>
        <v>0</v>
      </c>
      <c r="BM17" s="288">
        <f>($Q$27)*Table1[[#This Row],[Percentage of Unit Entitlement (%)]]*'Tariff Rates'!$B$3</f>
        <v>18.49848</v>
      </c>
      <c r="BN17" s="288">
        <f t="shared" si="16"/>
        <v>18.49848</v>
      </c>
      <c r="BO17" s="288">
        <f t="shared" si="17"/>
        <v>0</v>
      </c>
      <c r="BP17" s="307">
        <f t="shared" si="18"/>
        <v>18.49848</v>
      </c>
      <c r="BQ17" s="308" t="e">
        <f t="shared" si="13"/>
        <v>#N/A</v>
      </c>
      <c r="BR17" s="312"/>
      <c r="BS17" s="313"/>
      <c r="BT17" s="314">
        <v>13</v>
      </c>
    </row>
    <row r="18" spans="1:72">
      <c r="A18" s="97">
        <v>14</v>
      </c>
      <c r="B18" s="98" t="str" cm="1">
        <f t="array" ref="B18">INDEX(Table_Household_Alloc[Owner],MATCH(1,(Table_Household_Alloc[Lot]=A18)*(Table_Household_Alloc[cluster]=$B$1),0))</f>
        <v>Priscila Goncalves</v>
      </c>
      <c r="C18" s="99" cm="1">
        <f t="array" ref="C18">INDEX(Reading_import[Meter'#],MATCH(1,(Table_Household_Alloc[Lot]=A18)*(Table_Household_Alloc[cluster]=$B$1),0))</f>
        <v>50002709</v>
      </c>
      <c r="D18" s="100" cm="1">
        <f t="array" ref="D18">INDEX(Table_Household_Alloc[UE % over Cluster],MATCH(1,(Table_Household_Alloc[Lot]=A18)*(Table_Household_Alloc[cluster]=$B$1),0))</f>
        <v>0.052</v>
      </c>
      <c r="E18" s="101" t="str" cm="1">
        <f t="array" ref="E18">INDEX(Table_Household_Alloc[Stage of Dev.],MATCH(1,(Table_Household_Alloc[Lot]=A18)*(Table_Household_Alloc[cluster]=$B$1),0))</f>
        <v>UC</v>
      </c>
      <c r="F18" s="102" cm="1">
        <f t="array" ref="F18">INDEX(Amanda_energy[Daily_Supply_incl_GST],MATCH(1,(Amanda_energy[Cluster]=$B$1)*(Amanda_energy[Month]=$F$2),0))/MAX($A:$A)</f>
        <v>8.11904761904762</v>
      </c>
      <c r="G18" s="103" cm="1">
        <f t="array" ref="G18">INDEX(Amanda_energy[Daily_Supply_incl_GST],MATCH(1,(Amanda_energy[Cluster]=$B$1)*(Amanda_energy[Month]=$G$2),0))/MAX($A:$A)</f>
        <v>7.33333333333333</v>
      </c>
      <c r="H18" s="103" t="e" cm="1">
        <f t="array" ref="H18">INDEX(Amanda_energy[Daily_Supply_incl_GST],MATCH(1,(Amanda_energy[Cluster]=$B$1)*(Amanda_energy[Month]=$H$2),0))/MAX($A:$A)</f>
        <v>#N/A</v>
      </c>
      <c r="I18" s="103" t="e">
        <f t="shared" si="1"/>
        <v>#N/A</v>
      </c>
      <c r="J18" s="172">
        <f>'Tariff Rates'!$B$8*$J$3</f>
        <v>13.5616438356164</v>
      </c>
      <c r="K18" s="172">
        <f>'Tariff Rates'!$C$8*Table1[[#This Row],[Percentage of Unit Entitlement (%)]]*'Energy billing Mastersheet'!$K$3</f>
        <v>11.0012054794521</v>
      </c>
      <c r="L18" s="172">
        <f>$L$3*'Tariff Rates'!$D$8*IF(Table1[[#This Row],[Stage of Dev.]]="V",0,1)</f>
        <v>19.8</v>
      </c>
      <c r="M18" s="173">
        <v>1.1</v>
      </c>
      <c r="N18" s="174" t="e">
        <f t="shared" si="2"/>
        <v>#N/A</v>
      </c>
      <c r="O18" s="175" cm="1">
        <f t="array" ref="O18">INDEX(Reading_import[1/1/2025],MATCH(1,(Reading_import[Lot]=A18)*(Reading_import[cluster]=$B$1),0))</f>
        <v>213</v>
      </c>
      <c r="P18" s="176" cm="1">
        <f t="array" ref="P18">INDEX(Reading_import[1/3/2025],MATCH(1,(Reading_import[Lot]=A18)*(Reading_import[cluster]=$B$1),0))</f>
        <v>501</v>
      </c>
      <c r="Q18" s="195">
        <f>Table1[[#This Row],[Last day of reporting period: import]]-Table1[[#This Row],[1st day of reporting period: import]]</f>
        <v>288</v>
      </c>
      <c r="R18" s="196">
        <f t="shared" si="3"/>
        <v>3.2</v>
      </c>
      <c r="S18" s="197">
        <f t="shared" si="4"/>
        <v>0.0529411764705882</v>
      </c>
      <c r="T18" s="198">
        <f>IF(Table1[[#This Row],[Stage of Dev.]]="V",0,233*Table1[[#This Row],[Percentage of Unit Entitlement (%)]])</f>
        <v>12.116</v>
      </c>
      <c r="U18" s="199">
        <f t="shared" si="5"/>
        <v>3.2</v>
      </c>
      <c r="V18" s="199">
        <f>Table1[[#This Row],[Daily Battery allowance based on UE% (kWh)]]-Table1[[#This Row],[Applicable Battery Allowance Daily Consumption (kWh)]]</f>
        <v>8.916</v>
      </c>
      <c r="W18" s="200">
        <f>Table1[[#This Row],[Unused Daily Allowance (kWh)]]/$V$32</f>
        <v>0.0631889787031313</v>
      </c>
      <c r="X18" s="199">
        <f>IF(Table1[[#This Row],[Applicable Battery Allowance Daily Consumption (kWh)]]&gt;Table1[[#This Row],[Total Daily Average Consumptio for Billing Period (kWh)]],Table1[[#This Row],[Total Consumption Import  (kWh)]],U18*$N$3)</f>
        <v>288</v>
      </c>
      <c r="Y18" s="215">
        <f>IF(Table1[[#This Row],[Applicable Battery Allowance Daily Consumption (kWh)]]&gt;0,ABS(Q18-X18),0)</f>
        <v>0</v>
      </c>
      <c r="Z18" s="216">
        <f>IFERROR(Table1[[#This Row],[Energy Exceeding Battery Allowance (kWh)]]/$Y$32,0)</f>
        <v>0</v>
      </c>
      <c r="AA18" s="217" t="e">
        <f t="shared" si="6"/>
        <v>#N/A</v>
      </c>
      <c r="AB18" s="218">
        <f>IFERROR(Table1[[#This Row],[Total Cluster Energy Balance for P2P Trading (kWh)]]*Table1[[#This Row],[Energy Exceeding Battery Allowance %]],0)</f>
        <v>0</v>
      </c>
      <c r="AC18" s="219">
        <f>Table1[[#This Row],[P2P Import Consumption within Battery Allowance(kWh)]]+Table1[[#This Row],[P2P Import Consumption over Battery Allowance based on Energy Exceeding Allowance % (kWh)]]</f>
        <v>288</v>
      </c>
      <c r="AD18" s="219">
        <f>Table1[[#This Row],[Total Consumption Import  (kWh)]]-Table1[[#This Row],[Total P2P import (kWh)]]</f>
        <v>0</v>
      </c>
      <c r="AE18" s="220">
        <f>IFERROR(Table1[[#This Row],[Total P2P import (kWh)]]/$AC$32,0)</f>
        <v>0.0529411764705882</v>
      </c>
      <c r="AF18" s="221">
        <f t="shared" si="7"/>
        <v>1474</v>
      </c>
      <c r="AG18" s="221">
        <f t="shared" si="8"/>
        <v>78.0352941176471</v>
      </c>
      <c r="AH18" s="232">
        <f t="shared" si="9"/>
        <v>458</v>
      </c>
      <c r="AI18" s="232">
        <f>Table1[[#This Row],[Cluster''s Total Common Services (kWh)]]*Table1[[#This Row],[Percentage of Unit Entitlement (%)]]</f>
        <v>23.816</v>
      </c>
      <c r="AJ18" s="233">
        <f>AG18*'Tariff Rates'!$B$3</f>
        <v>17.1677647058824</v>
      </c>
      <c r="AK18" s="233">
        <f>Table1[[#This Row],[Common Services based on Split per Unit Entitlement % to battery (kWh)]]*'Tariff Rates'!$B$3</f>
        <v>5.23952</v>
      </c>
      <c r="AL18" s="234">
        <f>Table1[[#This Row],[Total P2P import (kWh)]]*IF(Table1[[#This Row],[Total Lot Export (kWh)]]=0,'Tariff Rates'!$B$3,'Tariff Rates'!$L$3)</f>
        <v>103.68</v>
      </c>
      <c r="AM18" s="235">
        <f>Table1[[#This Row],[P2P Import Consumption over Battery Allowance based on Energy Exceeding Allowance % (kWh)]]*'Tariff Rates'!$J$3</f>
        <v>0</v>
      </c>
      <c r="AN18" s="236">
        <f>Table1[[#This Row],[Energy Import from Grid (kWh)]]*'Tariff Rates'!$E$3</f>
        <v>0</v>
      </c>
      <c r="AO18" s="256">
        <f t="shared" si="14"/>
        <v>126.087284705882</v>
      </c>
      <c r="AP18" s="257" cm="1">
        <f t="array" ref="AP18">INDEX(Reading_export[1/1/2025],MATCH(1,(Reading_export[Lot]=A18)*(Reading_export[cluster]=$B$1),0))</f>
        <v>0</v>
      </c>
      <c r="AQ18" s="257" cm="1">
        <f t="array" ref="AQ18">INDEX(Reading_export[1/3/2025],MATCH(1,(Reading_export[Lot]=A18)*(Reading_export[cluster]=$B$1),0))</f>
        <v>2399</v>
      </c>
      <c r="AR18" s="258">
        <f>Table1[[#This Row],[Last day of reporting period: export]]-Table1[[#This Row],[1st day of reporting period: export]]</f>
        <v>2399</v>
      </c>
      <c r="AS18" s="259">
        <f t="shared" si="10"/>
        <v>0.0894781992465779</v>
      </c>
      <c r="AT18" s="260">
        <f>Table1[[#This Row],[Percentage of Total export for Billing Period (%)]]*$AC$32</f>
        <v>486.761403901384</v>
      </c>
      <c r="AU18" s="260" t="e">
        <f t="shared" si="11"/>
        <v>#N/A</v>
      </c>
      <c r="AV18" s="261">
        <f>IFERROR(Table1[[#This Row],[Total Cluster Energy Balance for P2P Trading (kWh)2]]*Table1[[#This Row],[Unused Daily Allowance %]],0)</f>
        <v>0</v>
      </c>
      <c r="AW18" s="260">
        <f t="shared" si="12"/>
        <v>131.890865689456</v>
      </c>
      <c r="AX18" s="261">
        <f>Table1[[#This Row],[Cluster''s Total Common Services (kWh)]]*Table1[[#This Row],[Percentage of Total export for Billing Period (%)]]</f>
        <v>40.9810152549327</v>
      </c>
      <c r="AY18" s="261">
        <f>$Q$27*Table1[[#This Row],[Percentage of Total export for Billing Period (%)]]</f>
        <v>144.686248181716</v>
      </c>
      <c r="AZ18" s="26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1594.68046697251</v>
      </c>
      <c r="BA18" s="261">
        <f t="shared" si="15"/>
        <v>0</v>
      </c>
      <c r="BB18" s="261">
        <f>Table1[[#This Row],[Energy Losses When Export to Grid (kWh)]]*Table1[[#This Row],[Percentage of Total export for Billing Period (%)]]</f>
        <v>0</v>
      </c>
      <c r="BC18" s="261">
        <f>Table1[[#This Row],[Therotical Energy Export to Grid (kWh)]]-Table1[[#This Row],[Energy Losses When Export to Grid based up % total export (kWh)]]</f>
        <v>1594.68046697251</v>
      </c>
      <c r="BD18" s="274">
        <f>AW18*'Tariff Rates'!$C$3</f>
        <v>-29.0159904516803</v>
      </c>
      <c r="BE18" s="274">
        <f>Table1[[#This Row],[Common Service based upon % total export to battery (kWh)]]*'Tariff Rates'!$C$3</f>
        <v>-9.01582335608519</v>
      </c>
      <c r="BF18" s="274">
        <f>Table1[[#This Row],[EV Charger based upon % total export to battery (kWh)]]*'Tariff Rates'!$C$3</f>
        <v>-31.8309745999776</v>
      </c>
      <c r="BG18" s="286">
        <f>AT18*'Tariff Rates'!$C$3</f>
        <v>-107.087508858304</v>
      </c>
      <c r="BH18" s="286">
        <f>Table1[[#This Row],[Borrowed Allowance Based on Unused Daily Allowance % (kWh)]]*'Tariff Rates'!$K$3</f>
        <v>0</v>
      </c>
      <c r="BI18" s="286">
        <f>BC18*'Tariff Rates'!$F$3</f>
        <v>-61.3951979784417</v>
      </c>
      <c r="BJ18" s="286">
        <f t="shared" si="19"/>
        <v>-238.345495244489</v>
      </c>
      <c r="BK18" s="287">
        <f>$D$45*Table1[[#This Row],[Percentage of Unit Entitlement (%)]]</f>
        <v>0</v>
      </c>
      <c r="BL18" s="288">
        <f>BK18*'Tariff Rates'!$H$3</f>
        <v>0</v>
      </c>
      <c r="BM18" s="288">
        <f>($Q$27)*Table1[[#This Row],[Percentage of Unit Entitlement (%)]]*'Tariff Rates'!$B$3</f>
        <v>18.49848</v>
      </c>
      <c r="BN18" s="288">
        <f t="shared" si="16"/>
        <v>18.49848</v>
      </c>
      <c r="BO18" s="288">
        <f t="shared" si="17"/>
        <v>0</v>
      </c>
      <c r="BP18" s="307">
        <f t="shared" si="18"/>
        <v>18.49848</v>
      </c>
      <c r="BQ18" s="308" t="e">
        <f t="shared" si="13"/>
        <v>#N/A</v>
      </c>
      <c r="BR18" s="315"/>
      <c r="BS18" s="316"/>
      <c r="BT18" s="311">
        <v>14</v>
      </c>
    </row>
    <row r="19" spans="1:72">
      <c r="A19" s="104">
        <v>15</v>
      </c>
      <c r="B19" s="98" t="str" cm="1">
        <f t="array" ref="B19">INDEX(Table_Household_Alloc[Owner],MATCH(1,(Table_Household_Alloc[Lot]=A19)*(Table_Household_Alloc[cluster]=$B$1),0))</f>
        <v>Jeﬀ &amp; Jo Thierfelder</v>
      </c>
      <c r="C19" s="99" cm="1">
        <f t="array" ref="C19">INDEX(Reading_import[Meter'#],MATCH(1,(Table_Household_Alloc[Lot]=A19)*(Table_Household_Alloc[cluster]=$B$1),0))</f>
        <v>50002714</v>
      </c>
      <c r="D19" s="100" cm="1">
        <f t="array" ref="D19">INDEX(Table_Household_Alloc[UE % over Cluster],MATCH(1,(Table_Household_Alloc[Lot]=A19)*(Table_Household_Alloc[cluster]=$B$1),0))</f>
        <v>0.053</v>
      </c>
      <c r="E19" s="101" t="str" cm="1">
        <f t="array" ref="E19">INDEX(Table_Household_Alloc[Stage of Dev.],MATCH(1,(Table_Household_Alloc[Lot]=A19)*(Table_Household_Alloc[cluster]=$B$1),0))</f>
        <v>UC</v>
      </c>
      <c r="F19" s="102" cm="1">
        <f t="array" ref="F19">INDEX(Amanda_energy[Daily_Supply_incl_GST],MATCH(1,(Amanda_energy[Cluster]=$B$1)*(Amanda_energy[Month]=$F$2),0))/MAX($A:$A)</f>
        <v>8.11904761904762</v>
      </c>
      <c r="G19" s="103" cm="1">
        <f t="array" ref="G19">INDEX(Amanda_energy[Daily_Supply_incl_GST],MATCH(1,(Amanda_energy[Cluster]=$B$1)*(Amanda_energy[Month]=$G$2),0))/MAX($A:$A)</f>
        <v>7.33333333333333</v>
      </c>
      <c r="H19" s="103" t="e" cm="1">
        <f t="array" ref="H19">INDEX(Amanda_energy[Daily_Supply_incl_GST],MATCH(1,(Amanda_energy[Cluster]=$B$1)*(Amanda_energy[Month]=$H$2),0))/MAX($A:$A)</f>
        <v>#N/A</v>
      </c>
      <c r="I19" s="103" t="e">
        <f t="shared" si="1"/>
        <v>#N/A</v>
      </c>
      <c r="J19" s="172">
        <f>'Tariff Rates'!$B$8*$J$3</f>
        <v>13.5616438356164</v>
      </c>
      <c r="K19" s="172">
        <f>'Tariff Rates'!$C$8*Table1[[#This Row],[Percentage of Unit Entitlement (%)]]*'Energy billing Mastersheet'!$K$3</f>
        <v>11.2127671232877</v>
      </c>
      <c r="L19" s="172">
        <f>$L$3*'Tariff Rates'!$D$8*IF(Table1[[#This Row],[Stage of Dev.]]="V",0,1)</f>
        <v>19.8</v>
      </c>
      <c r="M19" s="173">
        <v>1.1</v>
      </c>
      <c r="N19" s="174" t="e">
        <f t="shared" si="2"/>
        <v>#N/A</v>
      </c>
      <c r="O19" s="175" cm="1">
        <f t="array" ref="O19">INDEX(Reading_import[1/1/2025],MATCH(1,(Reading_import[Lot]=A19)*(Reading_import[cluster]=$B$1),0))</f>
        <v>571</v>
      </c>
      <c r="P19" s="176" cm="1">
        <f t="array" ref="P19">INDEX(Reading_import[1/3/2025],MATCH(1,(Reading_import[Lot]=A19)*(Reading_import[cluster]=$B$1),0))</f>
        <v>571</v>
      </c>
      <c r="Q19" s="195">
        <f>Table1[[#This Row],[Last day of reporting period: import]]-Table1[[#This Row],[1st day of reporting period: import]]</f>
        <v>0</v>
      </c>
      <c r="R19" s="196">
        <f t="shared" si="3"/>
        <v>0</v>
      </c>
      <c r="S19" s="197">
        <f t="shared" si="4"/>
        <v>0</v>
      </c>
      <c r="T19" s="198">
        <f>IF(Table1[[#This Row],[Stage of Dev.]]="V",0,233*Table1[[#This Row],[Percentage of Unit Entitlement (%)]])</f>
        <v>12.349</v>
      </c>
      <c r="U19" s="199">
        <f t="shared" si="5"/>
        <v>0</v>
      </c>
      <c r="V19" s="199">
        <f>Table1[[#This Row],[Daily Battery allowance based on UE% (kWh)]]-Table1[[#This Row],[Applicable Battery Allowance Daily Consumption (kWh)]]</f>
        <v>12.349</v>
      </c>
      <c r="W19" s="200">
        <f>Table1[[#This Row],[Unused Daily Allowance (kWh)]]/$V$32</f>
        <v>0.0875191451329036</v>
      </c>
      <c r="X19" s="199">
        <f>IF(Table1[[#This Row],[Applicable Battery Allowance Daily Consumption (kWh)]]&gt;Table1[[#This Row],[Total Daily Average Consumptio for Billing Period (kWh)]],Table1[[#This Row],[Total Consumption Import  (kWh)]],U19*$N$3)</f>
        <v>0</v>
      </c>
      <c r="Y19" s="215">
        <f>IF(Table1[[#This Row],[Applicable Battery Allowance Daily Consumption (kWh)]]&gt;0,ABS(Q19-X19),0)</f>
        <v>0</v>
      </c>
      <c r="Z19" s="216">
        <f>IFERROR(Table1[[#This Row],[Energy Exceeding Battery Allowance (kWh)]]/$Y$32,0)</f>
        <v>0</v>
      </c>
      <c r="AA19" s="217" t="e">
        <f t="shared" si="6"/>
        <v>#N/A</v>
      </c>
      <c r="AB19" s="218">
        <f>IFERROR(Table1[[#This Row],[Total Cluster Energy Balance for P2P Trading (kWh)]]*Table1[[#This Row],[Energy Exceeding Battery Allowance %]],0)</f>
        <v>0</v>
      </c>
      <c r="AC19" s="219">
        <f>Table1[[#This Row],[P2P Import Consumption within Battery Allowance(kWh)]]+Table1[[#This Row],[P2P Import Consumption over Battery Allowance based on Energy Exceeding Allowance % (kWh)]]</f>
        <v>0</v>
      </c>
      <c r="AD19" s="219">
        <f>Table1[[#This Row],[Total Consumption Import  (kWh)]]-Table1[[#This Row],[Total P2P import (kWh)]]</f>
        <v>0</v>
      </c>
      <c r="AE19" s="220">
        <f>IFERROR(Table1[[#This Row],[Total P2P import (kWh)]]/$AC$32,0)</f>
        <v>0</v>
      </c>
      <c r="AF19" s="221">
        <f t="shared" si="7"/>
        <v>1474</v>
      </c>
      <c r="AG19" s="221">
        <f t="shared" si="8"/>
        <v>0</v>
      </c>
      <c r="AH19" s="232">
        <f t="shared" si="9"/>
        <v>458</v>
      </c>
      <c r="AI19" s="232">
        <f>Table1[[#This Row],[Cluster''s Total Common Services (kWh)]]*Table1[[#This Row],[Percentage of Unit Entitlement (%)]]</f>
        <v>24.274</v>
      </c>
      <c r="AJ19" s="233">
        <f>AG19*'Tariff Rates'!$B$3</f>
        <v>0</v>
      </c>
      <c r="AK19" s="233">
        <f>Table1[[#This Row],[Common Services based on Split per Unit Entitlement % to battery (kWh)]]*'Tariff Rates'!$B$3</f>
        <v>5.34028</v>
      </c>
      <c r="AL19" s="234">
        <f>Table1[[#This Row],[Total P2P import (kWh)]]*IF(Table1[[#This Row],[Total Lot Export (kWh)]]=0,'Tariff Rates'!$B$3,'Tariff Rates'!$L$3)</f>
        <v>0</v>
      </c>
      <c r="AM19" s="235">
        <f>Table1[[#This Row],[P2P Import Consumption over Battery Allowance based on Energy Exceeding Allowance % (kWh)]]*'Tariff Rates'!$J$3</f>
        <v>0</v>
      </c>
      <c r="AN19" s="236">
        <f>Table1[[#This Row],[Energy Import from Grid (kWh)]]*'Tariff Rates'!$E$3</f>
        <v>0</v>
      </c>
      <c r="AO19" s="256">
        <f t="shared" si="14"/>
        <v>5.34028</v>
      </c>
      <c r="AP19" s="257" cm="1">
        <f t="array" ref="AP19">INDEX(Reading_export[1/1/2025],MATCH(1,(Reading_export[Lot]=A19)*(Reading_export[cluster]=$B$1),0))</f>
        <v>0</v>
      </c>
      <c r="AQ19" s="257" cm="1">
        <f t="array" ref="AQ19">INDEX(Reading_export[1/3/2025],MATCH(1,(Reading_export[Lot]=A19)*(Reading_export[cluster]=$B$1),0))</f>
        <v>0</v>
      </c>
      <c r="AR19" s="258">
        <f>Table1[[#This Row],[Last day of reporting period: export]]-Table1[[#This Row],[1st day of reporting period: export]]</f>
        <v>0</v>
      </c>
      <c r="AS19" s="259">
        <f t="shared" si="10"/>
        <v>0</v>
      </c>
      <c r="AT19" s="260">
        <f>Table1[[#This Row],[Percentage of Total export for Billing Period (%)]]*$AC$32</f>
        <v>0</v>
      </c>
      <c r="AU19" s="260" t="e">
        <f t="shared" si="11"/>
        <v>#N/A</v>
      </c>
      <c r="AV19" s="261">
        <f>IFERROR(Table1[[#This Row],[Total Cluster Energy Balance for P2P Trading (kWh)2]]*Table1[[#This Row],[Unused Daily Allowance %]],0)</f>
        <v>0</v>
      </c>
      <c r="AW19" s="260">
        <f t="shared" si="12"/>
        <v>0</v>
      </c>
      <c r="AX19" s="261">
        <f>Table1[[#This Row],[Cluster''s Total Common Services (kWh)]]*Table1[[#This Row],[Percentage of Total export for Billing Period (%)]]</f>
        <v>0</v>
      </c>
      <c r="AY19" s="261">
        <f>$Q$27*Table1[[#This Row],[Percentage of Total export for Billing Period (%)]]</f>
        <v>0</v>
      </c>
      <c r="AZ19" s="26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19" s="261">
        <f t="shared" si="15"/>
        <v>0</v>
      </c>
      <c r="BB19" s="261">
        <f>Table1[[#This Row],[Energy Losses When Export to Grid (kWh)]]*Table1[[#This Row],[Percentage of Total export for Billing Period (%)]]</f>
        <v>0</v>
      </c>
      <c r="BC19" s="261">
        <f>Table1[[#This Row],[Therotical Energy Export to Grid (kWh)]]-Table1[[#This Row],[Energy Losses When Export to Grid based up % total export (kWh)]]</f>
        <v>0</v>
      </c>
      <c r="BD19" s="274">
        <f>AW19*'Tariff Rates'!$C$3</f>
        <v>0</v>
      </c>
      <c r="BE19" s="274">
        <f>Table1[[#This Row],[Common Service based upon % total export to battery (kWh)]]*'Tariff Rates'!$C$3</f>
        <v>0</v>
      </c>
      <c r="BF19" s="274">
        <f>Table1[[#This Row],[EV Charger based upon % total export to battery (kWh)]]*'Tariff Rates'!$C$3</f>
        <v>0</v>
      </c>
      <c r="BG19" s="286">
        <f>AT19*'Tariff Rates'!$C$3</f>
        <v>0</v>
      </c>
      <c r="BH19" s="286">
        <f>Table1[[#This Row],[Borrowed Allowance Based on Unused Daily Allowance % (kWh)]]*'Tariff Rates'!$K$3</f>
        <v>0</v>
      </c>
      <c r="BI19" s="286">
        <f>BC19*'Tariff Rates'!$F$3</f>
        <v>0</v>
      </c>
      <c r="BJ19" s="286">
        <f t="shared" si="19"/>
        <v>0</v>
      </c>
      <c r="BK19" s="287">
        <f>$D$45*Table1[[#This Row],[Percentage of Unit Entitlement (%)]]</f>
        <v>0</v>
      </c>
      <c r="BL19" s="288">
        <f>BK19*'Tariff Rates'!$H$3</f>
        <v>0</v>
      </c>
      <c r="BM19" s="288">
        <f>($Q$27)*Table1[[#This Row],[Percentage of Unit Entitlement (%)]]*'Tariff Rates'!$B$3</f>
        <v>18.85422</v>
      </c>
      <c r="BN19" s="288">
        <f t="shared" si="16"/>
        <v>18.85422</v>
      </c>
      <c r="BO19" s="288">
        <f t="shared" si="17"/>
        <v>0</v>
      </c>
      <c r="BP19" s="307">
        <f t="shared" si="18"/>
        <v>18.85422</v>
      </c>
      <c r="BQ19" s="308" t="e">
        <f t="shared" si="13"/>
        <v>#N/A</v>
      </c>
      <c r="BR19" s="312"/>
      <c r="BS19" s="313"/>
      <c r="BT19" s="314">
        <v>15</v>
      </c>
    </row>
    <row r="20" spans="1:72">
      <c r="A20" s="97">
        <v>16</v>
      </c>
      <c r="B20" s="98" t="str" cm="1">
        <f t="array" ref="B20">INDEX(Table_Household_Alloc[Owner],MATCH(1,(Table_Household_Alloc[Lot]=A20)*(Table_Household_Alloc[cluster]=$B$1),0))</f>
        <v>Libby Davy</v>
      </c>
      <c r="C20" s="99" cm="1">
        <f t="array" ref="C20">INDEX(Reading_import[Meter'#],MATCH(1,(Table_Household_Alloc[Lot]=A20)*(Table_Household_Alloc[cluster]=$B$1),0))</f>
        <v>50002855</v>
      </c>
      <c r="D20" s="100" cm="1">
        <f t="array" ref="D20">INDEX(Table_Household_Alloc[UE % over Cluster],MATCH(1,(Table_Household_Alloc[Lot]=A20)*(Table_Household_Alloc[cluster]=$B$1),0))</f>
        <v>0.055</v>
      </c>
      <c r="E20" s="101" t="str" cm="1">
        <f t="array" ref="E20">INDEX(Table_Household_Alloc[Stage of Dev.],MATCH(1,(Table_Household_Alloc[Lot]=A20)*(Table_Household_Alloc[cluster]=$B$1),0))</f>
        <v>O</v>
      </c>
      <c r="F20" s="102" cm="1">
        <f t="array" ref="F20">INDEX(Amanda_energy[Daily_Supply_incl_GST],MATCH(1,(Amanda_energy[Cluster]=$B$1)*(Amanda_energy[Month]=$F$2),0))/MAX($A:$A)</f>
        <v>8.11904761904762</v>
      </c>
      <c r="G20" s="103" cm="1">
        <f t="array" ref="G20">INDEX(Amanda_energy[Daily_Supply_incl_GST],MATCH(1,(Amanda_energy[Cluster]=$B$1)*(Amanda_energy[Month]=$G$2),0))/MAX($A:$A)</f>
        <v>7.33333333333333</v>
      </c>
      <c r="H20" s="103" t="e" cm="1">
        <f t="array" ref="H20">INDEX(Amanda_energy[Daily_Supply_incl_GST],MATCH(1,(Amanda_energy[Cluster]=$B$1)*(Amanda_energy[Month]=$H$2),0))/MAX($A:$A)</f>
        <v>#N/A</v>
      </c>
      <c r="I20" s="103" t="e">
        <f t="shared" si="1"/>
        <v>#N/A</v>
      </c>
      <c r="J20" s="172">
        <f>'Tariff Rates'!$B$8*$J$3</f>
        <v>13.5616438356164</v>
      </c>
      <c r="K20" s="172">
        <f>'Tariff Rates'!$C$8*Table1[[#This Row],[Percentage of Unit Entitlement (%)]]*'Energy billing Mastersheet'!$K$3</f>
        <v>11.6358904109589</v>
      </c>
      <c r="L20" s="172">
        <f>$L$3*'Tariff Rates'!$D$8*IF(Table1[[#This Row],[Stage of Dev.]]="V",0,1)</f>
        <v>19.8</v>
      </c>
      <c r="M20" s="173">
        <v>1.1</v>
      </c>
      <c r="N20" s="174" t="e">
        <f t="shared" si="2"/>
        <v>#N/A</v>
      </c>
      <c r="O20" s="175" cm="1">
        <f t="array" ref="O20">INDEX(Reading_import[1/1/2025],MATCH(1,(Reading_import[Lot]=A20)*(Reading_import[cluster]=$B$1),0))</f>
        <v>2536</v>
      </c>
      <c r="P20" s="176" cm="1">
        <f t="array" ref="P20">INDEX(Reading_import[1/3/2025],MATCH(1,(Reading_import[Lot]=A20)*(Reading_import[cluster]=$B$1),0))</f>
        <v>2846</v>
      </c>
      <c r="Q20" s="195">
        <f>Table1[[#This Row],[Last day of reporting period: import]]-Table1[[#This Row],[1st day of reporting period: import]]</f>
        <v>310</v>
      </c>
      <c r="R20" s="196">
        <f t="shared" si="3"/>
        <v>3.44444444444444</v>
      </c>
      <c r="S20" s="197">
        <f t="shared" si="4"/>
        <v>0.0569852941176471</v>
      </c>
      <c r="T20" s="198">
        <f>IF(Table1[[#This Row],[Stage of Dev.]]="V",0,233*Table1[[#This Row],[Percentage of Unit Entitlement (%)]])</f>
        <v>12.815</v>
      </c>
      <c r="U20" s="199">
        <f t="shared" si="5"/>
        <v>3.44444444444444</v>
      </c>
      <c r="V20" s="199">
        <f>Table1[[#This Row],[Daily Battery allowance based on UE% (kWh)]]-Table1[[#This Row],[Applicable Battery Allowance Daily Consumption (kWh)]]</f>
        <v>9.37055555555555</v>
      </c>
      <c r="W20" s="200">
        <f>Table1[[#This Row],[Unused Daily Allowance (kWh)]]/$V$32</f>
        <v>0.0664104795240589</v>
      </c>
      <c r="X20" s="199">
        <f>IF(Table1[[#This Row],[Applicable Battery Allowance Daily Consumption (kWh)]]&gt;Table1[[#This Row],[Total Daily Average Consumptio for Billing Period (kWh)]],Table1[[#This Row],[Total Consumption Import  (kWh)]],U20*$N$3)</f>
        <v>310</v>
      </c>
      <c r="Y20" s="215">
        <f>IF(Table1[[#This Row],[Applicable Battery Allowance Daily Consumption (kWh)]]&gt;0,ABS(Q20-X20),0)</f>
        <v>0</v>
      </c>
      <c r="Z20" s="216">
        <f>IFERROR(Table1[[#This Row],[Energy Exceeding Battery Allowance (kWh)]]/$Y$32,0)</f>
        <v>0</v>
      </c>
      <c r="AA20" s="217" t="e">
        <f t="shared" si="6"/>
        <v>#N/A</v>
      </c>
      <c r="AB20" s="218">
        <f>IFERROR(Table1[[#This Row],[Total Cluster Energy Balance for P2P Trading (kWh)]]*Table1[[#This Row],[Energy Exceeding Battery Allowance %]],0)</f>
        <v>0</v>
      </c>
      <c r="AC20" s="219">
        <f>Table1[[#This Row],[P2P Import Consumption within Battery Allowance(kWh)]]+Table1[[#This Row],[P2P Import Consumption over Battery Allowance based on Energy Exceeding Allowance % (kWh)]]</f>
        <v>310</v>
      </c>
      <c r="AD20" s="219">
        <f>Table1[[#This Row],[Total Consumption Import  (kWh)]]-Table1[[#This Row],[Total P2P import (kWh)]]</f>
        <v>0</v>
      </c>
      <c r="AE20" s="220">
        <f>IFERROR(Table1[[#This Row],[Total P2P import (kWh)]]/$AC$32,0)</f>
        <v>0.0569852941176471</v>
      </c>
      <c r="AF20" s="221">
        <f t="shared" si="7"/>
        <v>1474</v>
      </c>
      <c r="AG20" s="221">
        <f t="shared" si="8"/>
        <v>83.9963235294118</v>
      </c>
      <c r="AH20" s="232">
        <f t="shared" si="9"/>
        <v>458</v>
      </c>
      <c r="AI20" s="232">
        <f>Table1[[#This Row],[Cluster''s Total Common Services (kWh)]]*Table1[[#This Row],[Percentage of Unit Entitlement (%)]]</f>
        <v>25.19</v>
      </c>
      <c r="AJ20" s="233">
        <f>AG20*'Tariff Rates'!$B$3</f>
        <v>18.4791911764706</v>
      </c>
      <c r="AK20" s="233">
        <f>Table1[[#This Row],[Common Services based on Split per Unit Entitlement % to battery (kWh)]]*'Tariff Rates'!$B$3</f>
        <v>5.5418</v>
      </c>
      <c r="AL20" s="234">
        <f>Table1[[#This Row],[Total P2P import (kWh)]]*IF(Table1[[#This Row],[Total Lot Export (kWh)]]=0,'Tariff Rates'!$B$3,'Tariff Rates'!$L$3)</f>
        <v>111.6</v>
      </c>
      <c r="AM20" s="235">
        <f>Table1[[#This Row],[P2P Import Consumption over Battery Allowance based on Energy Exceeding Allowance % (kWh)]]*'Tariff Rates'!$J$3</f>
        <v>0</v>
      </c>
      <c r="AN20" s="236">
        <f>Table1[[#This Row],[Energy Import from Grid (kWh)]]*'Tariff Rates'!$E$3</f>
        <v>0</v>
      </c>
      <c r="AO20" s="256">
        <f t="shared" si="14"/>
        <v>135.620991176471</v>
      </c>
      <c r="AP20" s="257" cm="1">
        <f t="array" ref="AP20">INDEX(Reading_export[1/1/2025],MATCH(1,(Reading_export[Lot]=A20)*(Reading_export[cluster]=$B$1),0))</f>
        <v>7804</v>
      </c>
      <c r="AQ20" s="257" cm="1">
        <f t="array" ref="AQ20">INDEX(Reading_export[1/3/2025],MATCH(1,(Reading_export[Lot]=A20)*(Reading_export[cluster]=$B$1),0))</f>
        <v>9378</v>
      </c>
      <c r="AR20" s="258">
        <f>Table1[[#This Row],[Last day of reporting period: export]]-Table1[[#This Row],[1st day of reporting period: export]]</f>
        <v>1574</v>
      </c>
      <c r="AS20" s="259">
        <f t="shared" si="10"/>
        <v>0.0587072470254746</v>
      </c>
      <c r="AT20" s="260">
        <f>Table1[[#This Row],[Percentage of Total export for Billing Period (%)]]*$AC$32</f>
        <v>319.367423818582</v>
      </c>
      <c r="AU20" s="260" t="e">
        <f t="shared" si="11"/>
        <v>#N/A</v>
      </c>
      <c r="AV20" s="261">
        <f>IFERROR(Table1[[#This Row],[Total Cluster Energy Balance for P2P Trading (kWh)2]]*Table1[[#This Row],[Unused Daily Allowance %]],0)</f>
        <v>0</v>
      </c>
      <c r="AW20" s="260">
        <f t="shared" si="12"/>
        <v>86.5344821155496</v>
      </c>
      <c r="AX20" s="261">
        <f>Table1[[#This Row],[Cluster''s Total Common Services (kWh)]]*Table1[[#This Row],[Percentage of Total export for Billing Period (%)]]</f>
        <v>26.8879191376674</v>
      </c>
      <c r="AY20" s="261">
        <f>$Q$27*Table1[[#This Row],[Percentage of Total export for Billing Period (%)]]</f>
        <v>94.9296184401925</v>
      </c>
      <c r="AZ20" s="26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1046.28055648801</v>
      </c>
      <c r="BA20" s="261">
        <f t="shared" si="15"/>
        <v>0</v>
      </c>
      <c r="BB20" s="261">
        <f>Table1[[#This Row],[Energy Losses When Export to Grid (kWh)]]*Table1[[#This Row],[Percentage of Total export for Billing Period (%)]]</f>
        <v>0</v>
      </c>
      <c r="BC20" s="261">
        <f>Table1[[#This Row],[Therotical Energy Export to Grid (kWh)]]-Table1[[#This Row],[Energy Losses When Export to Grid based up % total export (kWh)]]</f>
        <v>1046.28055648801</v>
      </c>
      <c r="BD20" s="274">
        <f>AW20*'Tariff Rates'!$C$3</f>
        <v>-19.0375860654209</v>
      </c>
      <c r="BE20" s="274">
        <f>Table1[[#This Row],[Common Service based upon % total export to battery (kWh)]]*'Tariff Rates'!$C$3</f>
        <v>-5.91534221028682</v>
      </c>
      <c r="BF20" s="274">
        <f>Table1[[#This Row],[EV Charger based upon % total export to battery (kWh)]]*'Tariff Rates'!$C$3</f>
        <v>-20.8845160568423</v>
      </c>
      <c r="BG20" s="286">
        <f>AT20*'Tariff Rates'!$C$3</f>
        <v>-70.260833240088</v>
      </c>
      <c r="BH20" s="286">
        <f>Table1[[#This Row],[Borrowed Allowance Based on Unused Daily Allowance % (kWh)]]*'Tariff Rates'!$K$3</f>
        <v>0</v>
      </c>
      <c r="BI20" s="286">
        <f>BC20*'Tariff Rates'!$F$3</f>
        <v>-40.2818014247883</v>
      </c>
      <c r="BJ20" s="286">
        <f t="shared" si="19"/>
        <v>-156.380078997426</v>
      </c>
      <c r="BK20" s="287">
        <f>$D$45*Table1[[#This Row],[Percentage of Unit Entitlement (%)]]</f>
        <v>0</v>
      </c>
      <c r="BL20" s="288">
        <f>BK20*'Tariff Rates'!$H$3</f>
        <v>0</v>
      </c>
      <c r="BM20" s="288">
        <f>($Q$27)*Table1[[#This Row],[Percentage of Unit Entitlement (%)]]*'Tariff Rates'!$B$3</f>
        <v>19.5657</v>
      </c>
      <c r="BN20" s="288">
        <f t="shared" si="16"/>
        <v>19.5657</v>
      </c>
      <c r="BO20" s="288">
        <f t="shared" si="17"/>
        <v>0</v>
      </c>
      <c r="BP20" s="307">
        <f t="shared" si="18"/>
        <v>19.5657</v>
      </c>
      <c r="BQ20" s="308" t="e">
        <f t="shared" si="13"/>
        <v>#N/A</v>
      </c>
      <c r="BR20" s="315"/>
      <c r="BS20" s="316"/>
      <c r="BT20" s="311">
        <v>16</v>
      </c>
    </row>
    <row r="21" spans="1:72">
      <c r="A21" s="97">
        <v>17</v>
      </c>
      <c r="B21" s="98" t="str" cm="1">
        <f t="array" ref="B21">INDEX(Table_Household_Alloc[Owner],MATCH(1,(Table_Household_Alloc[Lot]=A21)*(Table_Household_Alloc[cluster]=$B$1),0))</f>
        <v>Henry &amp; Jo Weldon</v>
      </c>
      <c r="C21" s="99" cm="1">
        <f t="array" ref="C21">INDEX(Reading_import[Meter'#],MATCH(1,(Table_Household_Alloc[Lot]=A21)*(Table_Household_Alloc[cluster]=$B$1),0))</f>
        <v>50002877</v>
      </c>
      <c r="D21" s="100" cm="1">
        <f t="array" ref="D21">INDEX(Table_Household_Alloc[UE % over Cluster],MATCH(1,(Table_Household_Alloc[Lot]=A21)*(Table_Household_Alloc[cluster]=$B$1),0))</f>
        <v>0.055</v>
      </c>
      <c r="E21" s="101" t="str" cm="1">
        <f t="array" ref="E21">INDEX(Table_Household_Alloc[Stage of Dev.],MATCH(1,(Table_Household_Alloc[Lot]=A21)*(Table_Household_Alloc[cluster]=$B$1),0))</f>
        <v>O</v>
      </c>
      <c r="F21" s="102" cm="1">
        <f t="array" ref="F21">INDEX(Amanda_energy[Daily_Supply_incl_GST],MATCH(1,(Amanda_energy[Cluster]=$B$1)*(Amanda_energy[Month]=$F$2),0))/MAX($A:$A)</f>
        <v>8.11904761904762</v>
      </c>
      <c r="G21" s="103" cm="1">
        <f t="array" ref="G21">INDEX(Amanda_energy[Daily_Supply_incl_GST],MATCH(1,(Amanda_energy[Cluster]=$B$1)*(Amanda_energy[Month]=$G$2),0))/MAX($A:$A)</f>
        <v>7.33333333333333</v>
      </c>
      <c r="H21" s="103" t="e" cm="1">
        <f t="array" ref="H21">INDEX(Amanda_energy[Daily_Supply_incl_GST],MATCH(1,(Amanda_energy[Cluster]=$B$1)*(Amanda_energy[Month]=$H$2),0))/MAX($A:$A)</f>
        <v>#N/A</v>
      </c>
      <c r="I21" s="103" t="e">
        <f t="shared" si="1"/>
        <v>#N/A</v>
      </c>
      <c r="J21" s="172">
        <f>'Tariff Rates'!$B$8*$J$3</f>
        <v>13.5616438356164</v>
      </c>
      <c r="K21" s="172">
        <f>'Tariff Rates'!$C$8*Table1[[#This Row],[Percentage of Unit Entitlement (%)]]*'Energy billing Mastersheet'!$K$3</f>
        <v>11.6358904109589</v>
      </c>
      <c r="L21" s="172">
        <f>$L$3*'Tariff Rates'!$D$8*IF(Table1[[#This Row],[Stage of Dev.]]="V",0,1)</f>
        <v>19.8</v>
      </c>
      <c r="M21" s="173">
        <v>1.1</v>
      </c>
      <c r="N21" s="174" t="e">
        <f t="shared" si="2"/>
        <v>#N/A</v>
      </c>
      <c r="O21" s="175" cm="1">
        <f t="array" ref="O21">INDEX(Reading_import[1/1/2025],MATCH(1,(Reading_import[Lot]=A21)*(Reading_import[cluster]=$B$1),0))</f>
        <v>20977</v>
      </c>
      <c r="P21" s="176" cm="1">
        <f t="array" ref="P21">INDEX(Reading_import[1/3/2025],MATCH(1,(Reading_import[Lot]=A21)*(Reading_import[cluster]=$B$1),0))</f>
        <v>22060</v>
      </c>
      <c r="Q21" s="195">
        <f>Table1[[#This Row],[Last day of reporting period: import]]-Table1[[#This Row],[1st day of reporting period: import]]</f>
        <v>1083</v>
      </c>
      <c r="R21" s="196">
        <f t="shared" ref="R21:R25" si="20">Q21/$N$3</f>
        <v>12.0333333333333</v>
      </c>
      <c r="S21" s="197">
        <f t="shared" si="4"/>
        <v>0.199080882352941</v>
      </c>
      <c r="T21" s="198">
        <f>IF(Table1[[#This Row],[Stage of Dev.]]="V",0,233*Table1[[#This Row],[Percentage of Unit Entitlement (%)]])</f>
        <v>12.815</v>
      </c>
      <c r="U21" s="199">
        <f t="shared" ref="U21:U25" si="21">IF(T21&gt;R21,R21,T21)</f>
        <v>12.0333333333333</v>
      </c>
      <c r="V21" s="199">
        <f>Table1[[#This Row],[Daily Battery allowance based on UE% (kWh)]]-Table1[[#This Row],[Applicable Battery Allowance Daily Consumption (kWh)]]</f>
        <v>0.781666666666666</v>
      </c>
      <c r="W21" s="200">
        <f>Table1[[#This Row],[Unused Daily Allowance (kWh)]]/$V$32</f>
        <v>0.00553978447206681</v>
      </c>
      <c r="X21" s="199">
        <f>IF(Table1[[#This Row],[Applicable Battery Allowance Daily Consumption (kWh)]]&gt;Table1[[#This Row],[Total Daily Average Consumptio for Billing Period (kWh)]],Table1[[#This Row],[Total Consumption Import  (kWh)]],U21*$N$3)</f>
        <v>1083</v>
      </c>
      <c r="Y21" s="215">
        <f>IF(Table1[[#This Row],[Applicable Battery Allowance Daily Consumption (kWh)]]&gt;0,ABS(Q21-X21),0)</f>
        <v>0</v>
      </c>
      <c r="Z21" s="216">
        <f>IFERROR(Table1[[#This Row],[Energy Exceeding Battery Allowance (kWh)]]/$Y$32,0)</f>
        <v>0</v>
      </c>
      <c r="AA21" s="217" t="e">
        <f t="shared" si="6"/>
        <v>#N/A</v>
      </c>
      <c r="AB21" s="218">
        <f>IFERROR(Table1[[#This Row],[Total Cluster Energy Balance for P2P Trading (kWh)]]*Table1[[#This Row],[Energy Exceeding Battery Allowance %]],0)</f>
        <v>0</v>
      </c>
      <c r="AC21" s="219">
        <f>Table1[[#This Row],[P2P Import Consumption within Battery Allowance(kWh)]]+Table1[[#This Row],[P2P Import Consumption over Battery Allowance based on Energy Exceeding Allowance % (kWh)]]</f>
        <v>1083</v>
      </c>
      <c r="AD21" s="219">
        <f>Table1[[#This Row],[Total Consumption Import  (kWh)]]-Table1[[#This Row],[Total P2P import (kWh)]]</f>
        <v>0</v>
      </c>
      <c r="AE21" s="220">
        <f>IFERROR(Table1[[#This Row],[Total P2P import (kWh)]]/$AC$32,0)</f>
        <v>0.199080882352941</v>
      </c>
      <c r="AF21" s="221">
        <f t="shared" si="7"/>
        <v>1474</v>
      </c>
      <c r="AG21" s="221">
        <f t="shared" ref="AG21:AG25" si="22">AF21*AE21</f>
        <v>293.445220588235</v>
      </c>
      <c r="AH21" s="232">
        <f t="shared" si="9"/>
        <v>458</v>
      </c>
      <c r="AI21" s="232">
        <f>Table1[[#This Row],[Cluster''s Total Common Services (kWh)]]*Table1[[#This Row],[Percentage of Unit Entitlement (%)]]</f>
        <v>25.19</v>
      </c>
      <c r="AJ21" s="233">
        <f>AG21*'Tariff Rates'!$B$3</f>
        <v>64.5579485294118</v>
      </c>
      <c r="AK21" s="233">
        <f>Table1[[#This Row],[Common Services based on Split per Unit Entitlement % to battery (kWh)]]*'Tariff Rates'!$B$3</f>
        <v>5.5418</v>
      </c>
      <c r="AL21" s="234">
        <f>Table1[[#This Row],[Total P2P import (kWh)]]*IF(Table1[[#This Row],[Total Lot Export (kWh)]]=0,'Tariff Rates'!$B$3,'Tariff Rates'!$L$3)</f>
        <v>389.88</v>
      </c>
      <c r="AM21" s="235">
        <f>Table1[[#This Row],[P2P Import Consumption over Battery Allowance based on Energy Exceeding Allowance % (kWh)]]*'Tariff Rates'!$J$3</f>
        <v>0</v>
      </c>
      <c r="AN21" s="236">
        <f>Table1[[#This Row],[Energy Import from Grid (kWh)]]*'Tariff Rates'!$E$3</f>
        <v>0</v>
      </c>
      <c r="AO21" s="256">
        <f t="shared" ref="AO21:AO25" si="23">SUM(AJ21:AN21)</f>
        <v>459.979748529412</v>
      </c>
      <c r="AP21" s="257" cm="1">
        <f t="array" ref="AP21">INDEX(Reading_export[1/1/2025],MATCH(1,(Reading_export[Lot]=A21)*(Reading_export[cluster]=$B$1),0))</f>
        <v>12029</v>
      </c>
      <c r="AQ21" s="257" cm="1">
        <f t="array" ref="AQ21">INDEX(Reading_export[1/3/2025],MATCH(1,(Reading_export[Lot]=A21)*(Reading_export[cluster]=$B$1),0))</f>
        <v>14003</v>
      </c>
      <c r="AR21" s="258">
        <f>Table1[[#This Row],[Last day of reporting period: export]]-Table1[[#This Row],[1st day of reporting period: export]]</f>
        <v>1974</v>
      </c>
      <c r="AS21" s="259">
        <f t="shared" si="10"/>
        <v>0.0736264965872217</v>
      </c>
      <c r="AT21" s="260">
        <f>Table1[[#This Row],[Percentage of Total export for Billing Period (%)]]*$AC$32</f>
        <v>400.528141434486</v>
      </c>
      <c r="AU21" s="260" t="e">
        <f t="shared" si="11"/>
        <v>#N/A</v>
      </c>
      <c r="AV21" s="261">
        <f>IFERROR(Table1[[#This Row],[Total Cluster Energy Balance for P2P Trading (kWh)2]]*Table1[[#This Row],[Unused Daily Allowance %]],0)</f>
        <v>0</v>
      </c>
      <c r="AW21" s="260">
        <f t="shared" ref="AW21:AW25" si="24">AS21*AF21</f>
        <v>108.525455969565</v>
      </c>
      <c r="AX21" s="261">
        <f>Table1[[#This Row],[Cluster''s Total Common Services (kWh)]]*Table1[[#This Row],[Percentage of Total export for Billing Period (%)]]</f>
        <v>33.7209354369475</v>
      </c>
      <c r="AY21" s="261">
        <f>$Q$27*Table1[[#This Row],[Percentage of Total export for Billing Period (%)]]</f>
        <v>119.054044981537</v>
      </c>
      <c r="AZ21" s="26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1312.17142217746</v>
      </c>
      <c r="BA21" s="261">
        <f t="shared" si="15"/>
        <v>0</v>
      </c>
      <c r="BB21" s="261">
        <f>Table1[[#This Row],[Energy Losses When Export to Grid (kWh)]]*Table1[[#This Row],[Percentage of Total export for Billing Period (%)]]</f>
        <v>0</v>
      </c>
      <c r="BC21" s="261">
        <f>Table1[[#This Row],[Therotical Energy Export to Grid (kWh)]]-Table1[[#This Row],[Energy Losses When Export to Grid based up % total export (kWh)]]</f>
        <v>1312.17142217746</v>
      </c>
      <c r="BD21" s="274">
        <f>AW21*'Tariff Rates'!$C$3</f>
        <v>-23.8756003133042</v>
      </c>
      <c r="BE21" s="274">
        <f>Table1[[#This Row],[Common Service based upon % total export to battery (kWh)]]*'Tariff Rates'!$C$3</f>
        <v>-7.41860579612845</v>
      </c>
      <c r="BF21" s="274">
        <f>Table1[[#This Row],[EV Charger based upon % total export to battery (kWh)]]*'Tariff Rates'!$C$3</f>
        <v>-26.1918898959382</v>
      </c>
      <c r="BG21" s="286">
        <f>AT21*'Tariff Rates'!$C$3</f>
        <v>-88.1161911155869</v>
      </c>
      <c r="BH21" s="286">
        <f>Table1[[#This Row],[Borrowed Allowance Based on Unused Daily Allowance % (kWh)]]*'Tariff Rates'!$K$3</f>
        <v>0</v>
      </c>
      <c r="BI21" s="286">
        <f>BC21*'Tariff Rates'!$F$3</f>
        <v>-50.5185997538324</v>
      </c>
      <c r="BJ21" s="286">
        <f t="shared" si="19"/>
        <v>-196.12088687479</v>
      </c>
      <c r="BK21" s="287">
        <f>$D$45*Table1[[#This Row],[Percentage of Unit Entitlement (%)]]</f>
        <v>0</v>
      </c>
      <c r="BL21" s="288">
        <f>BK21*'Tariff Rates'!$H$3</f>
        <v>0</v>
      </c>
      <c r="BM21" s="288">
        <f>($Q$27)*Table1[[#This Row],[Percentage of Unit Entitlement (%)]]*'Tariff Rates'!$B$3</f>
        <v>19.5657</v>
      </c>
      <c r="BN21" s="288">
        <f t="shared" ref="BN21:BN25" si="25">SUM(BM21,BL21)</f>
        <v>19.5657</v>
      </c>
      <c r="BO21" s="288">
        <f t="shared" ref="BO21:BO25" si="26">BK21</f>
        <v>0</v>
      </c>
      <c r="BP21" s="307">
        <f t="shared" ref="BP21:BP25" si="27">BO21+BN21</f>
        <v>19.5657</v>
      </c>
      <c r="BQ21" s="308" t="e">
        <f t="shared" si="13"/>
        <v>#N/A</v>
      </c>
      <c r="BR21" s="315"/>
      <c r="BS21" s="316"/>
      <c r="BT21" s="311">
        <v>14</v>
      </c>
    </row>
    <row r="22" spans="1:72">
      <c r="A22" s="97">
        <v>18</v>
      </c>
      <c r="B22" s="98" t="str" cm="1">
        <f t="array" ref="B22">INDEX(Table_Household_Alloc[Owner],MATCH(1,(Table_Household_Alloc[Lot]=A22)*(Table_Household_Alloc[cluster]=$B$1),0))</f>
        <v>Liz Kirk</v>
      </c>
      <c r="C22" s="99" cm="1">
        <f t="array" ref="C22">INDEX(Reading_import[Meter'#],MATCH(1,(Table_Household_Alloc[Lot]=A22)*(Table_Household_Alloc[cluster]=$B$1),0))</f>
        <v>0</v>
      </c>
      <c r="D22" s="100" cm="1">
        <f t="array" ref="D22">INDEX(Table_Household_Alloc[UE % over Cluster],MATCH(1,(Table_Household_Alloc[Lot]=A22)*(Table_Household_Alloc[cluster]=$B$1),0))</f>
        <v>0.055</v>
      </c>
      <c r="E22" s="101" t="str" cm="1">
        <f t="array" ref="E22">INDEX(Table_Household_Alloc[Stage of Dev.],MATCH(1,(Table_Household_Alloc[Lot]=A22)*(Table_Household_Alloc[cluster]=$B$1),0))</f>
        <v>V</v>
      </c>
      <c r="F22" s="102" cm="1">
        <f t="array" ref="F22">INDEX(Amanda_energy[Daily_Supply_incl_GST],MATCH(1,(Amanda_energy[Cluster]=$B$1)*(Amanda_energy[Month]=$F$2),0))/MAX($A:$A)</f>
        <v>8.11904761904762</v>
      </c>
      <c r="G22" s="103" cm="1">
        <f t="array" ref="G22">INDEX(Amanda_energy[Daily_Supply_incl_GST],MATCH(1,(Amanda_energy[Cluster]=$B$1)*(Amanda_energy[Month]=$G$2),0))/MAX($A:$A)</f>
        <v>7.33333333333333</v>
      </c>
      <c r="H22" s="103" t="e" cm="1">
        <f t="array" ref="H22">INDEX(Amanda_energy[Daily_Supply_incl_GST],MATCH(1,(Amanda_energy[Cluster]=$B$1)*(Amanda_energy[Month]=$H$2),0))/MAX($A:$A)</f>
        <v>#N/A</v>
      </c>
      <c r="I22" s="103" t="e">
        <f t="shared" si="1"/>
        <v>#N/A</v>
      </c>
      <c r="J22" s="172">
        <f>'Tariff Rates'!$B$8*$J$3</f>
        <v>13.5616438356164</v>
      </c>
      <c r="K22" s="172">
        <f>'Tariff Rates'!$C$8*Table1[[#This Row],[Percentage of Unit Entitlement (%)]]*'Energy billing Mastersheet'!$K$3</f>
        <v>11.6358904109589</v>
      </c>
      <c r="L22" s="172">
        <f>$L$3*'Tariff Rates'!$D$8*IF(Table1[[#This Row],[Stage of Dev.]]="V",0,1)</f>
        <v>0</v>
      </c>
      <c r="M22" s="173">
        <v>1.1</v>
      </c>
      <c r="N22" s="174" t="e">
        <f t="shared" ref="N22:N23" si="28">SUM(F22:M22)</f>
        <v>#N/A</v>
      </c>
      <c r="O22" s="175" cm="1">
        <f t="array" ref="O22">INDEX(Reading_import[1/1/2025],MATCH(1,(Reading_import[Lot]=A22)*(Reading_import[cluster]=$B$1),0))</f>
        <v>0</v>
      </c>
      <c r="P22" s="176" cm="1">
        <f t="array" ref="P22">INDEX(Reading_import[1/3/2025],MATCH(1,(Reading_import[Lot]=A22)*(Reading_import[cluster]=$B$1),0))</f>
        <v>0</v>
      </c>
      <c r="Q22" s="195">
        <f>Table1[[#This Row],[Last day of reporting period: import]]-Table1[[#This Row],[1st day of reporting period: import]]</f>
        <v>0</v>
      </c>
      <c r="R22" s="196">
        <f t="shared" ref="R22:R23" si="29">Q22/$N$3</f>
        <v>0</v>
      </c>
      <c r="S22" s="197">
        <f t="shared" si="4"/>
        <v>0</v>
      </c>
      <c r="T22" s="198">
        <f>IF(Table1[[#This Row],[Stage of Dev.]]="V",0,233*Table1[[#This Row],[Percentage of Unit Entitlement (%)]])</f>
        <v>0</v>
      </c>
      <c r="U22" s="199">
        <f t="shared" ref="U22:U23" si="30">IF(T22&gt;R22,R22,T22)</f>
        <v>0</v>
      </c>
      <c r="V22" s="199">
        <f>Table1[[#This Row],[Daily Battery allowance based on UE% (kWh)]]-Table1[[#This Row],[Applicable Battery Allowance Daily Consumption (kWh)]]</f>
        <v>0</v>
      </c>
      <c r="W22" s="200">
        <f>Table1[[#This Row],[Unused Daily Allowance (kWh)]]/$V$32</f>
        <v>0</v>
      </c>
      <c r="X22" s="199">
        <f>IF(Table1[[#This Row],[Applicable Battery Allowance Daily Consumption (kWh)]]&gt;Table1[[#This Row],[Total Daily Average Consumptio for Billing Period (kWh)]],Table1[[#This Row],[Total Consumption Import  (kWh)]],U22*$N$3)</f>
        <v>0</v>
      </c>
      <c r="Y22" s="215">
        <f>IF(Table1[[#This Row],[Applicable Battery Allowance Daily Consumption (kWh)]]&gt;0,ABS(Q22-X22),0)</f>
        <v>0</v>
      </c>
      <c r="Z22" s="216">
        <f>IFERROR(Table1[[#This Row],[Energy Exceeding Battery Allowance (kWh)]]/$Y$32,0)</f>
        <v>0</v>
      </c>
      <c r="AA22" s="217" t="e">
        <f t="shared" si="6"/>
        <v>#N/A</v>
      </c>
      <c r="AB22" s="218">
        <f>IFERROR(Table1[[#This Row],[Total Cluster Energy Balance for P2P Trading (kWh)]]*Table1[[#This Row],[Energy Exceeding Battery Allowance %]],0)</f>
        <v>0</v>
      </c>
      <c r="AC22" s="219">
        <f>Table1[[#This Row],[P2P Import Consumption within Battery Allowance(kWh)]]+Table1[[#This Row],[P2P Import Consumption over Battery Allowance based on Energy Exceeding Allowance % (kWh)]]</f>
        <v>0</v>
      </c>
      <c r="AD22" s="219">
        <f>Table1[[#This Row],[Total Consumption Import  (kWh)]]-Table1[[#This Row],[Total P2P import (kWh)]]</f>
        <v>0</v>
      </c>
      <c r="AE22" s="220">
        <f>IFERROR(Table1[[#This Row],[Total P2P import (kWh)]]/$AC$32,0)</f>
        <v>0</v>
      </c>
      <c r="AF22" s="221">
        <f t="shared" si="7"/>
        <v>1474</v>
      </c>
      <c r="AG22" s="221">
        <f t="shared" ref="AG22:AG23" si="31">AF22*AE22</f>
        <v>0</v>
      </c>
      <c r="AH22" s="232">
        <f t="shared" si="9"/>
        <v>458</v>
      </c>
      <c r="AI22" s="232">
        <f>Table1[[#This Row],[Cluster''s Total Common Services (kWh)]]*Table1[[#This Row],[Percentage of Unit Entitlement (%)]]</f>
        <v>25.19</v>
      </c>
      <c r="AJ22" s="233">
        <f>AG22*'Tariff Rates'!$B$3</f>
        <v>0</v>
      </c>
      <c r="AK22" s="233">
        <f>Table1[[#This Row],[Common Services based on Split per Unit Entitlement % to battery (kWh)]]*'Tariff Rates'!$B$3</f>
        <v>5.5418</v>
      </c>
      <c r="AL22" s="234">
        <f>Table1[[#This Row],[Total P2P import (kWh)]]*IF(Table1[[#This Row],[Total Lot Export (kWh)]]=0,'Tariff Rates'!$B$3,'Tariff Rates'!$L$3)</f>
        <v>0</v>
      </c>
      <c r="AM22" s="235">
        <f>Table1[[#This Row],[P2P Import Consumption over Battery Allowance based on Energy Exceeding Allowance % (kWh)]]*'Tariff Rates'!$J$3</f>
        <v>0</v>
      </c>
      <c r="AN22" s="236">
        <f>Table1[[#This Row],[Energy Import from Grid (kWh)]]*'Tariff Rates'!$E$3</f>
        <v>0</v>
      </c>
      <c r="AO22" s="256">
        <f t="shared" ref="AO22:AO23" si="32">SUM(AJ22:AN22)</f>
        <v>5.5418</v>
      </c>
      <c r="AP22" s="257" cm="1">
        <f t="array" ref="AP22">INDEX(Reading_export[1/1/2025],MATCH(1,(Reading_export[Lot]=A22)*(Reading_export[cluster]=$B$1),0))</f>
        <v>0</v>
      </c>
      <c r="AQ22" s="257" cm="1">
        <f t="array" ref="AQ22">INDEX(Reading_export[1/3/2025],MATCH(1,(Reading_export[Lot]=A22)*(Reading_export[cluster]=$B$1),0))</f>
        <v>0</v>
      </c>
      <c r="AR22" s="258">
        <f>Table1[[#This Row],[Last day of reporting period: export]]-Table1[[#This Row],[1st day of reporting period: export]]</f>
        <v>0</v>
      </c>
      <c r="AS22" s="259">
        <f t="shared" si="10"/>
        <v>0</v>
      </c>
      <c r="AT22" s="260">
        <f>Table1[[#This Row],[Percentage of Total export for Billing Period (%)]]*$AC$32</f>
        <v>0</v>
      </c>
      <c r="AU22" s="260" t="e">
        <f t="shared" si="11"/>
        <v>#N/A</v>
      </c>
      <c r="AV22" s="261">
        <f>IFERROR(Table1[[#This Row],[Total Cluster Energy Balance for P2P Trading (kWh)2]]*Table1[[#This Row],[Unused Daily Allowance %]],0)</f>
        <v>0</v>
      </c>
      <c r="AW22" s="260">
        <f t="shared" ref="AW22:AW23" si="33">AS22*AF22</f>
        <v>0</v>
      </c>
      <c r="AX22" s="261">
        <f>Table1[[#This Row],[Cluster''s Total Common Services (kWh)]]*Table1[[#This Row],[Percentage of Total export for Billing Period (%)]]</f>
        <v>0</v>
      </c>
      <c r="AY22" s="261">
        <f>$Q$27*Table1[[#This Row],[Percentage of Total export for Billing Period (%)]]</f>
        <v>0</v>
      </c>
      <c r="AZ22" s="26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22" s="261">
        <f t="shared" si="15"/>
        <v>0</v>
      </c>
      <c r="BB22" s="261">
        <f>Table1[[#This Row],[Energy Losses When Export to Grid (kWh)]]*Table1[[#This Row],[Percentage of Total export for Billing Period (%)]]</f>
        <v>0</v>
      </c>
      <c r="BC22" s="261">
        <f>Table1[[#This Row],[Therotical Energy Export to Grid (kWh)]]-Table1[[#This Row],[Energy Losses When Export to Grid based up % total export (kWh)]]</f>
        <v>0</v>
      </c>
      <c r="BD22" s="274">
        <f>AW22*'Tariff Rates'!$C$3</f>
        <v>0</v>
      </c>
      <c r="BE22" s="274">
        <f>Table1[[#This Row],[Common Service based upon % total export to battery (kWh)]]*'Tariff Rates'!$C$3</f>
        <v>0</v>
      </c>
      <c r="BF22" s="274">
        <f>Table1[[#This Row],[EV Charger based upon % total export to battery (kWh)]]*'Tariff Rates'!$C$3</f>
        <v>0</v>
      </c>
      <c r="BG22" s="286">
        <f>AT22*'Tariff Rates'!$C$3</f>
        <v>0</v>
      </c>
      <c r="BH22" s="286">
        <f>Table1[[#This Row],[Borrowed Allowance Based on Unused Daily Allowance % (kWh)]]*'Tariff Rates'!$K$3</f>
        <v>0</v>
      </c>
      <c r="BI22" s="286">
        <f>BC22*'Tariff Rates'!$F$3</f>
        <v>0</v>
      </c>
      <c r="BJ22" s="286">
        <f t="shared" si="19"/>
        <v>0</v>
      </c>
      <c r="BK22" s="287">
        <f>$D$45*Table1[[#This Row],[Percentage of Unit Entitlement (%)]]</f>
        <v>0</v>
      </c>
      <c r="BL22" s="288">
        <f>BK22*'Tariff Rates'!$H$3</f>
        <v>0</v>
      </c>
      <c r="BM22" s="288">
        <f>($Q$27)*Table1[[#This Row],[Percentage of Unit Entitlement (%)]]*'Tariff Rates'!$B$3</f>
        <v>19.5657</v>
      </c>
      <c r="BN22" s="288">
        <f t="shared" ref="BN22:BN23" si="34">SUM(BM22,BL22)</f>
        <v>19.5657</v>
      </c>
      <c r="BO22" s="288">
        <f t="shared" ref="BO22:BO23" si="35">BK22</f>
        <v>0</v>
      </c>
      <c r="BP22" s="307">
        <f t="shared" ref="BP22:BP23" si="36">BO22+BN22</f>
        <v>19.5657</v>
      </c>
      <c r="BQ22" s="308" t="e">
        <f t="shared" ref="BQ22:BQ23" si="37">AO22+BJ22+N22+BP22</f>
        <v>#N/A</v>
      </c>
      <c r="BR22" s="312"/>
      <c r="BS22" s="313"/>
      <c r="BT22" s="314">
        <v>15</v>
      </c>
    </row>
    <row r="23" spans="1:72">
      <c r="A23" s="97">
        <v>19</v>
      </c>
      <c r="B23" s="98" t="str" cm="1">
        <f t="array" ref="B23">INDEX(Table_Household_Alloc[Owner],MATCH(1,(Table_Household_Alloc[Lot]=A23)*(Table_Household_Alloc[cluster]=$B$1),0))</f>
        <v>Lindy Dunlop</v>
      </c>
      <c r="C23" s="99" cm="1">
        <f t="array" ref="C23">INDEX(Reading_import[Meter'#],MATCH(1,(Table_Household_Alloc[Lot]=A23)*(Table_Household_Alloc[cluster]=$B$1),0))</f>
        <v>50002864</v>
      </c>
      <c r="D23" s="100" cm="1">
        <f t="array" ref="D23">INDEX(Table_Household_Alloc[UE % over Cluster],MATCH(1,(Table_Household_Alloc[Lot]=A23)*(Table_Household_Alloc[cluster]=$B$1),0))</f>
        <v>0.055</v>
      </c>
      <c r="E23" s="101" t="str" cm="1">
        <f t="array" ref="E23">INDEX(Table_Household_Alloc[Stage of Dev.],MATCH(1,(Table_Household_Alloc[Lot]=A23)*(Table_Household_Alloc[cluster]=$B$1),0))</f>
        <v>O</v>
      </c>
      <c r="F23" s="102" cm="1">
        <f t="array" ref="F23">INDEX(Amanda_energy[Daily_Supply_incl_GST],MATCH(1,(Amanda_energy[Cluster]=$B$1)*(Amanda_energy[Month]=$F$2),0))/MAX($A:$A)</f>
        <v>8.11904761904762</v>
      </c>
      <c r="G23" s="103" cm="1">
        <f t="array" ref="G23">INDEX(Amanda_energy[Daily_Supply_incl_GST],MATCH(1,(Amanda_energy[Cluster]=$B$1)*(Amanda_energy[Month]=$G$2),0))/MAX($A:$A)</f>
        <v>7.33333333333333</v>
      </c>
      <c r="H23" s="103" t="e" cm="1">
        <f t="array" ref="H23">INDEX(Amanda_energy[Daily_Supply_incl_GST],MATCH(1,(Amanda_energy[Cluster]=$B$1)*(Amanda_energy[Month]=$H$2),0))/MAX($A:$A)</f>
        <v>#N/A</v>
      </c>
      <c r="I23" s="103" t="e">
        <f t="shared" si="1"/>
        <v>#N/A</v>
      </c>
      <c r="J23" s="172">
        <f>'Tariff Rates'!$B$8*$J$3</f>
        <v>13.5616438356164</v>
      </c>
      <c r="K23" s="172">
        <f>'Tariff Rates'!$C$8*Table1[[#This Row],[Percentage of Unit Entitlement (%)]]*'Energy billing Mastersheet'!$K$3</f>
        <v>11.6358904109589</v>
      </c>
      <c r="L23" s="172">
        <f>$L$3*'Tariff Rates'!$D$8*IF(Table1[[#This Row],[Stage of Dev.]]="V",0,1)</f>
        <v>19.8</v>
      </c>
      <c r="M23" s="173">
        <v>1.1</v>
      </c>
      <c r="N23" s="174" t="e">
        <f t="shared" si="28"/>
        <v>#N/A</v>
      </c>
      <c r="O23" s="175" cm="1">
        <f t="array" ref="O23">INDEX(Reading_import[1/1/2025],MATCH(1,(Reading_import[Lot]=A23)*(Reading_import[cluster]=$B$1),0))</f>
        <v>3203</v>
      </c>
      <c r="P23" s="176" cm="1">
        <f t="array" ref="P23">INDEX(Reading_import[1/3/2025],MATCH(1,(Reading_import[Lot]=A23)*(Reading_import[cluster]=$B$1),0))</f>
        <v>3327</v>
      </c>
      <c r="Q23" s="195">
        <f>Table1[[#This Row],[Last day of reporting period: import]]-Table1[[#This Row],[1st day of reporting period: import]]</f>
        <v>124</v>
      </c>
      <c r="R23" s="196">
        <f t="shared" si="29"/>
        <v>1.37777777777778</v>
      </c>
      <c r="S23" s="197">
        <f t="shared" si="4"/>
        <v>0.0227941176470588</v>
      </c>
      <c r="T23" s="198">
        <f>IF(Table1[[#This Row],[Stage of Dev.]]="V",0,233*Table1[[#This Row],[Percentage of Unit Entitlement (%)]])</f>
        <v>12.815</v>
      </c>
      <c r="U23" s="199">
        <f t="shared" si="30"/>
        <v>1.37777777777778</v>
      </c>
      <c r="V23" s="199">
        <f>Table1[[#This Row],[Daily Battery allowance based on UE% (kWh)]]-Table1[[#This Row],[Applicable Battery Allowance Daily Consumption (kWh)]]</f>
        <v>11.4372222222222</v>
      </c>
      <c r="W23" s="200">
        <f>Table1[[#This Row],[Unused Daily Allowance (kWh)]]/$V$32</f>
        <v>0.0810572444395447</v>
      </c>
      <c r="X23" s="199">
        <f>IF(Table1[[#This Row],[Applicable Battery Allowance Daily Consumption (kWh)]]&gt;Table1[[#This Row],[Total Daily Average Consumptio for Billing Period (kWh)]],Table1[[#This Row],[Total Consumption Import  (kWh)]],U23*$N$3)</f>
        <v>124</v>
      </c>
      <c r="Y23" s="215">
        <f>IF(Table1[[#This Row],[Applicable Battery Allowance Daily Consumption (kWh)]]&gt;0,ABS(Q23-X23),0)</f>
        <v>0</v>
      </c>
      <c r="Z23" s="216">
        <f>IFERROR(Table1[[#This Row],[Energy Exceeding Battery Allowance (kWh)]]/$Y$32,0)</f>
        <v>0</v>
      </c>
      <c r="AA23" s="217" t="e">
        <f t="shared" si="6"/>
        <v>#N/A</v>
      </c>
      <c r="AB23" s="218">
        <f>IFERROR(Table1[[#This Row],[Total Cluster Energy Balance for P2P Trading (kWh)]]*Table1[[#This Row],[Energy Exceeding Battery Allowance %]],0)</f>
        <v>0</v>
      </c>
      <c r="AC23" s="219">
        <f>Table1[[#This Row],[P2P Import Consumption within Battery Allowance(kWh)]]+Table1[[#This Row],[P2P Import Consumption over Battery Allowance based on Energy Exceeding Allowance % (kWh)]]</f>
        <v>124</v>
      </c>
      <c r="AD23" s="219">
        <f>Table1[[#This Row],[Total Consumption Import  (kWh)]]-Table1[[#This Row],[Total P2P import (kWh)]]</f>
        <v>0</v>
      </c>
      <c r="AE23" s="220">
        <f>IFERROR(Table1[[#This Row],[Total P2P import (kWh)]]/$AC$32,0)</f>
        <v>0.0227941176470588</v>
      </c>
      <c r="AF23" s="221">
        <f t="shared" si="7"/>
        <v>1474</v>
      </c>
      <c r="AG23" s="221">
        <f t="shared" si="31"/>
        <v>33.5985294117647</v>
      </c>
      <c r="AH23" s="232">
        <f t="shared" si="9"/>
        <v>458</v>
      </c>
      <c r="AI23" s="232">
        <f>Table1[[#This Row],[Cluster''s Total Common Services (kWh)]]*Table1[[#This Row],[Percentage of Unit Entitlement (%)]]</f>
        <v>25.19</v>
      </c>
      <c r="AJ23" s="233">
        <f>AG23*'Tariff Rates'!$B$3</f>
        <v>7.39167647058823</v>
      </c>
      <c r="AK23" s="233">
        <f>Table1[[#This Row],[Common Services based on Split per Unit Entitlement % to battery (kWh)]]*'Tariff Rates'!$B$3</f>
        <v>5.5418</v>
      </c>
      <c r="AL23" s="234">
        <f>Table1[[#This Row],[Total P2P import (kWh)]]*IF(Table1[[#This Row],[Total Lot Export (kWh)]]=0,'Tariff Rates'!$B$3,'Tariff Rates'!$L$3)</f>
        <v>44.64</v>
      </c>
      <c r="AM23" s="235">
        <f>Table1[[#This Row],[P2P Import Consumption over Battery Allowance based on Energy Exceeding Allowance % (kWh)]]*'Tariff Rates'!$J$3</f>
        <v>0</v>
      </c>
      <c r="AN23" s="236">
        <f>Table1[[#This Row],[Energy Import from Grid (kWh)]]*'Tariff Rates'!$E$3</f>
        <v>0</v>
      </c>
      <c r="AO23" s="256">
        <f t="shared" si="32"/>
        <v>57.5734764705882</v>
      </c>
      <c r="AP23" s="257" cm="1">
        <f t="array" ref="AP23">INDEX(Reading_export[1/1/2025],MATCH(1,(Reading_export[Lot]=A23)*(Reading_export[cluster]=$B$1),0))</f>
        <v>43757</v>
      </c>
      <c r="AQ23" s="257" cm="1">
        <f t="array" ref="AQ23">INDEX(Reading_export[1/3/2025],MATCH(1,(Reading_export[Lot]=A23)*(Reading_export[cluster]=$B$1),0))</f>
        <v>47349</v>
      </c>
      <c r="AR23" s="258">
        <f>Table1[[#This Row],[Last day of reporting period: export]]-Table1[[#This Row],[1st day of reporting period: export]]</f>
        <v>3592</v>
      </c>
      <c r="AS23" s="259">
        <f t="shared" si="10"/>
        <v>0.133974861064488</v>
      </c>
      <c r="AT23" s="260">
        <f>Table1[[#This Row],[Percentage of Total export for Billing Period (%)]]*$AC$32</f>
        <v>728.823244190817</v>
      </c>
      <c r="AU23" s="260" t="e">
        <f t="shared" si="11"/>
        <v>#N/A</v>
      </c>
      <c r="AV23" s="261">
        <f>IFERROR(Table1[[#This Row],[Total Cluster Energy Balance for P2P Trading (kWh)2]]*Table1[[#This Row],[Unused Daily Allowance %]],0)</f>
        <v>0</v>
      </c>
      <c r="AW23" s="260">
        <f t="shared" si="33"/>
        <v>197.478945209056</v>
      </c>
      <c r="AX23" s="261">
        <f>Table1[[#This Row],[Cluster''s Total Common Services (kWh)]]*Table1[[#This Row],[Percentage of Total export for Billing Period (%)]]</f>
        <v>61.3604863675357</v>
      </c>
      <c r="AY23" s="261">
        <f>$Q$27*Table1[[#This Row],[Percentage of Total export for Billing Period (%)]]</f>
        <v>216.637350341278</v>
      </c>
      <c r="AZ23" s="26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2387.69997389131</v>
      </c>
      <c r="BA23" s="261">
        <f t="shared" si="15"/>
        <v>0</v>
      </c>
      <c r="BB23" s="261">
        <f>Table1[[#This Row],[Energy Losses When Export to Grid (kWh)]]*Table1[[#This Row],[Percentage of Total export for Billing Period (%)]]</f>
        <v>0</v>
      </c>
      <c r="BC23" s="261">
        <f>Table1[[#This Row],[Therotical Energy Export to Grid (kWh)]]-Table1[[#This Row],[Energy Losses When Export to Grid based up % total export (kWh)]]</f>
        <v>2387.69997389131</v>
      </c>
      <c r="BD23" s="274">
        <f>AW23*'Tariff Rates'!$C$3</f>
        <v>-43.4453679459923</v>
      </c>
      <c r="BE23" s="274">
        <f>Table1[[#This Row],[Common Service based upon % total export to battery (kWh)]]*'Tariff Rates'!$C$3</f>
        <v>-13.4993070008579</v>
      </c>
      <c r="BF23" s="274">
        <f>Table1[[#This Row],[EV Charger based upon % total export to battery (kWh)]]*'Tariff Rates'!$C$3</f>
        <v>-47.6602170750811</v>
      </c>
      <c r="BG23" s="286">
        <f>AT23*'Tariff Rates'!$C$3</f>
        <v>-160.34111372198</v>
      </c>
      <c r="BH23" s="286">
        <f>Table1[[#This Row],[Borrowed Allowance Based on Unused Daily Allowance % (kWh)]]*'Tariff Rates'!$K$3</f>
        <v>0</v>
      </c>
      <c r="BI23" s="286">
        <f>BC23*'Tariff Rates'!$F$3</f>
        <v>-91.9264489948156</v>
      </c>
      <c r="BJ23" s="286">
        <f t="shared" si="19"/>
        <v>-356.872454738727</v>
      </c>
      <c r="BK23" s="287">
        <f>$D$45*Table1[[#This Row],[Percentage of Unit Entitlement (%)]]</f>
        <v>0</v>
      </c>
      <c r="BL23" s="288">
        <f>BK23*'Tariff Rates'!$H$3</f>
        <v>0</v>
      </c>
      <c r="BM23" s="288">
        <f>($Q$27)*Table1[[#This Row],[Percentage of Unit Entitlement (%)]]*'Tariff Rates'!$B$3</f>
        <v>19.5657</v>
      </c>
      <c r="BN23" s="288">
        <f t="shared" si="34"/>
        <v>19.5657</v>
      </c>
      <c r="BO23" s="288">
        <f t="shared" si="35"/>
        <v>0</v>
      </c>
      <c r="BP23" s="307">
        <f t="shared" si="36"/>
        <v>19.5657</v>
      </c>
      <c r="BQ23" s="308" t="e">
        <f t="shared" si="37"/>
        <v>#N/A</v>
      </c>
      <c r="BR23" s="315"/>
      <c r="BS23" s="316"/>
      <c r="BT23" s="311">
        <v>16</v>
      </c>
    </row>
    <row r="24" spans="1:72">
      <c r="A24" s="97">
        <v>20</v>
      </c>
      <c r="B24" s="98" t="str" cm="1">
        <f t="array" ref="B24">INDEX(Table_Household_Alloc[Owner],MATCH(1,(Table_Household_Alloc[Lot]=A24)*(Table_Household_Alloc[cluster]=$B$1),0))</f>
        <v>Elke Light</v>
      </c>
      <c r="C24" s="99" cm="1">
        <f t="array" ref="C24">INDEX(Reading_import[Meter'#],MATCH(1,(Table_Household_Alloc[Lot]=A24)*(Table_Household_Alloc[cluster]=$B$1),0))</f>
        <v>50002710</v>
      </c>
      <c r="D24" s="100" cm="1">
        <f t="array" ref="D24">INDEX(Table_Household_Alloc[UE % over Cluster],MATCH(1,(Table_Household_Alloc[Lot]=A24)*(Table_Household_Alloc[cluster]=$B$1),0))</f>
        <v>0.026</v>
      </c>
      <c r="E24" s="101" t="str" cm="1">
        <f t="array" ref="E24">INDEX(Table_Household_Alloc[Stage of Dev.],MATCH(1,(Table_Household_Alloc[Lot]=A24)*(Table_Household_Alloc[cluster]=$B$1),0))</f>
        <v>O</v>
      </c>
      <c r="F24" s="102" cm="1">
        <f t="array" ref="F24">INDEX(Amanda_energy[Daily_Supply_incl_GST],MATCH(1,(Amanda_energy[Cluster]=$B$1)*(Amanda_energy[Month]=$F$2),0))/MAX($A:$A)</f>
        <v>8.11904761904762</v>
      </c>
      <c r="G24" s="103" cm="1">
        <f t="array" ref="G24">INDEX(Amanda_energy[Daily_Supply_incl_GST],MATCH(1,(Amanda_energy[Cluster]=$B$1)*(Amanda_energy[Month]=$G$2),0))/MAX($A:$A)</f>
        <v>7.33333333333333</v>
      </c>
      <c r="H24" s="103" t="e" cm="1">
        <f t="array" ref="H24">INDEX(Amanda_energy[Daily_Supply_incl_GST],MATCH(1,(Amanda_energy[Cluster]=$B$1)*(Amanda_energy[Month]=$H$2),0))/MAX($A:$A)</f>
        <v>#N/A</v>
      </c>
      <c r="I24" s="103" t="e">
        <f t="shared" si="1"/>
        <v>#N/A</v>
      </c>
      <c r="J24" s="172">
        <f>'Tariff Rates'!$B$8*$J$3</f>
        <v>13.5616438356164</v>
      </c>
      <c r="K24" s="172">
        <f>'Tariff Rates'!$C$8*Table1[[#This Row],[Percentage of Unit Entitlement (%)]]*'Energy billing Mastersheet'!$K$3</f>
        <v>5.50060273972603</v>
      </c>
      <c r="L24" s="172">
        <f>$L$3*'Tariff Rates'!$D$8*IF(Table1[[#This Row],[Stage of Dev.]]="V",0,1)</f>
        <v>19.8</v>
      </c>
      <c r="M24" s="173">
        <v>1.1</v>
      </c>
      <c r="N24" s="174" t="e">
        <f t="shared" si="2"/>
        <v>#N/A</v>
      </c>
      <c r="O24" s="175" cm="1">
        <f t="array" ref="O24">INDEX(Reading_import[1/1/2025],MATCH(1,(Reading_import[Lot]=A24)*(Reading_import[cluster]=$B$1),0))</f>
        <v>3644</v>
      </c>
      <c r="P24" s="176" cm="1">
        <f t="array" ref="P24">INDEX(Reading_import[1/3/2025],MATCH(1,(Reading_import[Lot]=A24)*(Reading_import[cluster]=$B$1),0))</f>
        <v>3772</v>
      </c>
      <c r="Q24" s="195">
        <f>Table1[[#This Row],[Last day of reporting period: import]]-Table1[[#This Row],[1st day of reporting period: import]]</f>
        <v>128</v>
      </c>
      <c r="R24" s="196">
        <f t="shared" si="20"/>
        <v>1.42222222222222</v>
      </c>
      <c r="S24" s="197">
        <f t="shared" si="4"/>
        <v>0.0235294117647059</v>
      </c>
      <c r="T24" s="198">
        <f>IF(Table1[[#This Row],[Stage of Dev.]]="V",0,233*Table1[[#This Row],[Percentage of Unit Entitlement (%)]])</f>
        <v>6.058</v>
      </c>
      <c r="U24" s="199">
        <f t="shared" si="21"/>
        <v>1.42222222222222</v>
      </c>
      <c r="V24" s="199">
        <f>Table1[[#This Row],[Daily Battery allowance based on UE% (kWh)]]-Table1[[#This Row],[Applicable Battery Allowance Daily Consumption (kWh)]]</f>
        <v>4.63577777777778</v>
      </c>
      <c r="W24" s="200">
        <f>Table1[[#This Row],[Unused Daily Allowance (kWh)]]/$V$32</f>
        <v>0.0328544261184892</v>
      </c>
      <c r="X24" s="199">
        <f>IF(Table1[[#This Row],[Applicable Battery Allowance Daily Consumption (kWh)]]&gt;Table1[[#This Row],[Total Daily Average Consumptio for Billing Period (kWh)]],Table1[[#This Row],[Total Consumption Import  (kWh)]],U24*$N$3)</f>
        <v>128</v>
      </c>
      <c r="Y24" s="215">
        <f>IF(Table1[[#This Row],[Applicable Battery Allowance Daily Consumption (kWh)]]&gt;0,ABS(Q24-X24),0)</f>
        <v>0</v>
      </c>
      <c r="Z24" s="216">
        <f>IFERROR(Table1[[#This Row],[Energy Exceeding Battery Allowance (kWh)]]/$Y$32,0)</f>
        <v>0</v>
      </c>
      <c r="AA24" s="217" t="e">
        <f t="shared" si="6"/>
        <v>#N/A</v>
      </c>
      <c r="AB24" s="218">
        <f>IFERROR(Table1[[#This Row],[Total Cluster Energy Balance for P2P Trading (kWh)]]*Table1[[#This Row],[Energy Exceeding Battery Allowance %]],0)</f>
        <v>0</v>
      </c>
      <c r="AC24" s="219">
        <f>Table1[[#This Row],[P2P Import Consumption within Battery Allowance(kWh)]]+Table1[[#This Row],[P2P Import Consumption over Battery Allowance based on Energy Exceeding Allowance % (kWh)]]</f>
        <v>128</v>
      </c>
      <c r="AD24" s="219">
        <f>Table1[[#This Row],[Total Consumption Import  (kWh)]]-Table1[[#This Row],[Total P2P import (kWh)]]</f>
        <v>0</v>
      </c>
      <c r="AE24" s="220">
        <f>IFERROR(Table1[[#This Row],[Total P2P import (kWh)]]/$AC$32,0)</f>
        <v>0.0235294117647059</v>
      </c>
      <c r="AF24" s="221">
        <f t="shared" si="7"/>
        <v>1474</v>
      </c>
      <c r="AG24" s="221">
        <f t="shared" si="22"/>
        <v>34.6823529411765</v>
      </c>
      <c r="AH24" s="232">
        <f t="shared" si="9"/>
        <v>458</v>
      </c>
      <c r="AI24" s="232">
        <f>Table1[[#This Row],[Cluster''s Total Common Services (kWh)]]*Table1[[#This Row],[Percentage of Unit Entitlement (%)]]</f>
        <v>11.908</v>
      </c>
      <c r="AJ24" s="233">
        <f>AG24*'Tariff Rates'!$B$3</f>
        <v>7.63011764705882</v>
      </c>
      <c r="AK24" s="233">
        <f>Table1[[#This Row],[Common Services based on Split per Unit Entitlement % to battery (kWh)]]*'Tariff Rates'!$B$3</f>
        <v>2.61976</v>
      </c>
      <c r="AL24" s="234">
        <f>Table1[[#This Row],[Total P2P import (kWh)]]*IF(Table1[[#This Row],[Total Lot Export (kWh)]]=0,'Tariff Rates'!$B$3,'Tariff Rates'!$L$3)</f>
        <v>46.08</v>
      </c>
      <c r="AM24" s="235">
        <f>Table1[[#This Row],[P2P Import Consumption over Battery Allowance based on Energy Exceeding Allowance % (kWh)]]*'Tariff Rates'!$J$3</f>
        <v>0</v>
      </c>
      <c r="AN24" s="236">
        <f>Table1[[#This Row],[Energy Import from Grid (kWh)]]*'Tariff Rates'!$E$3</f>
        <v>0</v>
      </c>
      <c r="AO24" s="256">
        <f t="shared" si="23"/>
        <v>56.3298776470588</v>
      </c>
      <c r="AP24" s="257" cm="1">
        <f t="array" ref="AP24">INDEX(Reading_export[1/1/2025],MATCH(1,(Reading_export[Lot]=A24)*(Reading_export[cluster]=$B$1),0))</f>
        <v>11511</v>
      </c>
      <c r="AQ24" s="257" cm="1">
        <f t="array" ref="AQ24">INDEX(Reading_export[1/3/2025],MATCH(1,(Reading_export[Lot]=A24)*(Reading_export[cluster]=$B$1),0))</f>
        <v>13341</v>
      </c>
      <c r="AR24" s="258">
        <f>Table1[[#This Row],[Last day of reporting period: export]]-Table1[[#This Row],[1st day of reporting period: export]]</f>
        <v>1830</v>
      </c>
      <c r="AS24" s="259">
        <f t="shared" si="10"/>
        <v>0.0682555667449927</v>
      </c>
      <c r="AT24" s="260">
        <f>Table1[[#This Row],[Percentage of Total export for Billing Period (%)]]*$AC$32</f>
        <v>371.31028309276</v>
      </c>
      <c r="AU24" s="260" t="e">
        <f t="shared" si="11"/>
        <v>#N/A</v>
      </c>
      <c r="AV24" s="261">
        <f>IFERROR(Table1[[#This Row],[Total Cluster Energy Balance for P2P Trading (kWh)2]]*Table1[[#This Row],[Unused Daily Allowance %]],0)</f>
        <v>0</v>
      </c>
      <c r="AW24" s="260">
        <f t="shared" si="24"/>
        <v>100.608705382119</v>
      </c>
      <c r="AX24" s="261">
        <f>Table1[[#This Row],[Cluster''s Total Common Services (kWh)]]*Table1[[#This Row],[Percentage of Total export for Billing Period (%)]]</f>
        <v>31.2610495692067</v>
      </c>
      <c r="AY24" s="261">
        <f>$Q$27*Table1[[#This Row],[Percentage of Total export for Billing Period (%)]]</f>
        <v>110.369251426653</v>
      </c>
      <c r="AZ24" s="26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1216.45071052926</v>
      </c>
      <c r="BA24" s="261">
        <f t="shared" si="15"/>
        <v>0</v>
      </c>
      <c r="BB24" s="261">
        <f>Table1[[#This Row],[Energy Losses When Export to Grid (kWh)]]*Table1[[#This Row],[Percentage of Total export for Billing Period (%)]]</f>
        <v>0</v>
      </c>
      <c r="BC24" s="261">
        <f>Table1[[#This Row],[Therotical Energy Export to Grid (kWh)]]-Table1[[#This Row],[Energy Losses When Export to Grid based up % total export (kWh)]]</f>
        <v>1216.45071052926</v>
      </c>
      <c r="BD24" s="274">
        <f>AW24*'Tariff Rates'!$C$3</f>
        <v>-22.1339151840662</v>
      </c>
      <c r="BE24" s="274">
        <f>Table1[[#This Row],[Common Service based upon % total export to battery (kWh)]]*'Tariff Rates'!$C$3</f>
        <v>-6.87743090522547</v>
      </c>
      <c r="BF24" s="274">
        <f>Table1[[#This Row],[EV Charger based upon % total export to battery (kWh)]]*'Tariff Rates'!$C$3</f>
        <v>-24.2812353138637</v>
      </c>
      <c r="BG24" s="286">
        <f>AT24*'Tariff Rates'!$C$3</f>
        <v>-81.6882622804073</v>
      </c>
      <c r="BH24" s="286">
        <f>Table1[[#This Row],[Borrowed Allowance Based on Unused Daily Allowance % (kWh)]]*'Tariff Rates'!$K$3</f>
        <v>0</v>
      </c>
      <c r="BI24" s="286">
        <f>BC24*'Tariff Rates'!$F$3</f>
        <v>-46.8333523553765</v>
      </c>
      <c r="BJ24" s="286">
        <f t="shared" si="19"/>
        <v>-181.814196038939</v>
      </c>
      <c r="BK24" s="287">
        <f>$D$45*Table1[[#This Row],[Percentage of Unit Entitlement (%)]]</f>
        <v>0</v>
      </c>
      <c r="BL24" s="288">
        <f>BK24*'Tariff Rates'!$H$3</f>
        <v>0</v>
      </c>
      <c r="BM24" s="288">
        <f>($Q$27)*Table1[[#This Row],[Percentage of Unit Entitlement (%)]]*'Tariff Rates'!$B$3</f>
        <v>9.24924</v>
      </c>
      <c r="BN24" s="288">
        <f t="shared" si="25"/>
        <v>9.24924</v>
      </c>
      <c r="BO24" s="288">
        <f t="shared" si="26"/>
        <v>0</v>
      </c>
      <c r="BP24" s="307">
        <f t="shared" si="27"/>
        <v>9.24924</v>
      </c>
      <c r="BQ24" s="308" t="e">
        <f t="shared" si="13"/>
        <v>#N/A</v>
      </c>
      <c r="BR24" s="312"/>
      <c r="BS24" s="313"/>
      <c r="BT24" s="314">
        <v>15</v>
      </c>
    </row>
    <row r="25" spans="1:72">
      <c r="A25" s="97">
        <v>21</v>
      </c>
      <c r="B25" s="98" t="str" cm="1">
        <f t="array" ref="B25">INDEX(Table_Household_Alloc[Owner],MATCH(1,(Table_Household_Alloc[Lot]=A25)*(Table_Household_Alloc[cluster]=$B$1),0))</f>
        <v>Deborah Woodman</v>
      </c>
      <c r="C25" s="99" cm="1">
        <f t="array" ref="C25">INDEX(Reading_import[Meter'#],MATCH(1,(Table_Household_Alloc[Lot]=A25)*(Table_Household_Alloc[cluster]=$B$1),0))</f>
        <v>50002719</v>
      </c>
      <c r="D25" s="100" cm="1">
        <f t="array" ref="D25">INDEX(Table_Household_Alloc[UE % over Cluster],MATCH(1,(Table_Household_Alloc[Lot]=A25)*(Table_Household_Alloc[cluster]=$B$1),0))</f>
        <v>0.026</v>
      </c>
      <c r="E25" s="101" t="str" cm="1">
        <f t="array" ref="E25">INDEX(Table_Household_Alloc[Stage of Dev.],MATCH(1,(Table_Household_Alloc[Lot]=A25)*(Table_Household_Alloc[cluster]=$B$1),0))</f>
        <v>O</v>
      </c>
      <c r="F25" s="102" cm="1">
        <f t="array" ref="F25">INDEX(Amanda_energy[Daily_Supply_incl_GST],MATCH(1,(Amanda_energy[Cluster]=$B$1)*(Amanda_energy[Month]=$F$2),0))/MAX($A:$A)</f>
        <v>8.11904761904762</v>
      </c>
      <c r="G25" s="103" cm="1">
        <f t="array" ref="G25">INDEX(Amanda_energy[Daily_Supply_incl_GST],MATCH(1,(Amanda_energy[Cluster]=$B$1)*(Amanda_energy[Month]=$G$2),0))/MAX($A:$A)</f>
        <v>7.33333333333333</v>
      </c>
      <c r="H25" s="103" t="e" cm="1">
        <f t="array" ref="H25">INDEX(Amanda_energy[Daily_Supply_incl_GST],MATCH(1,(Amanda_energy[Cluster]=$B$1)*(Amanda_energy[Month]=$H$2),0))/MAX($A:$A)</f>
        <v>#N/A</v>
      </c>
      <c r="I25" s="103" t="e">
        <f t="shared" si="1"/>
        <v>#N/A</v>
      </c>
      <c r="J25" s="172">
        <f>'Tariff Rates'!$B$8*$J$3</f>
        <v>13.5616438356164</v>
      </c>
      <c r="K25" s="172">
        <f>'Tariff Rates'!$C$8*Table1[[#This Row],[Percentage of Unit Entitlement (%)]]*'Energy billing Mastersheet'!$K$3</f>
        <v>5.50060273972603</v>
      </c>
      <c r="L25" s="172">
        <f>$L$3*'Tariff Rates'!$D$8*IF(Table1[[#This Row],[Stage of Dev.]]="V",0,1)</f>
        <v>19.8</v>
      </c>
      <c r="M25" s="173">
        <v>1.1</v>
      </c>
      <c r="N25" s="174" t="e">
        <f t="shared" si="2"/>
        <v>#N/A</v>
      </c>
      <c r="O25" s="175" cm="1">
        <f t="array" ref="O25">INDEX(Reading_import[1/1/2025],MATCH(1,(Reading_import[Lot]=A25)*(Reading_import[cluster]=$B$1),0))</f>
        <v>1682</v>
      </c>
      <c r="P25" s="176" cm="1">
        <f t="array" ref="P25">INDEX(Reading_import[1/3/2025],MATCH(1,(Reading_import[Lot]=A25)*(Reading_import[cluster]=$B$1),0))</f>
        <v>1735</v>
      </c>
      <c r="Q25" s="195">
        <f>Table1[[#This Row],[Last day of reporting period: import]]-Table1[[#This Row],[1st day of reporting period: import]]</f>
        <v>53</v>
      </c>
      <c r="R25" s="196">
        <f t="shared" si="20"/>
        <v>0.588888888888889</v>
      </c>
      <c r="S25" s="197">
        <f t="shared" si="4"/>
        <v>0.00974264705882353</v>
      </c>
      <c r="T25" s="198">
        <f>IF(Table1[[#This Row],[Stage of Dev.]]="V",0,233*Table1[[#This Row],[Percentage of Unit Entitlement (%)]])</f>
        <v>6.058</v>
      </c>
      <c r="U25" s="199">
        <f t="shared" si="21"/>
        <v>0.588888888888889</v>
      </c>
      <c r="V25" s="199">
        <f>Table1[[#This Row],[Daily Battery allowance based on UE% (kWh)]]-Table1[[#This Row],[Applicable Battery Allowance Daily Consumption (kWh)]]</f>
        <v>5.46911111111111</v>
      </c>
      <c r="W25" s="200">
        <f>Table1[[#This Row],[Unused Daily Allowance (kWh)]]/$V$32</f>
        <v>0.0387603797134431</v>
      </c>
      <c r="X25" s="199">
        <f>IF(Table1[[#This Row],[Applicable Battery Allowance Daily Consumption (kWh)]]&gt;Table1[[#This Row],[Total Daily Average Consumptio for Billing Period (kWh)]],Table1[[#This Row],[Total Consumption Import  (kWh)]],U25*$N$3)</f>
        <v>53</v>
      </c>
      <c r="Y25" s="215">
        <f>IF(Table1[[#This Row],[Applicable Battery Allowance Daily Consumption (kWh)]]&gt;0,ABS(Q25-X25),0)</f>
        <v>0</v>
      </c>
      <c r="Z25" s="216">
        <f>IFERROR(Table1[[#This Row],[Energy Exceeding Battery Allowance (kWh)]]/$Y$32,0)</f>
        <v>0</v>
      </c>
      <c r="AA25" s="217" t="e">
        <f t="shared" si="6"/>
        <v>#N/A</v>
      </c>
      <c r="AB25" s="218">
        <f>IFERROR(Table1[[#This Row],[Total Cluster Energy Balance for P2P Trading (kWh)]]*Table1[[#This Row],[Energy Exceeding Battery Allowance %]],0)</f>
        <v>0</v>
      </c>
      <c r="AC25" s="219">
        <f>Table1[[#This Row],[P2P Import Consumption within Battery Allowance(kWh)]]+Table1[[#This Row],[P2P Import Consumption over Battery Allowance based on Energy Exceeding Allowance % (kWh)]]</f>
        <v>53</v>
      </c>
      <c r="AD25" s="219">
        <f>Table1[[#This Row],[Total Consumption Import  (kWh)]]-Table1[[#This Row],[Total P2P import (kWh)]]</f>
        <v>0</v>
      </c>
      <c r="AE25" s="220">
        <f>IFERROR(Table1[[#This Row],[Total P2P import (kWh)]]/$AC$32,0)</f>
        <v>0.00974264705882353</v>
      </c>
      <c r="AF25" s="221">
        <f t="shared" si="7"/>
        <v>1474</v>
      </c>
      <c r="AG25" s="221">
        <f t="shared" si="22"/>
        <v>14.3606617647059</v>
      </c>
      <c r="AH25" s="232">
        <f t="shared" si="9"/>
        <v>458</v>
      </c>
      <c r="AI25" s="232">
        <f>Table1[[#This Row],[Cluster''s Total Common Services (kWh)]]*Table1[[#This Row],[Percentage of Unit Entitlement (%)]]</f>
        <v>11.908</v>
      </c>
      <c r="AJ25" s="233">
        <f>AG25*'Tariff Rates'!$B$3</f>
        <v>3.15934558823529</v>
      </c>
      <c r="AK25" s="233">
        <f>Table1[[#This Row],[Common Services based on Split per Unit Entitlement % to battery (kWh)]]*'Tariff Rates'!$B$3</f>
        <v>2.61976</v>
      </c>
      <c r="AL25" s="234">
        <f>Table1[[#This Row],[Total P2P import (kWh)]]*IF(Table1[[#This Row],[Total Lot Export (kWh)]]=0,'Tariff Rates'!$B$3,'Tariff Rates'!$L$3)</f>
        <v>19.08</v>
      </c>
      <c r="AM25" s="235">
        <f>Table1[[#This Row],[P2P Import Consumption over Battery Allowance based on Energy Exceeding Allowance % (kWh)]]*'Tariff Rates'!$J$3</f>
        <v>0</v>
      </c>
      <c r="AN25" s="236">
        <f>Table1[[#This Row],[Energy Import from Grid (kWh)]]*'Tariff Rates'!$E$3</f>
        <v>0</v>
      </c>
      <c r="AO25" s="256">
        <f t="shared" si="23"/>
        <v>24.8591055882353</v>
      </c>
      <c r="AP25" s="257" cm="1">
        <f t="array" ref="AP25">INDEX(Reading_export[1/1/2025],MATCH(1,(Reading_export[Lot]=A25)*(Reading_export[cluster]=$B$1),0))</f>
        <v>13350</v>
      </c>
      <c r="AQ25" s="257" cm="1">
        <f t="array" ref="AQ25">INDEX(Reading_export[1/3/2025],MATCH(1,(Reading_export[Lot]=A25)*(Reading_export[cluster]=$B$1),0))</f>
        <v>15149</v>
      </c>
      <c r="AR25" s="258">
        <f>Table1[[#This Row],[Last day of reporting period: export]]-Table1[[#This Row],[1st day of reporting period: export]]</f>
        <v>1799</v>
      </c>
      <c r="AS25" s="259">
        <f t="shared" si="10"/>
        <v>0.0670993249039573</v>
      </c>
      <c r="AT25" s="260">
        <f>Table1[[#This Row],[Percentage of Total export for Billing Period (%)]]*$AC$32</f>
        <v>365.020327477528</v>
      </c>
      <c r="AU25" s="260" t="e">
        <f t="shared" si="11"/>
        <v>#N/A</v>
      </c>
      <c r="AV25" s="261">
        <f>IFERROR(Table1[[#This Row],[Total Cluster Energy Balance for P2P Trading (kWh)2]]*Table1[[#This Row],[Unused Daily Allowance %]],0)</f>
        <v>0</v>
      </c>
      <c r="AW25" s="260">
        <f t="shared" si="24"/>
        <v>98.9044049084331</v>
      </c>
      <c r="AX25" s="261">
        <f>Table1[[#This Row],[Cluster''s Total Common Services (kWh)]]*Table1[[#This Row],[Percentage of Total export for Billing Period (%)]]</f>
        <v>30.7314908060125</v>
      </c>
      <c r="AY25" s="261">
        <f>$Q$27*Table1[[#This Row],[Percentage of Total export for Billing Period (%)]]</f>
        <v>108.499608369699</v>
      </c>
      <c r="AZ25" s="26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1195.84416843833</v>
      </c>
      <c r="BA25" s="261">
        <f t="shared" si="15"/>
        <v>0</v>
      </c>
      <c r="BB25" s="261">
        <f>Table1[[#This Row],[Energy Losses When Export to Grid (kWh)]]*Table1[[#This Row],[Percentage of Total export for Billing Period (%)]]</f>
        <v>0</v>
      </c>
      <c r="BC25" s="261">
        <f>Table1[[#This Row],[Therotical Energy Export to Grid (kWh)]]-Table1[[#This Row],[Energy Losses When Export to Grid based up % total export (kWh)]]</f>
        <v>1195.84416843833</v>
      </c>
      <c r="BD25" s="274">
        <f>AW25*'Tariff Rates'!$C$3</f>
        <v>-21.7589690798553</v>
      </c>
      <c r="BE25" s="274">
        <f>Table1[[#This Row],[Common Service based upon % total export to battery (kWh)]]*'Tariff Rates'!$C$3</f>
        <v>-6.76092797732274</v>
      </c>
      <c r="BF25" s="274">
        <f>Table1[[#This Row],[EV Charger based upon % total export to battery (kWh)]]*'Tariff Rates'!$C$3</f>
        <v>-23.8699138413338</v>
      </c>
      <c r="BG25" s="286">
        <f>AT25*'Tariff Rates'!$C$3</f>
        <v>-80.3044720450561</v>
      </c>
      <c r="BH25" s="286">
        <f>Table1[[#This Row],[Borrowed Allowance Based on Unused Daily Allowance % (kWh)]]*'Tariff Rates'!$K$3</f>
        <v>0</v>
      </c>
      <c r="BI25" s="286">
        <f>BC25*'Tariff Rates'!$F$3</f>
        <v>-46.0400004848756</v>
      </c>
      <c r="BJ25" s="286">
        <f t="shared" si="19"/>
        <v>-178.734283428444</v>
      </c>
      <c r="BK25" s="287">
        <f>$D$45*Table1[[#This Row],[Percentage of Unit Entitlement (%)]]</f>
        <v>0</v>
      </c>
      <c r="BL25" s="288">
        <f>BK25*'Tariff Rates'!$H$3</f>
        <v>0</v>
      </c>
      <c r="BM25" s="288">
        <f>($Q$27)*Table1[[#This Row],[Percentage of Unit Entitlement (%)]]*'Tariff Rates'!$B$3</f>
        <v>9.24924</v>
      </c>
      <c r="BN25" s="288">
        <f t="shared" si="25"/>
        <v>9.24924</v>
      </c>
      <c r="BO25" s="288">
        <f t="shared" si="26"/>
        <v>0</v>
      </c>
      <c r="BP25" s="307">
        <f t="shared" si="27"/>
        <v>9.24924</v>
      </c>
      <c r="BQ25" s="308" t="e">
        <f t="shared" si="13"/>
        <v>#N/A</v>
      </c>
      <c r="BR25" s="315"/>
      <c r="BS25" s="316"/>
      <c r="BT25" s="311">
        <v>16</v>
      </c>
    </row>
    <row r="26" spans="1:72">
      <c r="A26" s="105" t="s">
        <v>335</v>
      </c>
      <c r="B26" s="106" t="s">
        <v>336</v>
      </c>
      <c r="C26" s="99" cm="1">
        <f t="array" ref="C26">INDEX(Reading_import[Meter'#],MATCH(1,(Table_Household_Alloc[Lot]=A26)*(Table_Household_Alloc[cluster]=$B$1),0))</f>
        <v>40002686</v>
      </c>
      <c r="D26" s="100"/>
      <c r="E26" s="107"/>
      <c r="F26" s="108"/>
      <c r="G26" s="109"/>
      <c r="H26" s="109"/>
      <c r="I26" s="173"/>
      <c r="J26" s="177"/>
      <c r="K26" s="177"/>
      <c r="L26" s="177"/>
      <c r="M26" s="173"/>
      <c r="N26" s="174"/>
      <c r="O26" s="175" cm="1">
        <f t="array" ref="O26">INDEX(Reading_import[1/1/2025],MATCH(1,(Reading_import[Lot]=A26)*(Reading_import[cluster]=$B$1),0))</f>
        <v>59297</v>
      </c>
      <c r="P26" s="176" cm="1">
        <f t="array" ref="P26">INDEX(Reading_import[1/3/2025],MATCH(1,(Reading_import[Lot]=A26)*(Reading_import[cluster]=$B$1),0))</f>
        <v>67826</v>
      </c>
      <c r="Q26" s="195">
        <f>Table1[[#This Row],[Last day of reporting period: import]]-Table1[[#This Row],[1st day of reporting period: import]]</f>
        <v>8529</v>
      </c>
      <c r="R26" s="196"/>
      <c r="S26" s="197"/>
      <c r="T26" s="201"/>
      <c r="U26" s="199"/>
      <c r="V26" s="199"/>
      <c r="W26" s="200"/>
      <c r="X26" s="199"/>
      <c r="Y26" s="215"/>
      <c r="Z26" s="216"/>
      <c r="AA26" s="216"/>
      <c r="AB26" s="219"/>
      <c r="AC26" s="219"/>
      <c r="AD26" s="219"/>
      <c r="AE26" s="221"/>
      <c r="AF26" s="221"/>
      <c r="AG26" s="221"/>
      <c r="AH26" s="237"/>
      <c r="AI26" s="237"/>
      <c r="AJ26" s="233"/>
      <c r="AK26" s="233"/>
      <c r="AL26" s="238"/>
      <c r="AM26" s="239"/>
      <c r="AN26" s="236"/>
      <c r="AO26" s="256"/>
      <c r="AP26" s="257" cm="1">
        <f t="array" ref="AP26">INDEX(Reading_export[1/1/2025],MATCH(1,(Reading_export[Lot]=A26)*(Reading_export[cluster]=$B$1),0))</f>
        <v>48306</v>
      </c>
      <c r="AQ26" s="257" cm="1">
        <f t="array" ref="AQ26">INDEX(Reading_export[1/3/2025],MATCH(1,(Reading_export[Lot]=A26)*(Reading_export[cluster]=$B$1),0))</f>
        <v>55361</v>
      </c>
      <c r="AR26" s="258">
        <f>Table1[[#This Row],[Last day of reporting period: export]]-Table1[[#This Row],[1st day of reporting period: export]]</f>
        <v>7055</v>
      </c>
      <c r="AS26" s="259"/>
      <c r="AT26" s="260"/>
      <c r="AU26" s="260"/>
      <c r="AV26" s="261"/>
      <c r="AW26" s="260"/>
      <c r="AX26" s="275"/>
      <c r="AY26" s="275"/>
      <c r="AZ26" s="275"/>
      <c r="BA26" s="275"/>
      <c r="BB26" s="275"/>
      <c r="BC26" s="275"/>
      <c r="BD26" s="276"/>
      <c r="BE26" s="289"/>
      <c r="BF26" s="289"/>
      <c r="BG26" s="289"/>
      <c r="BH26" s="289"/>
      <c r="BI26" s="290"/>
      <c r="BJ26" s="290"/>
      <c r="BK26" s="291"/>
      <c r="BL26" s="292"/>
      <c r="BM26" s="292"/>
      <c r="BN26" s="292"/>
      <c r="BO26" s="292"/>
      <c r="BP26" s="317"/>
      <c r="BQ26" s="318"/>
      <c r="BR26" s="319" t="s">
        <v>936</v>
      </c>
      <c r="BS26" s="320"/>
      <c r="BT26" s="321" t="s">
        <v>335</v>
      </c>
    </row>
    <row r="27" spans="1:72">
      <c r="A27" s="105" t="s">
        <v>337</v>
      </c>
      <c r="B27" s="106" t="s">
        <v>339</v>
      </c>
      <c r="C27" s="99" cm="1">
        <f t="array" ref="C27">INDEX(Reading_import[Meter'#],MATCH(1,(Table_Household_Alloc[Lot]=A27)*(Table_Household_Alloc[cluster]=$B$1),0))</f>
        <v>40002693</v>
      </c>
      <c r="D27" s="99"/>
      <c r="E27" s="107"/>
      <c r="F27" s="108"/>
      <c r="G27" s="109"/>
      <c r="H27" s="109"/>
      <c r="I27" s="173"/>
      <c r="J27" s="177"/>
      <c r="K27" s="177"/>
      <c r="L27" s="177"/>
      <c r="M27" s="173"/>
      <c r="N27" s="174"/>
      <c r="O27" s="175" cm="1">
        <f t="array" ref="O27">INDEX(Reading_import[1/1/2025],MATCH(1,(Reading_import[Lot]=A27)*(Reading_import[cluster]=$B$1),0))</f>
        <v>4535</v>
      </c>
      <c r="P27" s="176" cm="1">
        <f t="array" ref="P27">INDEX(Reading_import[1/3/2025],MATCH(1,(Reading_import[Lot]=A27)*(Reading_import[cluster]=$B$1),0))</f>
        <v>6152</v>
      </c>
      <c r="Q27" s="195">
        <f>Table1[[#This Row],[Last day of reporting period: import]]-Table1[[#This Row],[1st day of reporting period: import]]</f>
        <v>1617</v>
      </c>
      <c r="R27" s="196"/>
      <c r="S27" s="197"/>
      <c r="T27" s="201"/>
      <c r="U27" s="202"/>
      <c r="V27" s="202"/>
      <c r="W27" s="200"/>
      <c r="X27" s="199"/>
      <c r="Y27" s="215"/>
      <c r="Z27" s="216"/>
      <c r="AA27" s="216"/>
      <c r="AB27" s="219"/>
      <c r="AC27" s="219"/>
      <c r="AD27" s="219"/>
      <c r="AE27" s="221"/>
      <c r="AF27" s="221"/>
      <c r="AG27" s="221"/>
      <c r="AH27" s="237"/>
      <c r="AI27" s="237"/>
      <c r="AJ27" s="233"/>
      <c r="AK27" s="233"/>
      <c r="AL27" s="238"/>
      <c r="AM27" s="239"/>
      <c r="AN27" s="236"/>
      <c r="AO27" s="256"/>
      <c r="AP27" s="257" cm="1">
        <f t="array" ref="AP27">INDEX(Reading_export[1/1/2025],MATCH(1,(Reading_export[Lot]=A27)*(Reading_export[cluster]=$B$1),0))</f>
        <v>0</v>
      </c>
      <c r="AQ27" s="257" cm="1">
        <f t="array" ref="AQ27">INDEX(Reading_export[1/3/2025],MATCH(1,(Reading_export[Lot]=A27)*(Reading_export[cluster]=$B$1),0))</f>
        <v>0</v>
      </c>
      <c r="AR27" s="258">
        <f>Table1[[#This Row],[Last day of reporting period: export]]-Table1[[#This Row],[1st day of reporting period: export]]</f>
        <v>0</v>
      </c>
      <c r="AS27" s="259"/>
      <c r="AT27" s="260"/>
      <c r="AU27" s="260"/>
      <c r="AV27" s="260"/>
      <c r="AW27" s="260"/>
      <c r="AX27" s="275"/>
      <c r="AY27" s="275"/>
      <c r="AZ27" s="275"/>
      <c r="BA27" s="275"/>
      <c r="BB27" s="275"/>
      <c r="BC27" s="275"/>
      <c r="BD27" s="276"/>
      <c r="BE27" s="289"/>
      <c r="BF27" s="289"/>
      <c r="BG27" s="289"/>
      <c r="BH27" s="289"/>
      <c r="BI27" s="290"/>
      <c r="BJ27" s="290"/>
      <c r="BK27" s="287"/>
      <c r="BL27" s="288"/>
      <c r="BM27" s="288"/>
      <c r="BN27" s="288"/>
      <c r="BO27" s="288"/>
      <c r="BP27" s="307"/>
      <c r="BQ27" s="318"/>
      <c r="BR27" s="319"/>
      <c r="BS27" s="320"/>
      <c r="BT27" s="321" t="s">
        <v>337</v>
      </c>
    </row>
    <row r="28" spans="1:72">
      <c r="A28" s="105" t="s">
        <v>340</v>
      </c>
      <c r="B28" s="106" t="s">
        <v>341</v>
      </c>
      <c r="C28" s="99" cm="1">
        <f t="array" ref="C28">INDEX(Reading_import[Meter'#],MATCH(1,(Table_Household_Alloc[Lot]=A28)*(Table_Household_Alloc[cluster]=$B$1),0))</f>
        <v>50002858</v>
      </c>
      <c r="D28" s="99"/>
      <c r="E28" s="107"/>
      <c r="F28" s="108"/>
      <c r="G28" s="109"/>
      <c r="H28" s="109"/>
      <c r="I28" s="173"/>
      <c r="J28" s="177"/>
      <c r="K28" s="177"/>
      <c r="L28" s="177"/>
      <c r="M28" s="173"/>
      <c r="N28" s="174"/>
      <c r="O28" s="175" cm="1">
        <f t="array" ref="O28">INDEX(Reading_import[1/1/2025],MATCH(1,(Reading_import[Lot]=A28)*(Reading_import[cluster]=$B$1),0))</f>
        <v>4913</v>
      </c>
      <c r="P28" s="176" cm="1">
        <f t="array" ref="P28">INDEX(Reading_import[1/3/2025],MATCH(1,(Reading_import[Lot]=A28)*(Reading_import[cluster]=$B$1),0))</f>
        <v>5343</v>
      </c>
      <c r="Q28" s="195">
        <f>Table1[[#This Row],[Last day of reporting period: import]]-Table1[[#This Row],[1st day of reporting period: import]]</f>
        <v>430</v>
      </c>
      <c r="R28" s="196"/>
      <c r="S28" s="197"/>
      <c r="T28" s="201"/>
      <c r="U28" s="202"/>
      <c r="V28" s="202"/>
      <c r="W28" s="200"/>
      <c r="X28" s="199"/>
      <c r="Y28" s="215"/>
      <c r="Z28" s="216"/>
      <c r="AA28" s="216"/>
      <c r="AB28" s="219"/>
      <c r="AC28" s="219"/>
      <c r="AD28" s="219"/>
      <c r="AE28" s="221"/>
      <c r="AF28" s="221"/>
      <c r="AG28" s="221"/>
      <c r="AH28" s="237"/>
      <c r="AI28" s="237"/>
      <c r="AJ28" s="233"/>
      <c r="AK28" s="233"/>
      <c r="AL28" s="238"/>
      <c r="AM28" s="239"/>
      <c r="AN28" s="236"/>
      <c r="AO28" s="256"/>
      <c r="AP28" s="257" cm="1">
        <f t="array" ref="AP28">INDEX(Reading_export[1/1/2025],MATCH(1,(Reading_export[Lot]=A28)*(Reading_export[cluster]=$B$1),0))</f>
        <v>0</v>
      </c>
      <c r="AQ28" s="257" cm="1">
        <f t="array" ref="AQ28">INDEX(Reading_export[1/3/2025],MATCH(1,(Reading_export[Lot]=A28)*(Reading_export[cluster]=$B$1),0))</f>
        <v>0</v>
      </c>
      <c r="AR28" s="258">
        <f>Table1[[#This Row],[Last day of reporting period: export]]-Table1[[#This Row],[1st day of reporting period: export]]</f>
        <v>0</v>
      </c>
      <c r="AS28" s="260"/>
      <c r="AT28" s="260"/>
      <c r="AU28" s="260"/>
      <c r="AV28" s="260"/>
      <c r="AW28" s="260"/>
      <c r="AX28" s="275"/>
      <c r="AY28" s="275"/>
      <c r="AZ28" s="275"/>
      <c r="BA28" s="275"/>
      <c r="BB28" s="275"/>
      <c r="BC28" s="275"/>
      <c r="BD28" s="276"/>
      <c r="BE28" s="289"/>
      <c r="BF28" s="289"/>
      <c r="BG28" s="289"/>
      <c r="BH28" s="289"/>
      <c r="BI28" s="290"/>
      <c r="BJ28" s="290"/>
      <c r="BK28" s="291"/>
      <c r="BL28" s="292"/>
      <c r="BM28" s="292"/>
      <c r="BN28" s="292"/>
      <c r="BO28" s="292"/>
      <c r="BP28" s="317"/>
      <c r="BQ28" s="318"/>
      <c r="BR28" s="319"/>
      <c r="BS28" s="320"/>
      <c r="BT28" s="321" t="s">
        <v>340</v>
      </c>
    </row>
    <row r="29" spans="1:72">
      <c r="A29" s="105" t="s">
        <v>342</v>
      </c>
      <c r="B29" s="106" t="s">
        <v>937</v>
      </c>
      <c r="C29" s="99"/>
      <c r="D29" s="99"/>
      <c r="E29" s="107"/>
      <c r="F29" s="108"/>
      <c r="G29" s="109"/>
      <c r="H29" s="109"/>
      <c r="I29" s="173"/>
      <c r="J29" s="177"/>
      <c r="K29" s="177"/>
      <c r="L29" s="177"/>
      <c r="M29" s="173"/>
      <c r="N29" s="174"/>
      <c r="O29" s="175" cm="1">
        <f t="array" ref="O29">INDEX(Reading_import[1/1/2025],MATCH(1,(Reading_import[Lot]=A29)*(Reading_import[cluster]=$B$1),0))</f>
        <v>157</v>
      </c>
      <c r="P29" s="176" cm="1">
        <f t="array" ref="P29">INDEX(Reading_import[1/3/2025],MATCH(1,(Reading_import[Lot]=A29)*(Reading_import[cluster]=$B$1),0))</f>
        <v>166</v>
      </c>
      <c r="Q29" s="195">
        <f>Table1[[#This Row],[Last day of reporting period: import]]-Table1[[#This Row],[1st day of reporting period: import]]</f>
        <v>9</v>
      </c>
      <c r="R29" s="203"/>
      <c r="S29" s="204"/>
      <c r="T29" s="205"/>
      <c r="U29" s="199"/>
      <c r="V29" s="199"/>
      <c r="W29" s="200"/>
      <c r="X29" s="199"/>
      <c r="Y29" s="215"/>
      <c r="Z29" s="216"/>
      <c r="AA29" s="216"/>
      <c r="AB29" s="219"/>
      <c r="AC29" s="219"/>
      <c r="AD29" s="219"/>
      <c r="AE29" s="222"/>
      <c r="AF29" s="222"/>
      <c r="AG29" s="222"/>
      <c r="AH29" s="237"/>
      <c r="AI29" s="237"/>
      <c r="AJ29" s="233"/>
      <c r="AK29" s="233"/>
      <c r="AL29" s="238"/>
      <c r="AM29" s="239"/>
      <c r="AN29" s="236"/>
      <c r="AO29" s="256"/>
      <c r="AP29" s="262"/>
      <c r="AQ29" s="263"/>
      <c r="AR29" s="264"/>
      <c r="AS29" s="260"/>
      <c r="AT29" s="260"/>
      <c r="AU29" s="260"/>
      <c r="AV29" s="260"/>
      <c r="AW29" s="260"/>
      <c r="AX29" s="275"/>
      <c r="AY29" s="275"/>
      <c r="AZ29" s="275"/>
      <c r="BA29" s="275"/>
      <c r="BB29" s="275"/>
      <c r="BC29" s="275"/>
      <c r="BD29" s="276"/>
      <c r="BE29" s="289"/>
      <c r="BF29" s="289"/>
      <c r="BG29" s="289"/>
      <c r="BH29" s="289"/>
      <c r="BI29" s="290"/>
      <c r="BJ29" s="290"/>
      <c r="BK29" s="291"/>
      <c r="BL29" s="292"/>
      <c r="BM29" s="292"/>
      <c r="BN29" s="292"/>
      <c r="BO29" s="292"/>
      <c r="BP29" s="317"/>
      <c r="BQ29" s="318"/>
      <c r="BR29" s="319"/>
      <c r="BS29" s="320"/>
      <c r="BT29" s="321" t="s">
        <v>342</v>
      </c>
    </row>
    <row r="30" spans="1:72">
      <c r="A30" s="105" t="s">
        <v>343</v>
      </c>
      <c r="B30" s="106" t="s">
        <v>938</v>
      </c>
      <c r="C30" s="99"/>
      <c r="D30" s="99"/>
      <c r="E30" s="107"/>
      <c r="F30" s="108"/>
      <c r="G30" s="109"/>
      <c r="H30" s="109"/>
      <c r="I30" s="173"/>
      <c r="J30" s="177"/>
      <c r="K30" s="177"/>
      <c r="L30" s="177"/>
      <c r="M30" s="173"/>
      <c r="N30" s="174"/>
      <c r="O30" s="175" cm="1">
        <f t="array" ref="O30">INDEX(Reading_import[1/1/2025],MATCH(1,(Reading_import[Lot]=A30)*(Reading_import[cluster]=$B$1),0))</f>
        <v>232</v>
      </c>
      <c r="P30" s="176" cm="1">
        <f t="array" ref="P30">INDEX(Reading_import[1/3/2025],MATCH(1,(Reading_import[Lot]=A30)*(Reading_import[cluster]=$B$1),0))</f>
        <v>251</v>
      </c>
      <c r="Q30" s="195">
        <f>Table1[[#This Row],[Last day of reporting period: import]]-Table1[[#This Row],[1st day of reporting period: import]]</f>
        <v>19</v>
      </c>
      <c r="R30" s="203"/>
      <c r="S30" s="204"/>
      <c r="T30" s="205"/>
      <c r="U30" s="199"/>
      <c r="V30" s="199"/>
      <c r="W30" s="200"/>
      <c r="X30" s="199"/>
      <c r="Y30" s="215"/>
      <c r="Z30" s="216"/>
      <c r="AA30" s="216"/>
      <c r="AB30" s="219"/>
      <c r="AC30" s="219"/>
      <c r="AD30" s="219"/>
      <c r="AE30" s="223"/>
      <c r="AF30" s="224"/>
      <c r="AG30" s="224"/>
      <c r="AH30" s="237"/>
      <c r="AI30" s="237"/>
      <c r="AJ30" s="233"/>
      <c r="AK30" s="233"/>
      <c r="AL30" s="238"/>
      <c r="AM30" s="239"/>
      <c r="AN30" s="236"/>
      <c r="AO30" s="256"/>
      <c r="AP30" s="262"/>
      <c r="AQ30" s="263"/>
      <c r="AR30" s="264"/>
      <c r="AS30" s="260"/>
      <c r="AT30" s="260"/>
      <c r="AU30" s="260"/>
      <c r="AV30" s="260"/>
      <c r="AW30" s="260"/>
      <c r="AX30" s="275"/>
      <c r="AY30" s="275"/>
      <c r="AZ30" s="275"/>
      <c r="BA30" s="275"/>
      <c r="BB30" s="275"/>
      <c r="BC30" s="275"/>
      <c r="BD30" s="276"/>
      <c r="BE30" s="289"/>
      <c r="BF30" s="289"/>
      <c r="BG30" s="289"/>
      <c r="BH30" s="289"/>
      <c r="BI30" s="290"/>
      <c r="BJ30" s="290"/>
      <c r="BK30" s="291"/>
      <c r="BL30" s="292"/>
      <c r="BM30" s="292"/>
      <c r="BN30" s="292"/>
      <c r="BO30" s="292"/>
      <c r="BP30" s="317"/>
      <c r="BQ30" s="318"/>
      <c r="BR30" s="319"/>
      <c r="BS30" s="320"/>
      <c r="BT30" s="321" t="s">
        <v>343</v>
      </c>
    </row>
    <row r="31" ht="18.15" spans="1:72">
      <c r="A31" s="110" t="s">
        <v>939</v>
      </c>
      <c r="B31" s="106" t="s">
        <v>940</v>
      </c>
      <c r="C31" s="99"/>
      <c r="D31" s="99"/>
      <c r="E31" s="107"/>
      <c r="F31" s="111"/>
      <c r="G31" s="112"/>
      <c r="H31" s="112"/>
      <c r="I31" s="178"/>
      <c r="J31" s="179"/>
      <c r="K31" s="179"/>
      <c r="L31" s="179"/>
      <c r="M31" s="180"/>
      <c r="N31" s="181"/>
      <c r="O31" s="182"/>
      <c r="P31" s="183"/>
      <c r="Q31" s="206"/>
      <c r="R31" s="203"/>
      <c r="S31" s="204"/>
      <c r="T31" s="205"/>
      <c r="U31" s="199"/>
      <c r="V31" s="199"/>
      <c r="W31" s="200"/>
      <c r="X31" s="199"/>
      <c r="Y31" s="225"/>
      <c r="Z31" s="216"/>
      <c r="AA31" s="216"/>
      <c r="AB31" s="226"/>
      <c r="AC31" s="226"/>
      <c r="AD31" s="226"/>
      <c r="AE31" s="227"/>
      <c r="AF31" s="227"/>
      <c r="AG31" s="227"/>
      <c r="AH31" s="237"/>
      <c r="AI31" s="237"/>
      <c r="AJ31" s="233"/>
      <c r="AK31" s="233"/>
      <c r="AL31" s="233"/>
      <c r="AM31" s="240"/>
      <c r="AN31" s="240"/>
      <c r="AO31" s="265"/>
      <c r="AP31" s="266"/>
      <c r="AQ31" s="267"/>
      <c r="AR31" s="268"/>
      <c r="AS31" s="269"/>
      <c r="AT31" s="269"/>
      <c r="AU31" s="269"/>
      <c r="AV31" s="269"/>
      <c r="AW31" s="269"/>
      <c r="AX31" s="277"/>
      <c r="AY31" s="277"/>
      <c r="AZ31" s="277"/>
      <c r="BA31" s="277"/>
      <c r="BB31" s="277"/>
      <c r="BC31" s="277"/>
      <c r="BD31" s="278"/>
      <c r="BE31" s="293"/>
      <c r="BF31" s="293"/>
      <c r="BG31" s="294"/>
      <c r="BH31" s="294"/>
      <c r="BI31" s="295"/>
      <c r="BJ31" s="296"/>
      <c r="BK31" s="297"/>
      <c r="BL31" s="298"/>
      <c r="BM31" s="298"/>
      <c r="BN31" s="298"/>
      <c r="BO31" s="298"/>
      <c r="BP31" s="322"/>
      <c r="BQ31" s="323"/>
      <c r="BR31" s="324"/>
      <c r="BS31" s="325"/>
      <c r="BT31" s="113" t="s">
        <v>939</v>
      </c>
    </row>
    <row r="32" s="75" customFormat="1" spans="1:72">
      <c r="A32" s="113"/>
      <c r="B32" s="88"/>
      <c r="C32" s="88"/>
      <c r="D32" s="114">
        <f t="shared" ref="D32:N32" si="38">SUM(D5:D25)</f>
        <v>0.92</v>
      </c>
      <c r="E32" s="114">
        <f t="shared" si="38"/>
        <v>0</v>
      </c>
      <c r="F32" s="115">
        <f t="shared" si="38"/>
        <v>170.5</v>
      </c>
      <c r="G32" s="115"/>
      <c r="H32" s="115" t="e">
        <f t="shared" si="38"/>
        <v>#N/A</v>
      </c>
      <c r="I32" s="115" t="e">
        <f t="shared" si="38"/>
        <v>#N/A</v>
      </c>
      <c r="J32" s="115">
        <f t="shared" si="38"/>
        <v>284.794520547945</v>
      </c>
      <c r="K32" s="115">
        <f t="shared" si="38"/>
        <v>194.636712328767</v>
      </c>
      <c r="L32" s="115">
        <f t="shared" si="38"/>
        <v>396</v>
      </c>
      <c r="M32" s="115">
        <f t="shared" si="38"/>
        <v>23.1</v>
      </c>
      <c r="N32" s="115" t="e">
        <f t="shared" si="38"/>
        <v>#N/A</v>
      </c>
      <c r="O32" s="184"/>
      <c r="P32" s="184"/>
      <c r="Q32" s="207">
        <f>SUM(Q5:Q25)</f>
        <v>5440</v>
      </c>
      <c r="R32" s="114"/>
      <c r="S32" s="208">
        <f>SUM(S5:S25)</f>
        <v>1</v>
      </c>
      <c r="T32" s="209">
        <f>SUM(T5:T25)</f>
        <v>201.545</v>
      </c>
      <c r="U32" s="114"/>
      <c r="V32" s="114">
        <f>SUM(V5:V25)</f>
        <v>141.100555555556</v>
      </c>
      <c r="W32" s="208">
        <f>SUM(W5:W25)</f>
        <v>1</v>
      </c>
      <c r="X32" s="114">
        <f>SUM(X5:X25)</f>
        <v>5440</v>
      </c>
      <c r="Y32" s="114">
        <f>SUM(Y5:Y25)</f>
        <v>5.6843418860808e-14</v>
      </c>
      <c r="Z32" s="208">
        <f>SUM(Z5:Z25)</f>
        <v>1</v>
      </c>
      <c r="AA32" s="208"/>
      <c r="AB32" s="228">
        <f>SUM(AB5:AB31)</f>
        <v>0</v>
      </c>
      <c r="AC32" s="228">
        <f>SUM(AC5:AC31)</f>
        <v>5440</v>
      </c>
      <c r="AD32" s="228">
        <f>SUM(AD5:AD31)</f>
        <v>0</v>
      </c>
      <c r="AE32" s="208">
        <f>SUM(AE5:AE25)</f>
        <v>1</v>
      </c>
      <c r="AF32" s="114"/>
      <c r="AG32" s="114">
        <f>SUM(AG5:AG25)</f>
        <v>1474</v>
      </c>
      <c r="AH32" s="241"/>
      <c r="AI32" s="114">
        <f>SUM(AI5:AI25)</f>
        <v>421.36</v>
      </c>
      <c r="AJ32" s="241">
        <f t="shared" ref="AJ32:AO32" si="39">SUM(AJ5:AJ31)</f>
        <v>324.28</v>
      </c>
      <c r="AK32" s="242">
        <f t="shared" si="39"/>
        <v>92.6992</v>
      </c>
      <c r="AL32" s="241">
        <f t="shared" si="39"/>
        <v>1720.82</v>
      </c>
      <c r="AM32" s="241">
        <f t="shared" si="39"/>
        <v>0</v>
      </c>
      <c r="AN32" s="241">
        <f t="shared" si="39"/>
        <v>0</v>
      </c>
      <c r="AO32" s="270">
        <f t="shared" si="39"/>
        <v>2137.7992</v>
      </c>
      <c r="AP32" s="114"/>
      <c r="AQ32" s="114"/>
      <c r="AR32" s="114">
        <f>SUM(AR5:AR25)</f>
        <v>26811</v>
      </c>
      <c r="AS32" s="208">
        <f>SUM(AS5:AS25)</f>
        <v>1</v>
      </c>
      <c r="AT32" s="114">
        <f>SUM(AT5:AT25)</f>
        <v>5440</v>
      </c>
      <c r="AU32" s="114"/>
      <c r="AV32" s="114">
        <f>SUM(AV5:AV25)</f>
        <v>0</v>
      </c>
      <c r="AW32" s="114">
        <f>SUM(AW5:AW25)</f>
        <v>1474</v>
      </c>
      <c r="AX32" s="279">
        <f>SUM(AX5:AX25)</f>
        <v>458</v>
      </c>
      <c r="AY32" s="279">
        <f>SUM(AY5:AY25)</f>
        <v>1617</v>
      </c>
      <c r="AZ32" s="279">
        <f>SUM(AZ5:AZ25)</f>
        <v>17822</v>
      </c>
      <c r="BA32" s="279"/>
      <c r="BB32" s="279">
        <f t="shared" ref="BB32:BP32" si="40">SUM(BB5:BB25)</f>
        <v>0</v>
      </c>
      <c r="BC32" s="279">
        <f t="shared" si="40"/>
        <v>17822</v>
      </c>
      <c r="BD32" s="280">
        <f t="shared" si="40"/>
        <v>-324.28</v>
      </c>
      <c r="BE32" s="280">
        <f t="shared" si="40"/>
        <v>-100.76</v>
      </c>
      <c r="BF32" s="280">
        <f t="shared" si="40"/>
        <v>-355.74</v>
      </c>
      <c r="BG32" s="280">
        <f t="shared" si="40"/>
        <v>-1196.8</v>
      </c>
      <c r="BH32" s="280">
        <f t="shared" si="40"/>
        <v>0</v>
      </c>
      <c r="BI32" s="280">
        <f t="shared" si="40"/>
        <v>-686.147</v>
      </c>
      <c r="BJ32" s="280">
        <f t="shared" si="40"/>
        <v>-2663.727</v>
      </c>
      <c r="BK32" s="299">
        <f t="shared" si="40"/>
        <v>0</v>
      </c>
      <c r="BL32" s="299">
        <f t="shared" si="40"/>
        <v>0</v>
      </c>
      <c r="BM32" s="299">
        <f t="shared" si="40"/>
        <v>327.2808</v>
      </c>
      <c r="BN32" s="299">
        <f t="shared" si="40"/>
        <v>327.2808</v>
      </c>
      <c r="BO32" s="299">
        <f t="shared" si="40"/>
        <v>0</v>
      </c>
      <c r="BP32" s="299">
        <f t="shared" si="40"/>
        <v>327.2808</v>
      </c>
      <c r="BQ32" s="326"/>
      <c r="BR32" s="327"/>
      <c r="BS32" s="88"/>
      <c r="BT32" s="113"/>
    </row>
    <row r="33" spans="12:42">
      <c r="L33" s="77">
        <f>COUNTIF(L5:L25,"&gt;0")</f>
        <v>20</v>
      </c>
      <c r="M33" s="77">
        <f>COUNTIF(M5:M25,"&gt;0")</f>
        <v>21</v>
      </c>
      <c r="AO33"/>
      <c r="AP33"/>
    </row>
    <row r="34" ht="139.2" spans="21:71">
      <c r="U34" s="210"/>
      <c r="V34" s="210"/>
      <c r="W34" s="210"/>
      <c r="X34" s="210"/>
      <c r="Y34" s="229"/>
      <c r="Z34" s="229"/>
      <c r="AA34" s="612" t="s">
        <v>941</v>
      </c>
      <c r="AB34" s="229"/>
      <c r="AC34" s="229"/>
      <c r="AD34" s="229"/>
      <c r="AE34" s="77"/>
      <c r="AF34" s="77"/>
      <c r="AG34" s="77"/>
      <c r="AH34" s="243"/>
      <c r="AI34" s="243"/>
      <c r="AJ34" s="243"/>
      <c r="AK34" s="244"/>
      <c r="AL34" s="245" t="s">
        <v>942</v>
      </c>
      <c r="AM34" s="246"/>
      <c r="AN34" s="81"/>
      <c r="AO34"/>
      <c r="AP34"/>
      <c r="AQ34" s="271"/>
      <c r="AR34" s="272"/>
      <c r="AS34" s="272"/>
      <c r="AT34" s="272"/>
      <c r="AU34" s="272"/>
      <c r="AV34" s="272"/>
      <c r="AW34" s="272"/>
      <c r="AX34" s="272"/>
      <c r="AY34" s="272"/>
      <c r="AZ34" s="272"/>
      <c r="BA34" s="272"/>
      <c r="BB34" s="272"/>
      <c r="BC34" s="272"/>
      <c r="BG34" s="272"/>
      <c r="BH34" s="272"/>
      <c r="BI34" s="244"/>
      <c r="BL34" s="244"/>
      <c r="BN34" s="244"/>
      <c r="BO34" s="244"/>
      <c r="BP34" s="244"/>
      <c r="BQ34" s="244"/>
      <c r="BR34" s="2"/>
      <c r="BS34" s="2"/>
    </row>
    <row r="35" ht="18.15" spans="2:71">
      <c r="B35"/>
      <c r="C35"/>
      <c r="D35"/>
      <c r="E35"/>
      <c r="F35"/>
      <c r="G35"/>
      <c r="H35"/>
      <c r="I35"/>
      <c r="K35" s="77"/>
      <c r="L35" s="79"/>
      <c r="AA35" s="79"/>
      <c r="AB35" s="81"/>
      <c r="AC35" s="81"/>
      <c r="AD35" s="81"/>
      <c r="AE35"/>
      <c r="AF35"/>
      <c r="AG35"/>
      <c r="AH35"/>
      <c r="AI35"/>
      <c r="AJ35"/>
      <c r="AK35" s="244"/>
      <c r="AL35" s="246"/>
      <c r="AM35" s="246"/>
      <c r="AN35" s="81"/>
      <c r="AO35" s="80"/>
      <c r="AQ35" s="271"/>
      <c r="AR35" s="272"/>
      <c r="BL35" s="244"/>
      <c r="BN35" s="244"/>
      <c r="BO35" s="244"/>
      <c r="BP35" s="244"/>
      <c r="BQ35" s="244"/>
      <c r="BR35" s="328"/>
      <c r="BS35" s="77"/>
    </row>
    <row r="36" ht="39.6" spans="2:71">
      <c r="B36" s="116" t="s">
        <v>943</v>
      </c>
      <c r="C36" s="117" t="s">
        <v>823</v>
      </c>
      <c r="D36" s="117" t="s">
        <v>824</v>
      </c>
      <c r="E36" s="117" t="s">
        <v>825</v>
      </c>
      <c r="F36" s="117" t="s">
        <v>826</v>
      </c>
      <c r="G36" s="118" t="s">
        <v>827</v>
      </c>
      <c r="H36" s="118" t="s">
        <v>828</v>
      </c>
      <c r="I36" s="118" t="s">
        <v>829</v>
      </c>
      <c r="J36" s="118" t="s">
        <v>830</v>
      </c>
      <c r="K36" s="185" t="s">
        <v>831</v>
      </c>
      <c r="L36" s="79"/>
      <c r="AA36" s="79"/>
      <c r="AB36" s="81"/>
      <c r="AC36" s="81"/>
      <c r="AD36" s="81"/>
      <c r="AE36"/>
      <c r="AF36"/>
      <c r="AG36"/>
      <c r="AH36"/>
      <c r="AI36"/>
      <c r="AJ36"/>
      <c r="AK36" s="244"/>
      <c r="AL36" s="246"/>
      <c r="AM36" s="246"/>
      <c r="AN36" s="81"/>
      <c r="AO36" s="80"/>
      <c r="AQ36" s="271"/>
      <c r="AR36" s="272"/>
      <c r="BK36" s="244"/>
      <c r="BM36" s="244"/>
      <c r="BN36" s="244"/>
      <c r="BO36" s="244"/>
      <c r="BP36" s="244"/>
      <c r="BQ36" s="328"/>
      <c r="BR36" s="77"/>
      <c r="BS36" s="77"/>
    </row>
    <row r="37" spans="2:71">
      <c r="B37" s="119" t="str">
        <f>B1</f>
        <v>1A</v>
      </c>
      <c r="C37" s="120">
        <v>2025</v>
      </c>
      <c r="D37" s="120">
        <f>F2</f>
        <v>1</v>
      </c>
      <c r="E37" s="121" cm="1">
        <f t="array" ref="E37">INDEX(Amanda_energy[Consumption_kWh],MATCH(1,(Amanda_energy[Cluster]=$B$1)*(Amanda_energy[Month]=$D37),0))</f>
        <v>33.93</v>
      </c>
      <c r="F37" s="121" cm="1">
        <f t="array" ref="F37">INDEX(Amanda_energy[Export_kWh],MATCH(1,(Amanda_energy[Cluster]=$B$1)*(Amanda_energy[Month]=$D37),0))</f>
        <v>11281.06</v>
      </c>
      <c r="G37" s="122" cm="1">
        <f t="array" ref="G37">INDEX(Amanda_energy[Amanda_consumption_incl_GST],MATCH(1,(Amanda_energy[Cluster]=$B$1)*(Amanda_energy[Month]=$D37),0))</f>
        <v>10.16</v>
      </c>
      <c r="H37" s="122" cm="1">
        <f t="array" ref="H37">INDEX(Amanda_energy[Amanda_export_buyback_incl_GST],MATCH(1,(Amanda_energy[Cluster]=$B$1)*(Amanda_energy[Month]=$D37),0))</f>
        <v>-434.32</v>
      </c>
      <c r="I37" s="122" cm="1">
        <f t="array" ref="I37">INDEX(Amanda_energy[Daily_Supply_incl_GST],MATCH(1,(Amanda_energy[Cluster]=$B$1)*(Amanda_energy[Month]=$D37),0))</f>
        <v>170.5</v>
      </c>
      <c r="J37" s="122" cm="1">
        <f t="array" ref="J37">INDEX(Amanda_energy[Other_Fees_incl_GST],MATCH(1,(Amanda_energy[Cluster]=$B$1)*(Amanda_energy[Month]=$D37),0))</f>
        <v>15.54</v>
      </c>
      <c r="K37" s="186" cm="1">
        <f t="array" ref="K37">INDEX(Amanda_energy[Total_incl_GST],MATCH(1,(Amanda_energy[Cluster]=$B$1)*(Amanda_energy[Month]=$D37),0))</f>
        <v>-238.12</v>
      </c>
      <c r="L37" s="79"/>
      <c r="AA37" s="79"/>
      <c r="AB37" s="81"/>
      <c r="AC37" s="81"/>
      <c r="AD37" s="81"/>
      <c r="AE37"/>
      <c r="AF37"/>
      <c r="AG37"/>
      <c r="AH37"/>
      <c r="AI37"/>
      <c r="AJ37"/>
      <c r="AK37" s="244"/>
      <c r="AL37"/>
      <c r="AM37"/>
      <c r="AN37" s="81"/>
      <c r="AO37" s="80"/>
      <c r="AQ37" s="271"/>
      <c r="AR37" s="272"/>
      <c r="BK37" s="244"/>
      <c r="BM37" s="244"/>
      <c r="BN37" s="244"/>
      <c r="BO37" s="244"/>
      <c r="BP37" s="244"/>
      <c r="BQ37" s="328"/>
      <c r="BR37" s="77"/>
      <c r="BS37" s="77"/>
    </row>
    <row r="38" spans="2:71">
      <c r="B38" s="119" t="str">
        <f>B37</f>
        <v>1A</v>
      </c>
      <c r="C38" s="120">
        <v>2025</v>
      </c>
      <c r="D38" s="120">
        <f>G2</f>
        <v>2</v>
      </c>
      <c r="E38" s="121" cm="1">
        <f t="array" ref="E38">INDEX(Amanda_energy[Consumption_kWh],MATCH(1,(Amanda_energy[Cluster]=$B$1)*(Amanda_energy[Month]=$D38),0))</f>
        <v>9.73</v>
      </c>
      <c r="F38" s="121" cm="1">
        <f t="array" ref="F38">INDEX(Amanda_energy[Export_kWh],MATCH(1,(Amanda_energy[Cluster]=$B$1)*(Amanda_energy[Month]=$D38),0))</f>
        <v>10654.83</v>
      </c>
      <c r="G38" s="122" cm="1">
        <f t="array" ref="G38">INDEX(Amanda_energy[Amanda_consumption_incl_GST],MATCH(1,(Amanda_energy[Cluster]=$B$1)*(Amanda_energy[Month]=$D38),0))</f>
        <v>2.92</v>
      </c>
      <c r="H38" s="122" cm="1">
        <f t="array" ref="H38">INDEX(Amanda_energy[Amanda_export_buyback_incl_GST],MATCH(1,(Amanda_energy[Cluster]=$B$1)*(Amanda_energy[Month]=$D38),0))</f>
        <v>-410.21</v>
      </c>
      <c r="I38" s="122" cm="1">
        <f t="array" ref="I38">INDEX(Amanda_energy[Daily_Supply_incl_GST],MATCH(1,(Amanda_energy[Cluster]=$B$1)*(Amanda_energy[Month]=$D38),0))</f>
        <v>154</v>
      </c>
      <c r="J38" s="122" cm="1">
        <f t="array" ref="J38">INDEX(Amanda_energy[Other_Fees_incl_GST],MATCH(1,(Amanda_energy[Cluster]=$B$1)*(Amanda_energy[Month]=$D38),0))</f>
        <v>12.85</v>
      </c>
      <c r="K38" s="186" cm="1">
        <f t="array" ref="K38">INDEX(Amanda_energy[Total_incl_GST],MATCH(1,(Amanda_energy[Cluster]=$B$1)*(Amanda_energy[Month]=$D38),0))</f>
        <v>-240.45</v>
      </c>
      <c r="L38" s="79"/>
      <c r="AA38" s="79"/>
      <c r="AB38" s="81"/>
      <c r="AC38" s="81"/>
      <c r="AD38" s="81"/>
      <c r="AE38"/>
      <c r="AF38"/>
      <c r="AG38"/>
      <c r="AH38"/>
      <c r="AI38"/>
      <c r="AJ38"/>
      <c r="AK38" s="244"/>
      <c r="AL38"/>
      <c r="AM38"/>
      <c r="AN38" s="81"/>
      <c r="AO38" s="80"/>
      <c r="AQ38" s="271"/>
      <c r="AR38" s="272"/>
      <c r="BK38" s="244"/>
      <c r="BM38" s="244"/>
      <c r="BN38" s="244"/>
      <c r="BO38" s="244"/>
      <c r="BP38" s="244"/>
      <c r="BQ38" s="328"/>
      <c r="BR38" s="77"/>
      <c r="BS38" s="77"/>
    </row>
    <row r="39" spans="2:58">
      <c r="B39" s="119" t="str">
        <f>B37</f>
        <v>1A</v>
      </c>
      <c r="C39" s="120">
        <v>2025</v>
      </c>
      <c r="D39" s="120">
        <f>H2</f>
        <v>3</v>
      </c>
      <c r="E39" s="121" t="e" cm="1">
        <f t="array" ref="E39">INDEX(Amanda_energy[Consumption_kWh],MATCH(1,(Amanda_energy[Cluster]=$B$1)*(Amanda_energy[Month]=$D39),0))</f>
        <v>#N/A</v>
      </c>
      <c r="F39" s="121" t="e" cm="1">
        <f t="array" ref="F39">INDEX(Amanda_energy[Export_kWh],MATCH(1,(Amanda_energy[Cluster]=$B$1)*(Amanda_energy[Month]=$D39),0))</f>
        <v>#N/A</v>
      </c>
      <c r="G39" s="122" t="e" cm="1">
        <f t="array" ref="G39">INDEX(Amanda_energy[Amanda_consumption_incl_GST],MATCH(1,(Amanda_energy[Cluster]=$B$1)*(Amanda_energy[Month]=$D39),0))</f>
        <v>#N/A</v>
      </c>
      <c r="H39" s="122" t="e" cm="1">
        <f t="array" ref="H39">INDEX(Amanda_energy[Amanda_export_buyback_incl_GST],MATCH(1,(Amanda_energy[Cluster]=$B$1)*(Amanda_energy[Month]=$D39),0))</f>
        <v>#N/A</v>
      </c>
      <c r="I39" s="122" t="e" cm="1">
        <f t="array" ref="I39">INDEX(Amanda_energy[Daily_Supply_incl_GST],MATCH(1,(Amanda_energy[Cluster]=$B$1)*(Amanda_energy[Month]=$D39),0))</f>
        <v>#N/A</v>
      </c>
      <c r="J39" s="122" t="e" cm="1">
        <f t="array" ref="J39">INDEX(Amanda_energy[Other_Fees_incl_GST],MATCH(1,(Amanda_energy[Cluster]=$B$1)*(Amanda_energy[Month]=$D39),0))</f>
        <v>#N/A</v>
      </c>
      <c r="K39" s="186" t="e" cm="1">
        <f t="array" ref="K39">INDEX(Amanda_energy[Total_incl_GST],MATCH(1,(Amanda_energy[Cluster]=$B$1)*(Amanda_energy[Month]=$D39),0))</f>
        <v>#N/A</v>
      </c>
      <c r="L39" s="79"/>
      <c r="AA39" s="79"/>
      <c r="AB39"/>
      <c r="AC39"/>
      <c r="AD39"/>
      <c r="AE39"/>
      <c r="AF39"/>
      <c r="AG39"/>
      <c r="AH39"/>
      <c r="AI39"/>
      <c r="AJ39"/>
      <c r="AL39"/>
      <c r="AM39"/>
      <c r="AN39"/>
      <c r="AO39"/>
      <c r="AP39"/>
      <c r="AQ39"/>
      <c r="AR39"/>
      <c r="AS39"/>
      <c r="AT39"/>
      <c r="AU39"/>
      <c r="AV39"/>
      <c r="AW39"/>
      <c r="AX39"/>
      <c r="AY39"/>
      <c r="AZ39"/>
      <c r="BA39"/>
      <c r="BB39"/>
      <c r="BC39"/>
      <c r="BD39"/>
      <c r="BE39"/>
      <c r="BF39"/>
    </row>
    <row r="40" ht="18.15" spans="2:58">
      <c r="B40" s="123" t="s">
        <v>944</v>
      </c>
      <c r="C40" s="124"/>
      <c r="D40" s="125"/>
      <c r="E40" s="124" t="e">
        <f t="shared" ref="E40:K40" si="41">SUM(E37:E39)</f>
        <v>#N/A</v>
      </c>
      <c r="F40" s="124" t="e">
        <f t="shared" si="41"/>
        <v>#N/A</v>
      </c>
      <c r="G40" s="125" t="e">
        <f t="shared" si="41"/>
        <v>#N/A</v>
      </c>
      <c r="H40" s="125" t="e">
        <f t="shared" si="41"/>
        <v>#N/A</v>
      </c>
      <c r="I40" s="125" t="e">
        <f t="shared" si="41"/>
        <v>#N/A</v>
      </c>
      <c r="J40" s="125" t="e">
        <f t="shared" si="41"/>
        <v>#N/A</v>
      </c>
      <c r="K40" s="187" t="e">
        <f t="shared" si="41"/>
        <v>#N/A</v>
      </c>
      <c r="L40" s="79"/>
      <c r="AA40" s="79"/>
      <c r="AB40"/>
      <c r="AC40"/>
      <c r="AD40"/>
      <c r="AE40"/>
      <c r="AF40"/>
      <c r="AG40"/>
      <c r="AH40"/>
      <c r="AI40"/>
      <c r="AJ40"/>
      <c r="AL40"/>
      <c r="AM40"/>
      <c r="AN40"/>
      <c r="AO40"/>
      <c r="AP40"/>
      <c r="AQ40"/>
      <c r="AR40"/>
      <c r="AS40"/>
      <c r="AT40"/>
      <c r="AU40"/>
      <c r="AV40"/>
      <c r="AW40"/>
      <c r="AX40"/>
      <c r="AY40"/>
      <c r="AZ40"/>
      <c r="BA40"/>
      <c r="BB40"/>
      <c r="BC40"/>
      <c r="BD40"/>
      <c r="BE40"/>
      <c r="BF40"/>
    </row>
    <row r="41" ht="18.15" spans="2:58">
      <c r="B41"/>
      <c r="C41"/>
      <c r="D41"/>
      <c r="E41"/>
      <c r="F41"/>
      <c r="G41" s="126" t="e">
        <f>G40/E40</f>
        <v>#N/A</v>
      </c>
      <c r="H41" s="126" t="e">
        <f>H40/F40</f>
        <v>#N/A</v>
      </c>
      <c r="I41"/>
      <c r="J41"/>
      <c r="K41" s="188"/>
      <c r="L41" s="79"/>
      <c r="AA41" s="79"/>
      <c r="AB41"/>
      <c r="AC41"/>
      <c r="AD41"/>
      <c r="AE41"/>
      <c r="AF41"/>
      <c r="AG41"/>
      <c r="AH41"/>
      <c r="AI41"/>
      <c r="AJ41"/>
      <c r="AL41"/>
      <c r="AM41"/>
      <c r="AN41"/>
      <c r="AO41"/>
      <c r="AP41"/>
      <c r="AQ41"/>
      <c r="AR41"/>
      <c r="AS41"/>
      <c r="AT41"/>
      <c r="AU41"/>
      <c r="AV41"/>
      <c r="AW41"/>
      <c r="AX41"/>
      <c r="AY41"/>
      <c r="AZ41"/>
      <c r="BA41"/>
      <c r="BB41"/>
      <c r="BC41"/>
      <c r="BD41"/>
      <c r="BE41"/>
      <c r="BF41"/>
    </row>
    <row r="42" ht="26.4" spans="2:58">
      <c r="B42" s="127" t="s">
        <v>824</v>
      </c>
      <c r="C42" s="128" t="s">
        <v>945</v>
      </c>
      <c r="D42" s="128" t="s">
        <v>946</v>
      </c>
      <c r="E42" s="129" t="s">
        <v>947</v>
      </c>
      <c r="F42"/>
      <c r="G42" s="130"/>
      <c r="H42" s="131"/>
      <c r="I42" s="131"/>
      <c r="J42" s="131"/>
      <c r="K42" s="188"/>
      <c r="L42" s="79"/>
      <c r="AA42" s="79"/>
      <c r="AB42"/>
      <c r="AC42"/>
      <c r="AD42"/>
      <c r="AE42"/>
      <c r="AF42"/>
      <c r="AG42"/>
      <c r="AH42"/>
      <c r="AI42"/>
      <c r="AJ42"/>
      <c r="AL42"/>
      <c r="AM42"/>
      <c r="AN42"/>
      <c r="AO42"/>
      <c r="AP42"/>
      <c r="AQ42"/>
      <c r="AR42"/>
      <c r="AS42"/>
      <c r="AT42"/>
      <c r="AU42"/>
      <c r="AV42"/>
      <c r="AW42"/>
      <c r="AX42"/>
      <c r="AY42"/>
      <c r="AZ42"/>
      <c r="BA42"/>
      <c r="BB42"/>
      <c r="BC42"/>
      <c r="BD42"/>
      <c r="BE42"/>
      <c r="BF42"/>
    </row>
    <row r="43" spans="2:58">
      <c r="B43" s="132"/>
      <c r="C43" s="133"/>
      <c r="D43" s="134"/>
      <c r="E43" s="135"/>
      <c r="F43"/>
      <c r="G43" s="136"/>
      <c r="H43" s="131"/>
      <c r="I43" s="131"/>
      <c r="J43" s="131"/>
      <c r="K43" s="188"/>
      <c r="L43" s="79"/>
      <c r="AA43" s="79"/>
      <c r="AB43"/>
      <c r="AC43"/>
      <c r="AD43"/>
      <c r="AE43"/>
      <c r="AF43"/>
      <c r="AG43"/>
      <c r="AH43"/>
      <c r="AI43"/>
      <c r="AJ43"/>
      <c r="AL43"/>
      <c r="AM43"/>
      <c r="AN43"/>
      <c r="AO43"/>
      <c r="AP43"/>
      <c r="AQ43"/>
      <c r="AR43"/>
      <c r="AS43"/>
      <c r="AT43"/>
      <c r="AU43"/>
      <c r="AV43"/>
      <c r="AW43"/>
      <c r="AX43"/>
      <c r="AY43"/>
      <c r="AZ43"/>
      <c r="BA43"/>
      <c r="BB43"/>
      <c r="BC43"/>
      <c r="BD43"/>
      <c r="BE43"/>
      <c r="BF43"/>
    </row>
    <row r="44" ht="18.15" spans="2:58">
      <c r="B44" s="137"/>
      <c r="C44" s="138"/>
      <c r="D44" s="139"/>
      <c r="E44" s="140"/>
      <c r="F44"/>
      <c r="G44" s="136"/>
      <c r="H44" s="131"/>
      <c r="I44" s="131"/>
      <c r="J44" s="131"/>
      <c r="K44" s="188"/>
      <c r="L44" s="79"/>
      <c r="AA44" s="79"/>
      <c r="AB44"/>
      <c r="AC44"/>
      <c r="AD44"/>
      <c r="AE44"/>
      <c r="AF44"/>
      <c r="AG44"/>
      <c r="AH44"/>
      <c r="AI44"/>
      <c r="AJ44"/>
      <c r="AL44"/>
      <c r="AM44"/>
      <c r="AN44"/>
      <c r="AO44"/>
      <c r="AP44"/>
      <c r="AQ44"/>
      <c r="AR44"/>
      <c r="AS44"/>
      <c r="AT44"/>
      <c r="AU44"/>
      <c r="AV44"/>
      <c r="AW44"/>
      <c r="AX44"/>
      <c r="AY44"/>
      <c r="AZ44"/>
      <c r="BA44"/>
      <c r="BB44"/>
      <c r="BC44"/>
      <c r="BD44"/>
      <c r="BE44"/>
      <c r="BF44"/>
    </row>
    <row r="45" ht="18.15" spans="2:58">
      <c r="B45" s="141" t="s">
        <v>944</v>
      </c>
      <c r="C45" s="142">
        <f>SUM(C43:C44)</f>
        <v>0</v>
      </c>
      <c r="D45" s="143">
        <f>SUM(D43:D44)</f>
        <v>0</v>
      </c>
      <c r="E45" s="144">
        <f>SUM(E43:E44)</f>
        <v>0</v>
      </c>
      <c r="F45"/>
      <c r="G45" s="131"/>
      <c r="H45" s="131"/>
      <c r="I45" s="131"/>
      <c r="J45" s="131"/>
      <c r="K45" s="188"/>
      <c r="L45" s="79"/>
      <c r="AA45" s="79"/>
      <c r="AB45"/>
      <c r="AC45"/>
      <c r="AD45"/>
      <c r="AE45"/>
      <c r="AF45"/>
      <c r="AG45"/>
      <c r="AH45"/>
      <c r="AI45"/>
      <c r="AJ45"/>
      <c r="AL45"/>
      <c r="AM45"/>
      <c r="AN45"/>
      <c r="AO45"/>
      <c r="AP45"/>
      <c r="AQ45"/>
      <c r="AR45"/>
      <c r="AS45"/>
      <c r="AT45"/>
      <c r="AU45"/>
      <c r="AV45"/>
      <c r="AW45"/>
      <c r="AX45"/>
      <c r="AY45"/>
      <c r="AZ45"/>
      <c r="BA45"/>
      <c r="BB45"/>
      <c r="BC45"/>
      <c r="BD45"/>
      <c r="BE45"/>
      <c r="BF45"/>
    </row>
    <row r="46" spans="2:58">
      <c r="B46"/>
      <c r="C46" s="145">
        <f>C45/Q27</f>
        <v>0</v>
      </c>
      <c r="D46"/>
      <c r="E46"/>
      <c r="F46"/>
      <c r="G46"/>
      <c r="H46"/>
      <c r="I46"/>
      <c r="J46"/>
      <c r="K46" s="188"/>
      <c r="L46" s="79"/>
      <c r="AA46" s="79"/>
      <c r="AB46"/>
      <c r="AC46"/>
      <c r="AD46"/>
      <c r="AE46"/>
      <c r="AF46"/>
      <c r="AG46"/>
      <c r="AH46"/>
      <c r="AI46"/>
      <c r="AJ46"/>
      <c r="AL46"/>
      <c r="AM46"/>
      <c r="AN46"/>
      <c r="AO46"/>
      <c r="AP46"/>
      <c r="AQ46"/>
      <c r="AR46"/>
      <c r="AS46"/>
      <c r="AT46"/>
      <c r="AU46"/>
      <c r="AV46"/>
      <c r="AW46"/>
      <c r="AX46"/>
      <c r="AY46"/>
      <c r="AZ46"/>
      <c r="BA46"/>
      <c r="BB46"/>
      <c r="BC46"/>
      <c r="BD46"/>
      <c r="BE46"/>
      <c r="BF46"/>
    </row>
    <row r="47" ht="18.15" spans="2:58">
      <c r="B47"/>
      <c r="C47"/>
      <c r="D47"/>
      <c r="E47"/>
      <c r="F47"/>
      <c r="G47"/>
      <c r="H47"/>
      <c r="I47"/>
      <c r="J47"/>
      <c r="K47" s="188"/>
      <c r="L47" s="79"/>
      <c r="AA47" s="79"/>
      <c r="AB47"/>
      <c r="AC47"/>
      <c r="AD47"/>
      <c r="AE47"/>
      <c r="AF47"/>
      <c r="AG47"/>
      <c r="AH47"/>
      <c r="AI47"/>
      <c r="AJ47"/>
      <c r="AL47"/>
      <c r="AM47"/>
      <c r="AN47"/>
      <c r="AO47"/>
      <c r="AP47"/>
      <c r="AQ47"/>
      <c r="AR47"/>
      <c r="AS47"/>
      <c r="AT47"/>
      <c r="AU47"/>
      <c r="AV47"/>
      <c r="AW47"/>
      <c r="AX47"/>
      <c r="AY47"/>
      <c r="AZ47"/>
      <c r="BA47"/>
      <c r="BB47"/>
      <c r="BC47"/>
      <c r="BD47"/>
      <c r="BE47"/>
      <c r="BF47"/>
    </row>
    <row r="48" ht="18.15" spans="2:68">
      <c r="B48" s="146" t="s">
        <v>948</v>
      </c>
      <c r="C48" s="147" t="s">
        <v>949</v>
      </c>
      <c r="D48"/>
      <c r="E48"/>
      <c r="F48"/>
      <c r="G48"/>
      <c r="H48"/>
      <c r="I48"/>
      <c r="J48"/>
      <c r="K48" s="189"/>
      <c r="L48" s="79"/>
      <c r="AA48" s="79"/>
      <c r="AB48"/>
      <c r="AC48"/>
      <c r="AD48"/>
      <c r="AE48"/>
      <c r="AF48"/>
      <c r="AG48"/>
      <c r="AH48"/>
      <c r="AI48"/>
      <c r="AJ48"/>
      <c r="AL48"/>
      <c r="AM48"/>
      <c r="AN48"/>
      <c r="AO48"/>
      <c r="AP48"/>
      <c r="AQ48"/>
      <c r="AR48"/>
      <c r="AS48"/>
      <c r="AT48"/>
      <c r="AU48"/>
      <c r="AV48"/>
      <c r="AW48"/>
      <c r="AX48"/>
      <c r="AY48"/>
      <c r="AZ48"/>
      <c r="BA48"/>
      <c r="BB48"/>
      <c r="BC48"/>
      <c r="BD48"/>
      <c r="BE48"/>
      <c r="BF48"/>
      <c r="BL48"/>
      <c r="BM48"/>
      <c r="BN48"/>
      <c r="BO48"/>
      <c r="BP48"/>
    </row>
    <row r="49" spans="2:68">
      <c r="B49" s="148" t="s">
        <v>950</v>
      </c>
      <c r="C49" s="149" t="e">
        <f>N32</f>
        <v>#N/A</v>
      </c>
      <c r="D49"/>
      <c r="E49"/>
      <c r="F49"/>
      <c r="G49"/>
      <c r="H49"/>
      <c r="I49"/>
      <c r="J49"/>
      <c r="K49" s="190"/>
      <c r="L49" s="79"/>
      <c r="AA49" s="79"/>
      <c r="AB49"/>
      <c r="AC49"/>
      <c r="AD49"/>
      <c r="AE49"/>
      <c r="AF49"/>
      <c r="AG49"/>
      <c r="AH49"/>
      <c r="AI49"/>
      <c r="AJ49"/>
      <c r="AL49"/>
      <c r="AM49"/>
      <c r="AN49"/>
      <c r="AO49"/>
      <c r="AP49"/>
      <c r="AQ49"/>
      <c r="AR49"/>
      <c r="AS49"/>
      <c r="AT49"/>
      <c r="AU49"/>
      <c r="AV49"/>
      <c r="AW49"/>
      <c r="AX49"/>
      <c r="AY49"/>
      <c r="AZ49"/>
      <c r="BA49"/>
      <c r="BB49"/>
      <c r="BC49"/>
      <c r="BD49"/>
      <c r="BE49"/>
      <c r="BF49"/>
      <c r="BL49"/>
      <c r="BM49"/>
      <c r="BN49"/>
      <c r="BO49"/>
      <c r="BP49"/>
    </row>
    <row r="50" spans="2:68">
      <c r="B50" s="150" t="s">
        <v>951</v>
      </c>
      <c r="C50" s="149" t="e">
        <f>SUM(H40)*-1</f>
        <v>#N/A</v>
      </c>
      <c r="D50"/>
      <c r="E50"/>
      <c r="F50"/>
      <c r="G50"/>
      <c r="H50"/>
      <c r="I50"/>
      <c r="J50"/>
      <c r="K50" s="77"/>
      <c r="L50" s="79"/>
      <c r="AA50" s="79"/>
      <c r="AB50"/>
      <c r="AC50"/>
      <c r="AD50"/>
      <c r="AE50"/>
      <c r="AF50"/>
      <c r="AG50"/>
      <c r="AH50"/>
      <c r="AI50"/>
      <c r="AJ50"/>
      <c r="AL50"/>
      <c r="AM50"/>
      <c r="AN50"/>
      <c r="AO50"/>
      <c r="AP50"/>
      <c r="AQ50"/>
      <c r="AR50"/>
      <c r="AS50"/>
      <c r="AT50"/>
      <c r="AU50"/>
      <c r="AV50"/>
      <c r="AW50"/>
      <c r="AX50"/>
      <c r="AY50"/>
      <c r="AZ50"/>
      <c r="BA50"/>
      <c r="BB50"/>
      <c r="BC50"/>
      <c r="BD50"/>
      <c r="BE50"/>
      <c r="BF50"/>
      <c r="BL50"/>
      <c r="BM50"/>
      <c r="BN50"/>
      <c r="BO50"/>
      <c r="BP50"/>
    </row>
    <row r="51" spans="2:68">
      <c r="B51" s="150" t="s">
        <v>952</v>
      </c>
      <c r="C51" s="149">
        <f>AO32</f>
        <v>2137.7992</v>
      </c>
      <c r="D51"/>
      <c r="E51"/>
      <c r="F51"/>
      <c r="G51"/>
      <c r="H51"/>
      <c r="I51"/>
      <c r="J51"/>
      <c r="K51" s="77"/>
      <c r="L51" s="79"/>
      <c r="AA51" s="79"/>
      <c r="AB51"/>
      <c r="AC51"/>
      <c r="AD51"/>
      <c r="AE51"/>
      <c r="AF51"/>
      <c r="AG51"/>
      <c r="AH51"/>
      <c r="AI51"/>
      <c r="AJ51"/>
      <c r="AL51"/>
      <c r="AM51"/>
      <c r="AN51"/>
      <c r="AO51"/>
      <c r="AP51"/>
      <c r="AQ51"/>
      <c r="AR51"/>
      <c r="AS51"/>
      <c r="AT51"/>
      <c r="AU51"/>
      <c r="AV51"/>
      <c r="AW51"/>
      <c r="AX51"/>
      <c r="AY51"/>
      <c r="AZ51"/>
      <c r="BA51"/>
      <c r="BB51"/>
      <c r="BC51"/>
      <c r="BD51"/>
      <c r="BE51"/>
      <c r="BF51"/>
      <c r="BL51"/>
      <c r="BM51"/>
      <c r="BN51"/>
      <c r="BO51"/>
      <c r="BP51"/>
    </row>
    <row r="52" spans="2:68">
      <c r="B52" s="150" t="s">
        <v>953</v>
      </c>
      <c r="C52" s="149">
        <f>BN32</f>
        <v>327.2808</v>
      </c>
      <c r="D52"/>
      <c r="E52"/>
      <c r="F52"/>
      <c r="G52"/>
      <c r="H52"/>
      <c r="I52"/>
      <c r="J52"/>
      <c r="K52" s="77"/>
      <c r="L52" s="79"/>
      <c r="AA52" s="79"/>
      <c r="AB52"/>
      <c r="AC52"/>
      <c r="AD52"/>
      <c r="AE52"/>
      <c r="AF52"/>
      <c r="AG52"/>
      <c r="AH52"/>
      <c r="AI52"/>
      <c r="AJ52"/>
      <c r="AL52"/>
      <c r="AM52"/>
      <c r="AN52"/>
      <c r="AO52"/>
      <c r="AP52"/>
      <c r="AQ52"/>
      <c r="AR52"/>
      <c r="AS52"/>
      <c r="AT52"/>
      <c r="AU52"/>
      <c r="AV52"/>
      <c r="AW52"/>
      <c r="AX52"/>
      <c r="AY52"/>
      <c r="AZ52"/>
      <c r="BA52"/>
      <c r="BB52"/>
      <c r="BC52"/>
      <c r="BD52"/>
      <c r="BE52"/>
      <c r="BF52"/>
      <c r="BL52"/>
      <c r="BM52"/>
      <c r="BN52"/>
      <c r="BO52"/>
      <c r="BP52"/>
    </row>
    <row r="53" ht="18.15" spans="2:68">
      <c r="B53" s="150" t="s">
        <v>954</v>
      </c>
      <c r="C53" s="149">
        <f>E45*-1</f>
        <v>0</v>
      </c>
      <c r="D53"/>
      <c r="E53"/>
      <c r="F53"/>
      <c r="G53"/>
      <c r="H53"/>
      <c r="I53"/>
      <c r="J53"/>
      <c r="K53" s="77"/>
      <c r="L53" s="79"/>
      <c r="AA53" s="79"/>
      <c r="AB53"/>
      <c r="AC53"/>
      <c r="AD53"/>
      <c r="AE53"/>
      <c r="AF53"/>
      <c r="AG53"/>
      <c r="AH53"/>
      <c r="AI53"/>
      <c r="AJ53"/>
      <c r="AL53"/>
      <c r="AM53"/>
      <c r="AN53"/>
      <c r="AO53"/>
      <c r="AP53"/>
      <c r="AQ53"/>
      <c r="AR53"/>
      <c r="AS53"/>
      <c r="AT53"/>
      <c r="AU53"/>
      <c r="AV53"/>
      <c r="AW53"/>
      <c r="AX53"/>
      <c r="AY53"/>
      <c r="AZ53"/>
      <c r="BA53"/>
      <c r="BB53"/>
      <c r="BC53"/>
      <c r="BD53"/>
      <c r="BE53"/>
      <c r="BF53"/>
      <c r="BL53"/>
      <c r="BM53"/>
      <c r="BN53"/>
      <c r="BO53"/>
      <c r="BP53"/>
    </row>
    <row r="54" ht="18.15" spans="2:68">
      <c r="B54" s="151" t="s">
        <v>955</v>
      </c>
      <c r="C54" s="152" t="e">
        <f>SUM(C49:C53)</f>
        <v>#N/A</v>
      </c>
      <c r="D54"/>
      <c r="E54"/>
      <c r="F54"/>
      <c r="G54"/>
      <c r="H54"/>
      <c r="I54"/>
      <c r="J54"/>
      <c r="K54" s="77"/>
      <c r="L54" s="79"/>
      <c r="AA54" s="79"/>
      <c r="AB54"/>
      <c r="AC54"/>
      <c r="AD54"/>
      <c r="AE54"/>
      <c r="AF54"/>
      <c r="AG54"/>
      <c r="AH54"/>
      <c r="AI54"/>
      <c r="AJ54"/>
      <c r="AL54"/>
      <c r="AM54"/>
      <c r="AN54"/>
      <c r="AO54"/>
      <c r="AP54"/>
      <c r="AQ54"/>
      <c r="AR54"/>
      <c r="AS54"/>
      <c r="AT54"/>
      <c r="AU54"/>
      <c r="AV54"/>
      <c r="AW54"/>
      <c r="AX54"/>
      <c r="AY54"/>
      <c r="AZ54"/>
      <c r="BA54"/>
      <c r="BB54"/>
      <c r="BC54"/>
      <c r="BD54"/>
      <c r="BE54"/>
      <c r="BF54"/>
      <c r="BL54"/>
      <c r="BM54"/>
      <c r="BN54"/>
      <c r="BO54"/>
      <c r="BP54"/>
    </row>
    <row r="55" spans="2:68">
      <c r="B55" s="148" t="s">
        <v>956</v>
      </c>
      <c r="C55" s="153">
        <f>BJ32</f>
        <v>-2663.727</v>
      </c>
      <c r="D55"/>
      <c r="E55"/>
      <c r="F55"/>
      <c r="G55"/>
      <c r="H55"/>
      <c r="I55"/>
      <c r="J55"/>
      <c r="K55" s="77"/>
      <c r="L55" s="79"/>
      <c r="AA55" s="79"/>
      <c r="AB55"/>
      <c r="AC55"/>
      <c r="AD55"/>
      <c r="AE55"/>
      <c r="AF55"/>
      <c r="AG55"/>
      <c r="AH55"/>
      <c r="AI55"/>
      <c r="AJ55"/>
      <c r="AL55"/>
      <c r="AM55"/>
      <c r="AN55"/>
      <c r="AO55"/>
      <c r="AP55"/>
      <c r="AQ55"/>
      <c r="AR55"/>
      <c r="AS55"/>
      <c r="AT55"/>
      <c r="AU55"/>
      <c r="AV55"/>
      <c r="AW55"/>
      <c r="AX55"/>
      <c r="AY55"/>
      <c r="AZ55"/>
      <c r="BA55"/>
      <c r="BB55"/>
      <c r="BC55"/>
      <c r="BD55"/>
      <c r="BE55"/>
      <c r="BF55"/>
      <c r="BL55"/>
      <c r="BM55"/>
      <c r="BN55"/>
      <c r="BO55"/>
      <c r="BP55"/>
    </row>
    <row r="56" spans="2:68">
      <c r="B56" s="154" t="s">
        <v>957</v>
      </c>
      <c r="C56" s="155">
        <f>BO32</f>
        <v>0</v>
      </c>
      <c r="D56"/>
      <c r="E56"/>
      <c r="F56"/>
      <c r="G56"/>
      <c r="H56"/>
      <c r="I56"/>
      <c r="J56"/>
      <c r="K56" s="77"/>
      <c r="L56" s="79"/>
      <c r="AA56" s="79"/>
      <c r="AB56"/>
      <c r="AC56"/>
      <c r="AD56"/>
      <c r="AE56"/>
      <c r="AF56"/>
      <c r="AG56"/>
      <c r="AH56"/>
      <c r="AI56"/>
      <c r="AJ56"/>
      <c r="AL56"/>
      <c r="AM56"/>
      <c r="AN56"/>
      <c r="AO56"/>
      <c r="AP56"/>
      <c r="AQ56"/>
      <c r="AR56"/>
      <c r="AS56"/>
      <c r="AT56"/>
      <c r="AU56"/>
      <c r="AV56"/>
      <c r="AW56"/>
      <c r="AX56"/>
      <c r="AY56"/>
      <c r="AZ56"/>
      <c r="BA56"/>
      <c r="BB56"/>
      <c r="BC56"/>
      <c r="BD56"/>
      <c r="BE56"/>
      <c r="BF56"/>
      <c r="BL56"/>
      <c r="BM56"/>
      <c r="BN56"/>
      <c r="BO56"/>
      <c r="BP56"/>
    </row>
    <row r="57" ht="18" customHeight="1" spans="2:68">
      <c r="B57" s="154" t="s">
        <v>958</v>
      </c>
      <c r="C57" s="155" t="e">
        <f>(G40+J40+I40)*-1</f>
        <v>#N/A</v>
      </c>
      <c r="D57" s="156"/>
      <c r="E57"/>
      <c r="F57"/>
      <c r="G57"/>
      <c r="H57"/>
      <c r="I57"/>
      <c r="J57"/>
      <c r="K57" s="77"/>
      <c r="L57" s="79"/>
      <c r="AA57" s="79"/>
      <c r="AB57"/>
      <c r="AC57"/>
      <c r="AD57"/>
      <c r="AE57"/>
      <c r="AF57"/>
      <c r="AG57"/>
      <c r="AH57"/>
      <c r="AI57"/>
      <c r="AJ57"/>
      <c r="AL57"/>
      <c r="AM57"/>
      <c r="AN57"/>
      <c r="AO57"/>
      <c r="AP57"/>
      <c r="AQ57"/>
      <c r="AR57"/>
      <c r="AS57"/>
      <c r="AT57"/>
      <c r="AU57"/>
      <c r="AV57"/>
      <c r="AW57"/>
      <c r="AX57"/>
      <c r="AY57"/>
      <c r="AZ57"/>
      <c r="BA57"/>
      <c r="BB57"/>
      <c r="BC57"/>
      <c r="BD57"/>
      <c r="BE57"/>
      <c r="BF57"/>
      <c r="BK57" s="160"/>
      <c r="BL57"/>
      <c r="BM57"/>
      <c r="BN57"/>
      <c r="BO57"/>
      <c r="BP57"/>
    </row>
    <row r="58" ht="18" customHeight="1" spans="2:68">
      <c r="B58" s="157" t="s">
        <v>959</v>
      </c>
      <c r="C58" s="158">
        <f>SUM(J32:M32)*-1</f>
        <v>-898.531232876713</v>
      </c>
      <c r="D58"/>
      <c r="E58"/>
      <c r="F58"/>
      <c r="G58"/>
      <c r="H58"/>
      <c r="I58"/>
      <c r="J58"/>
      <c r="K58" s="188"/>
      <c r="L58" s="79"/>
      <c r="AA58" s="79"/>
      <c r="AB58"/>
      <c r="AC58"/>
      <c r="AD58"/>
      <c r="AE58"/>
      <c r="AF58"/>
      <c r="AG58"/>
      <c r="AH58"/>
      <c r="AI58"/>
      <c r="AJ58"/>
      <c r="AL58"/>
      <c r="AM58"/>
      <c r="AN58"/>
      <c r="AO58"/>
      <c r="AP58"/>
      <c r="AQ58"/>
      <c r="AR58"/>
      <c r="AS58"/>
      <c r="AT58"/>
      <c r="AU58"/>
      <c r="AV58"/>
      <c r="AW58"/>
      <c r="AX58"/>
      <c r="AY58"/>
      <c r="AZ58"/>
      <c r="BA58"/>
      <c r="BB58"/>
      <c r="BC58"/>
      <c r="BD58"/>
      <c r="BE58"/>
      <c r="BF58"/>
      <c r="BK58" s="160"/>
      <c r="BL58"/>
      <c r="BM58"/>
      <c r="BN58"/>
      <c r="BO58"/>
      <c r="BP58"/>
    </row>
    <row r="59" ht="18" customHeight="1" spans="2:68">
      <c r="B59" s="151" t="s">
        <v>960</v>
      </c>
      <c r="C59" s="152" t="e">
        <f>SUM(C55:C58)</f>
        <v>#N/A</v>
      </c>
      <c r="D59"/>
      <c r="E59"/>
      <c r="F59"/>
      <c r="G59"/>
      <c r="H59"/>
      <c r="I59"/>
      <c r="J59"/>
      <c r="K59" s="188"/>
      <c r="L59" s="79"/>
      <c r="AA59" s="79"/>
      <c r="AB59"/>
      <c r="AC59"/>
      <c r="AD59"/>
      <c r="AE59"/>
      <c r="AF59"/>
      <c r="AG59"/>
      <c r="AH59"/>
      <c r="AI59"/>
      <c r="AJ59"/>
      <c r="AK59" s="247"/>
      <c r="AL59"/>
      <c r="AM59"/>
      <c r="AN59"/>
      <c r="AO59"/>
      <c r="AP59"/>
      <c r="AQ59"/>
      <c r="AR59"/>
      <c r="AS59"/>
      <c r="AT59"/>
      <c r="AU59"/>
      <c r="AV59"/>
      <c r="AW59"/>
      <c r="AX59"/>
      <c r="AY59"/>
      <c r="AZ59"/>
      <c r="BA59"/>
      <c r="BB59"/>
      <c r="BC59"/>
      <c r="BD59"/>
      <c r="BE59"/>
      <c r="BF59"/>
      <c r="BK59" s="160"/>
      <c r="BL59"/>
      <c r="BM59"/>
      <c r="BN59"/>
      <c r="BO59"/>
      <c r="BP59"/>
    </row>
    <row r="60" ht="18" customHeight="1" spans="2:68">
      <c r="B60" s="148" t="s">
        <v>961</v>
      </c>
      <c r="C60" s="153" t="e">
        <f>C54+C59</f>
        <v>#N/A</v>
      </c>
      <c r="D60"/>
      <c r="E60"/>
      <c r="F60"/>
      <c r="G60"/>
      <c r="H60"/>
      <c r="I60"/>
      <c r="J60"/>
      <c r="K60" s="189"/>
      <c r="L60" s="79"/>
      <c r="AA60" s="79"/>
      <c r="AB60"/>
      <c r="AC60"/>
      <c r="AD60"/>
      <c r="AE60"/>
      <c r="AF60"/>
      <c r="AG60"/>
      <c r="AH60"/>
      <c r="AI60"/>
      <c r="AJ60"/>
      <c r="AK60" s="248"/>
      <c r="AL60"/>
      <c r="AM60"/>
      <c r="AN60"/>
      <c r="AO60"/>
      <c r="AP60"/>
      <c r="AQ60"/>
      <c r="AR60"/>
      <c r="AS60"/>
      <c r="AT60"/>
      <c r="AU60"/>
      <c r="AV60"/>
      <c r="AW60"/>
      <c r="AX60"/>
      <c r="AY60"/>
      <c r="AZ60"/>
      <c r="BA60"/>
      <c r="BB60"/>
      <c r="BC60"/>
      <c r="BD60"/>
      <c r="BE60"/>
      <c r="BF60"/>
      <c r="BK60" s="160"/>
      <c r="BL60"/>
      <c r="BM60"/>
      <c r="BN60"/>
      <c r="BO60"/>
      <c r="BP60"/>
    </row>
    <row r="61" ht="18" customHeight="1" spans="2:68">
      <c r="B61" s="157" t="s">
        <v>962</v>
      </c>
      <c r="C61" s="159" t="e">
        <f>C60/C54</f>
        <v>#N/A</v>
      </c>
      <c r="D61"/>
      <c r="E61"/>
      <c r="F61"/>
      <c r="G61"/>
      <c r="H61"/>
      <c r="I61"/>
      <c r="J61"/>
      <c r="K61" s="190"/>
      <c r="L61" s="79"/>
      <c r="AA61" s="79"/>
      <c r="AB61"/>
      <c r="AC61"/>
      <c r="AD61"/>
      <c r="AE61"/>
      <c r="AF61"/>
      <c r="AG61"/>
      <c r="AH61"/>
      <c r="AI61"/>
      <c r="AJ61"/>
      <c r="AK61" s="249"/>
      <c r="AL61"/>
      <c r="AM61"/>
      <c r="AN61"/>
      <c r="AO61"/>
      <c r="AP61"/>
      <c r="AQ61"/>
      <c r="AR61"/>
      <c r="AS61"/>
      <c r="AT61"/>
      <c r="AU61"/>
      <c r="AV61"/>
      <c r="AW61"/>
      <c r="AX61"/>
      <c r="AY61"/>
      <c r="AZ61"/>
      <c r="BA61"/>
      <c r="BB61"/>
      <c r="BC61"/>
      <c r="BD61"/>
      <c r="BE61"/>
      <c r="BF61"/>
      <c r="BK61" s="160"/>
      <c r="BL61"/>
      <c r="BM61"/>
      <c r="BN61"/>
      <c r="BO61"/>
      <c r="BP61"/>
    </row>
    <row r="62" ht="18" customHeight="1" spans="2:68">
      <c r="B62"/>
      <c r="D62" s="160"/>
      <c r="F62" s="161"/>
      <c r="G62" s="161"/>
      <c r="H62"/>
      <c r="I62"/>
      <c r="J62"/>
      <c r="K62"/>
      <c r="L62" s="79"/>
      <c r="O62" s="161"/>
      <c r="AA62" s="79"/>
      <c r="AB62"/>
      <c r="AC62"/>
      <c r="AD62"/>
      <c r="AE62"/>
      <c r="AF62"/>
      <c r="AG62"/>
      <c r="AH62"/>
      <c r="AI62"/>
      <c r="AJ62"/>
      <c r="AK62" s="249"/>
      <c r="AL62"/>
      <c r="AM62"/>
      <c r="AN62"/>
      <c r="AO62"/>
      <c r="AP62"/>
      <c r="AQ62"/>
      <c r="AR62"/>
      <c r="AS62"/>
      <c r="AT62"/>
      <c r="AU62"/>
      <c r="AV62"/>
      <c r="AW62"/>
      <c r="AX62"/>
      <c r="AY62"/>
      <c r="AZ62"/>
      <c r="BA62"/>
      <c r="BB62"/>
      <c r="BC62"/>
      <c r="BD62"/>
      <c r="BE62"/>
      <c r="BF62"/>
      <c r="BK62" s="160"/>
      <c r="BL62"/>
      <c r="BM62"/>
      <c r="BN62"/>
      <c r="BO62"/>
      <c r="BP62"/>
    </row>
    <row r="63" ht="38" customHeight="1" spans="2:68">
      <c r="B63"/>
      <c r="C63"/>
      <c r="D63"/>
      <c r="E63"/>
      <c r="F63"/>
      <c r="G63"/>
      <c r="H63"/>
      <c r="I63"/>
      <c r="K63" s="160"/>
      <c r="O63" s="161"/>
      <c r="AA63" s="161"/>
      <c r="AB63"/>
      <c r="AC63"/>
      <c r="AD63"/>
      <c r="AE63"/>
      <c r="AF63"/>
      <c r="AG63"/>
      <c r="AH63"/>
      <c r="AI63"/>
      <c r="AJ63"/>
      <c r="AK63" s="249"/>
      <c r="AL63"/>
      <c r="AM63"/>
      <c r="AN63"/>
      <c r="AO63"/>
      <c r="AP63"/>
      <c r="AQ63"/>
      <c r="AR63"/>
      <c r="AS63"/>
      <c r="AT63"/>
      <c r="AU63"/>
      <c r="AV63"/>
      <c r="AW63"/>
      <c r="AX63"/>
      <c r="AY63"/>
      <c r="AZ63"/>
      <c r="BA63"/>
      <c r="BB63"/>
      <c r="BC63"/>
      <c r="BD63"/>
      <c r="BE63"/>
      <c r="BF63"/>
      <c r="BK63" s="160"/>
      <c r="BL63"/>
      <c r="BM63"/>
      <c r="BN63"/>
      <c r="BO63"/>
      <c r="BP63"/>
    </row>
    <row r="64" spans="2:68">
      <c r="B64"/>
      <c r="C64"/>
      <c r="D64"/>
      <c r="E64"/>
      <c r="F64"/>
      <c r="G64"/>
      <c r="H64"/>
      <c r="I64"/>
      <c r="K64" s="191"/>
      <c r="M64" s="191"/>
      <c r="N64" s="161"/>
      <c r="O64" s="161"/>
      <c r="P64"/>
      <c r="Q64"/>
      <c r="R64"/>
      <c r="S64"/>
      <c r="T64"/>
      <c r="U64"/>
      <c r="V64"/>
      <c r="W64"/>
      <c r="Y64" s="160"/>
      <c r="Z64" s="77"/>
      <c r="AA64" s="161"/>
      <c r="AB64"/>
      <c r="AC64"/>
      <c r="AD64"/>
      <c r="AE64"/>
      <c r="AF64"/>
      <c r="AG64"/>
      <c r="AH64"/>
      <c r="AI64"/>
      <c r="AJ64"/>
      <c r="AK64" s="249"/>
      <c r="AL64"/>
      <c r="AM64"/>
      <c r="AN64"/>
      <c r="AO64"/>
      <c r="AP64"/>
      <c r="AQ64"/>
      <c r="AR64"/>
      <c r="AS64"/>
      <c r="AT64"/>
      <c r="AU64"/>
      <c r="AV64"/>
      <c r="AW64"/>
      <c r="AX64"/>
      <c r="AY64"/>
      <c r="AZ64"/>
      <c r="BA64"/>
      <c r="BB64"/>
      <c r="BC64"/>
      <c r="BD64"/>
      <c r="BE64"/>
      <c r="BF64"/>
      <c r="BL64"/>
      <c r="BM64"/>
      <c r="BN64"/>
      <c r="BO64"/>
      <c r="BP64"/>
    </row>
    <row r="65" spans="2:68">
      <c r="B65"/>
      <c r="C65"/>
      <c r="D65"/>
      <c r="E65"/>
      <c r="F65"/>
      <c r="G65"/>
      <c r="H65"/>
      <c r="I65"/>
      <c r="K65" s="191"/>
      <c r="M65" s="191"/>
      <c r="N65" s="161"/>
      <c r="O65" s="161"/>
      <c r="P65"/>
      <c r="Q65"/>
      <c r="R65"/>
      <c r="S65"/>
      <c r="T65"/>
      <c r="U65"/>
      <c r="V65"/>
      <c r="W65"/>
      <c r="X65"/>
      <c r="Y65"/>
      <c r="Z65"/>
      <c r="AA65"/>
      <c r="AB65"/>
      <c r="AC65"/>
      <c r="AD65"/>
      <c r="AE65"/>
      <c r="AF65"/>
      <c r="AG65"/>
      <c r="AH65"/>
      <c r="AI65"/>
      <c r="AJ65"/>
      <c r="AK65" s="249"/>
      <c r="AL65"/>
      <c r="AM65"/>
      <c r="AN65"/>
      <c r="AO65"/>
      <c r="AP65"/>
      <c r="AQ65"/>
      <c r="AR65"/>
      <c r="AS65"/>
      <c r="AT65"/>
      <c r="AU65"/>
      <c r="AV65"/>
      <c r="AW65"/>
      <c r="AX65"/>
      <c r="AY65"/>
      <c r="AZ65"/>
      <c r="BA65"/>
      <c r="BB65"/>
      <c r="BC65"/>
      <c r="BD65"/>
      <c r="BE65"/>
      <c r="BF65"/>
      <c r="BL65"/>
      <c r="BM65"/>
      <c r="BN65"/>
      <c r="BO65"/>
      <c r="BP65"/>
    </row>
    <row r="66" spans="2:68">
      <c r="B66"/>
      <c r="C66"/>
      <c r="D66"/>
      <c r="E66"/>
      <c r="F66"/>
      <c r="G66"/>
      <c r="H66"/>
      <c r="I66"/>
      <c r="K66" s="191"/>
      <c r="M66" s="191"/>
      <c r="N66" s="161"/>
      <c r="O66" s="161"/>
      <c r="P66"/>
      <c r="Q66"/>
      <c r="R66"/>
      <c r="S66"/>
      <c r="T66"/>
      <c r="U66"/>
      <c r="V66"/>
      <c r="W66"/>
      <c r="X66"/>
      <c r="Y66"/>
      <c r="Z66"/>
      <c r="AA66"/>
      <c r="AB66"/>
      <c r="AC66"/>
      <c r="AD66"/>
      <c r="AE66"/>
      <c r="AF66"/>
      <c r="AG66"/>
      <c r="AH66"/>
      <c r="AI66"/>
      <c r="AJ66"/>
      <c r="AK66" s="249"/>
      <c r="AL66"/>
      <c r="AM66"/>
      <c r="AN66"/>
      <c r="AO66"/>
      <c r="AP66"/>
      <c r="AQ66"/>
      <c r="AR66"/>
      <c r="AS66"/>
      <c r="AT66"/>
      <c r="AU66"/>
      <c r="AV66"/>
      <c r="AW66"/>
      <c r="AX66"/>
      <c r="AY66"/>
      <c r="AZ66"/>
      <c r="BA66"/>
      <c r="BB66"/>
      <c r="BC66"/>
      <c r="BD66"/>
      <c r="BE66"/>
      <c r="BF66"/>
      <c r="BL66"/>
      <c r="BM66"/>
      <c r="BN66"/>
      <c r="BO66"/>
      <c r="BP66"/>
    </row>
    <row r="67" spans="2:68">
      <c r="B67"/>
      <c r="C67"/>
      <c r="D67"/>
      <c r="E67"/>
      <c r="F67"/>
      <c r="G67"/>
      <c r="H67"/>
      <c r="I67"/>
      <c r="K67" s="77"/>
      <c r="M67" s="77"/>
      <c r="P67"/>
      <c r="Q67"/>
      <c r="R67"/>
      <c r="S67"/>
      <c r="T67"/>
      <c r="U67"/>
      <c r="V67"/>
      <c r="W67"/>
      <c r="X67"/>
      <c r="Y67"/>
      <c r="Z67"/>
      <c r="AA67"/>
      <c r="AB67"/>
      <c r="AC67"/>
      <c r="AD67"/>
      <c r="AE67"/>
      <c r="AF67"/>
      <c r="AG67"/>
      <c r="AH67"/>
      <c r="AI67"/>
      <c r="AJ67"/>
      <c r="AL67"/>
      <c r="AM67"/>
      <c r="AN67"/>
      <c r="AO67"/>
      <c r="AP67"/>
      <c r="AQ67"/>
      <c r="AR67"/>
      <c r="AS67"/>
      <c r="AT67"/>
      <c r="AU67"/>
      <c r="AV67"/>
      <c r="AW67"/>
      <c r="AX67"/>
      <c r="AY67"/>
      <c r="AZ67"/>
      <c r="BA67"/>
      <c r="BB67"/>
      <c r="BC67"/>
      <c r="BD67"/>
      <c r="BE67"/>
      <c r="BF67"/>
      <c r="BL67"/>
      <c r="BM67"/>
      <c r="BN67"/>
      <c r="BO67"/>
      <c r="BP67"/>
    </row>
    <row r="68" spans="2:68">
      <c r="B68"/>
      <c r="C68"/>
      <c r="D68"/>
      <c r="E68"/>
      <c r="F68"/>
      <c r="G68"/>
      <c r="H68"/>
      <c r="I68"/>
      <c r="K68" s="77"/>
      <c r="M68" s="77"/>
      <c r="P68"/>
      <c r="Q68"/>
      <c r="R68"/>
      <c r="S68"/>
      <c r="T68"/>
      <c r="U68"/>
      <c r="V68"/>
      <c r="W68"/>
      <c r="X68"/>
      <c r="Y68"/>
      <c r="Z68"/>
      <c r="AA68"/>
      <c r="AB68"/>
      <c r="AC68"/>
      <c r="AD68"/>
      <c r="AE68"/>
      <c r="AF68"/>
      <c r="AG68"/>
      <c r="AH68"/>
      <c r="AI68"/>
      <c r="AJ68"/>
      <c r="AL68"/>
      <c r="AM68"/>
      <c r="AN68"/>
      <c r="AO68"/>
      <c r="AP68"/>
      <c r="AQ68"/>
      <c r="AR68"/>
      <c r="AS68"/>
      <c r="AT68"/>
      <c r="AU68"/>
      <c r="AV68"/>
      <c r="AW68"/>
      <c r="AX68"/>
      <c r="AY68"/>
      <c r="AZ68"/>
      <c r="BA68"/>
      <c r="BB68"/>
      <c r="BC68"/>
      <c r="BD68"/>
      <c r="BE68"/>
      <c r="BF68"/>
      <c r="BG68" s="330"/>
      <c r="BH68" s="330"/>
      <c r="BI68" s="330"/>
      <c r="BJ68" s="330"/>
      <c r="BL68"/>
      <c r="BM68"/>
      <c r="BN68"/>
      <c r="BO68"/>
      <c r="BP68"/>
    </row>
    <row r="69" spans="2:68">
      <c r="B69"/>
      <c r="C69"/>
      <c r="D69"/>
      <c r="E69"/>
      <c r="F69"/>
      <c r="G69"/>
      <c r="H69"/>
      <c r="I69"/>
      <c r="K69" s="77"/>
      <c r="M69" s="77"/>
      <c r="U69" s="330"/>
      <c r="V69" s="330"/>
      <c r="W69" s="330"/>
      <c r="X69" s="330"/>
      <c r="Y69" s="79"/>
      <c r="Z69" s="79"/>
      <c r="AA69" s="79"/>
      <c r="AB69" s="79"/>
      <c r="AC69" s="79"/>
      <c r="AD69" s="79"/>
      <c r="AH69" s="79"/>
      <c r="AI69" s="79"/>
      <c r="AJ69" s="79"/>
      <c r="AL69" s="79"/>
      <c r="AM69" s="79"/>
      <c r="AN69" s="79"/>
      <c r="AO69" s="79"/>
      <c r="AP69" s="330"/>
      <c r="AQ69" s="330"/>
      <c r="AR69" s="330"/>
      <c r="AS69" s="330"/>
      <c r="AT69" s="330"/>
      <c r="AU69" s="330"/>
      <c r="AV69" s="330"/>
      <c r="AW69" s="330"/>
      <c r="AX69" s="330"/>
      <c r="AY69" s="330"/>
      <c r="AZ69" s="330"/>
      <c r="BA69" s="330"/>
      <c r="BB69" s="330"/>
      <c r="BC69" s="330"/>
      <c r="BD69" s="330"/>
      <c r="BE69" s="330"/>
      <c r="BF69" s="330"/>
      <c r="BG69" s="330"/>
      <c r="BH69" s="330"/>
      <c r="BI69" s="330"/>
      <c r="BJ69" s="330"/>
      <c r="BL69"/>
      <c r="BM69"/>
      <c r="BN69"/>
      <c r="BO69"/>
      <c r="BP69"/>
    </row>
    <row r="70" ht="13.8" spans="1:72">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T70"/>
    </row>
    <row r="71" ht="13.8" spans="1:72">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T71"/>
    </row>
    <row r="72" ht="13.8" spans="1:72">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T72"/>
    </row>
    <row r="73" ht="13.8" spans="1:72">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T73"/>
    </row>
    <row r="74" ht="13.8" spans="1:72">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T74"/>
    </row>
    <row r="75" ht="13.8" spans="1:72">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T75"/>
    </row>
    <row r="76" ht="13.8" spans="1:72">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T76"/>
    </row>
    <row r="77" ht="13.8" spans="1:72">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T77"/>
    </row>
    <row r="78" ht="13.8" spans="1:72">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T78"/>
    </row>
    <row r="79" ht="13.8" spans="1:72">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T79"/>
    </row>
    <row r="80" ht="13.8" spans="1:72">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T80"/>
    </row>
    <row r="81" ht="13.8" spans="1:72">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T81"/>
    </row>
    <row r="82" ht="13.8" spans="1:72">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T82"/>
    </row>
    <row r="83" spans="2:41">
      <c r="B83"/>
      <c r="C83"/>
      <c r="D83"/>
      <c r="E83"/>
      <c r="F83"/>
      <c r="G83"/>
      <c r="H83"/>
      <c r="I83"/>
      <c r="K83" s="77"/>
      <c r="M83" s="77"/>
      <c r="Y83" s="79"/>
      <c r="Z83" s="79"/>
      <c r="AA83" s="79"/>
      <c r="AB83" s="79"/>
      <c r="AC83" s="79"/>
      <c r="AD83" s="79"/>
      <c r="AH83" s="79"/>
      <c r="AI83" s="79"/>
      <c r="AJ83" s="79"/>
      <c r="AL83" s="79"/>
      <c r="AM83" s="79"/>
      <c r="AN83" s="79"/>
      <c r="AO83" s="79"/>
    </row>
    <row r="84" spans="2:41">
      <c r="B84"/>
      <c r="C84"/>
      <c r="D84"/>
      <c r="E84"/>
      <c r="F84"/>
      <c r="G84"/>
      <c r="H84"/>
      <c r="I84"/>
      <c r="K84" s="77"/>
      <c r="M84" s="77"/>
      <c r="Y84" s="79"/>
      <c r="Z84" s="79"/>
      <c r="AA84" s="79"/>
      <c r="AB84" s="79"/>
      <c r="AC84" s="79"/>
      <c r="AD84" s="79"/>
      <c r="AH84" s="79"/>
      <c r="AI84" s="79"/>
      <c r="AJ84" s="79"/>
      <c r="AL84" s="79"/>
      <c r="AM84" s="79"/>
      <c r="AN84" s="79"/>
      <c r="AO84" s="79"/>
    </row>
    <row r="85" spans="2:41">
      <c r="B85"/>
      <c r="C85"/>
      <c r="D85"/>
      <c r="E85"/>
      <c r="F85"/>
      <c r="G85"/>
      <c r="H85"/>
      <c r="I85"/>
      <c r="K85" s="77"/>
      <c r="M85" s="77"/>
      <c r="Y85" s="79"/>
      <c r="Z85" s="79"/>
      <c r="AA85" s="79"/>
      <c r="AB85" s="79"/>
      <c r="AC85" s="79"/>
      <c r="AD85" s="79"/>
      <c r="AH85" s="79"/>
      <c r="AI85" s="79"/>
      <c r="AJ85" s="79"/>
      <c r="AL85" s="79"/>
      <c r="AM85" s="79"/>
      <c r="AN85" s="79"/>
      <c r="AO85" s="79"/>
    </row>
    <row r="86" spans="1:72">
      <c r="A86" s="113"/>
      <c r="B86"/>
      <c r="C86"/>
      <c r="D86"/>
      <c r="E86"/>
      <c r="F86"/>
      <c r="G86"/>
      <c r="H86"/>
      <c r="I86"/>
      <c r="N86" s="191"/>
      <c r="O86" s="191"/>
      <c r="P86" s="329"/>
      <c r="Q86" s="329"/>
      <c r="R86" s="331"/>
      <c r="S86" s="331"/>
      <c r="AK86" s="191"/>
      <c r="BT86" s="113"/>
    </row>
    <row r="87" spans="2:37">
      <c r="B87"/>
      <c r="C87"/>
      <c r="D87"/>
      <c r="E87"/>
      <c r="F87"/>
      <c r="G87"/>
      <c r="H87"/>
      <c r="I87"/>
      <c r="N87" s="191"/>
      <c r="O87" s="191"/>
      <c r="P87" s="191"/>
      <c r="Q87" s="191"/>
      <c r="R87" s="331"/>
      <c r="S87" s="331"/>
      <c r="AK87" s="191"/>
    </row>
    <row r="88" spans="6:37">
      <c r="F88"/>
      <c r="G88"/>
      <c r="N88" s="191"/>
      <c r="O88" s="191"/>
      <c r="P88" s="329"/>
      <c r="Q88" s="329"/>
      <c r="R88" s="331"/>
      <c r="S88" s="331"/>
      <c r="AK88" s="191"/>
    </row>
    <row r="89" spans="14:37">
      <c r="N89" s="191"/>
      <c r="O89" s="191"/>
      <c r="P89" s="191"/>
      <c r="Q89" s="191"/>
      <c r="R89" s="331"/>
      <c r="S89" s="331"/>
      <c r="AK89" s="191"/>
    </row>
  </sheetData>
  <mergeCells count="3">
    <mergeCell ref="R3:AD3"/>
    <mergeCell ref="AE3:AI3"/>
    <mergeCell ref="AJ3:AO3"/>
  </mergeCells>
  <conditionalFormatting sqref="AL5:AL25">
    <cfRule type="expression" dxfId="125" priority="3" stopIfTrue="1">
      <formula>$AR5=0</formula>
    </cfRule>
  </conditionalFormatting>
  <conditionalFormatting sqref="AR5:AR25">
    <cfRule type="expression" dxfId="125" priority="1" stopIfTrue="1">
      <formula>$AR5=0</formula>
    </cfRule>
  </conditionalFormatting>
  <conditionalFormatting sqref="Q4:AO5 AL5:AL25 Q6:AL25 AR5:AT20 AM21:AT21 AM22:AU25 A1:B2 O1:BS2 BT1:XFD20 F2:H2 J2 F3:R3 AE3 AJ3 AP3:BS3 A3:E25 AR4:BS4 J4:N25 AV5:BS5 AP5:AQ21 AU5:AU21 AM6:AO20 BN6:BS20 BB6:BM21 AV6:BA25 BN21:XFD21 BB22:XFD25 C24:C28 AP24:AQ28 C26:E29 A26:B31 F26:N31 Q26:AF31 Y26:AA32 AG26:XFD32 A32:AF32 T34:AF34 AL34:AN34 AQ34:BC34 AZ34:BC35 BG34:BS35 AG34:AK38 A34:A87 BT34:XFD1048576 J35:K35 AL35:BC35 K35:L37 AA35:AF38 G36:K37 AL36:BS38 G38:L38 G39:K39 BG39:BS47 AK39:AK68 K41:K61 BG48:BK68 BQ48:BS70 C62:G62 O62:O63 J63:L63 AA63 X64:AA64 N64:O68 J64:M87 AX69:BK70 N69:AW1048576 BD69:BD1048576 AX71:BS1048576 A88:E1048576 H88:M1048576 F89:G1048576">
    <cfRule type="cellIs" dxfId="36" priority="16" operator="lessThan">
      <formula>0</formula>
    </cfRule>
  </conditionalFormatting>
  <pageMargins left="0.7" right="0.7" top="0.75" bottom="0.75" header="0.3" footer="0.3"/>
  <pageSetup paperSize="9" scale="33" orientation="landscape"/>
  <headerFooter/>
  <ignoredErrors>
    <ignoredError sqref="AS5" calculatedColumn="1"/>
  </ignoredErrors>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G54"/>
  <sheetViews>
    <sheetView showGridLines="0" zoomScale="90" zoomScaleNormal="90" zoomScalePageLayoutView="75" zoomScaleSheetLayoutView="50" topLeftCell="A28" workbookViewId="0">
      <selection activeCell="J39" sqref="J39"/>
    </sheetView>
  </sheetViews>
  <sheetFormatPr defaultColWidth="8.83333333333333" defaultRowHeight="13.8" outlineLevelCol="6"/>
  <cols>
    <col min="1" max="1" width="69.1666666666667" customWidth="1"/>
    <col min="2" max="2" width="20.8333333333333" customWidth="1"/>
    <col min="3" max="3" width="15.3333333333333" customWidth="1"/>
    <col min="4" max="4" width="10.8333333333333" customWidth="1"/>
    <col min="5" max="5" width="23.5" customWidth="1"/>
  </cols>
  <sheetData>
    <row r="1" ht="52" customHeight="1" spans="2:4">
      <c r="B1" s="2"/>
      <c r="C1" s="3"/>
      <c r="D1" s="3"/>
    </row>
    <row r="2" ht="46" customHeight="1" spans="1:5">
      <c r="A2" s="4" t="str">
        <f>VLOOKUP(E7,Rep_table[],2,FALSE)</f>
        <v>The Owners of Cluster 1A Witchcliffe Ecovillage Survey Strata 77784</v>
      </c>
      <c r="B2" s="5" t="s">
        <v>963</v>
      </c>
      <c r="C2" s="5"/>
      <c r="D2" s="5"/>
      <c r="E2" s="5"/>
    </row>
    <row r="3" ht="20.25" customHeight="1" spans="1:4">
      <c r="A3" s="6" t="str">
        <f>VLOOKUP(E7,Rep_table[],3,FALSE)</f>
        <v>ABN: 29 857 461 927</v>
      </c>
      <c r="B3" s="2"/>
      <c r="C3" s="3"/>
      <c r="D3" s="3"/>
    </row>
    <row r="4" ht="10" customHeight="1" spans="1:4">
      <c r="A4" s="6"/>
      <c r="B4" s="2"/>
      <c r="C4" s="3"/>
      <c r="D4" s="3"/>
    </row>
    <row r="5" ht="24" customHeight="1" spans="1:5">
      <c r="A5" s="7" t="str">
        <f>CONCATENATE("C/- Cluster ",E7," Strata")</f>
        <v>C/- Cluster 1A Strata</v>
      </c>
      <c r="B5" s="8" t="s">
        <v>964</v>
      </c>
      <c r="C5" s="9"/>
      <c r="D5" s="9"/>
      <c r="E5" s="10">
        <f ca="1">TODAY()</f>
        <v>45769</v>
      </c>
    </row>
    <row r="6" ht="18" customHeight="1" spans="1:5">
      <c r="A6" t="s">
        <v>965</v>
      </c>
      <c r="B6" s="8" t="s">
        <v>966</v>
      </c>
      <c r="C6" s="9"/>
      <c r="D6" s="9"/>
      <c r="E6" s="11" t="str">
        <f>CONCATENATE(E7,E8,"/",TEXT(E12,"mm"),TEXT(E12,"yy"))</f>
        <v>1A1/0325</v>
      </c>
    </row>
    <row r="7" ht="18" customHeight="1" spans="1:5">
      <c r="A7" t="s">
        <v>967</v>
      </c>
      <c r="B7" s="8" t="s">
        <v>34</v>
      </c>
      <c r="C7" s="3"/>
      <c r="D7" s="3"/>
      <c r="E7" s="12" t="str">
        <f>'Energy billing Mastersheet'!B1</f>
        <v>1A</v>
      </c>
    </row>
    <row r="8" ht="18" customHeight="1" spans="1:5">
      <c r="A8" s="13" t="str">
        <f>CONCATENATE("Email: ",VLOOKUP(E7,Rep_table[],8,FALSE))</f>
        <v>Email: wevcluster1a@gmail.com</v>
      </c>
      <c r="B8" s="8" t="s">
        <v>968</v>
      </c>
      <c r="C8" s="3"/>
      <c r="D8" s="3"/>
      <c r="E8">
        <v>1</v>
      </c>
    </row>
    <row r="9" ht="18" customHeight="1" spans="1:5">
      <c r="A9" s="14"/>
      <c r="B9" s="8" t="s">
        <v>969</v>
      </c>
      <c r="C9" s="15"/>
      <c r="D9" s="15"/>
      <c r="E9" s="16">
        <f>VLOOKUP(E8,'Energy billing Mastersheet'!5:32,MATCH('Energy billing Mastersheet'!C4,'Energy billing Mastersheet'!4:4,0),FALSE)</f>
        <v>50002845</v>
      </c>
    </row>
    <row r="10" spans="1:5">
      <c r="A10" s="17" t="s">
        <v>970</v>
      </c>
      <c r="B10" s="8" t="s">
        <v>971</v>
      </c>
      <c r="C10" s="15"/>
      <c r="D10" s="15"/>
      <c r="E10" s="18" cm="1">
        <f t="array" ref="E10">INDEX(Table_Household_Alloc[Unit Entitlement],MATCH(1,(Table_Household_Alloc[Lot]=E8)*(Table_Household_Alloc[cluster]=E7),0))</f>
        <v>36</v>
      </c>
    </row>
    <row r="11" ht="15" customHeight="1" spans="1:5">
      <c r="A11" t="str" cm="1">
        <f t="array" ref="A11">INDEX(Table_Household_Alloc[Owner],MATCH(1,(Table_Household_Alloc[Lot]=E8)*(Table_Household_Alloc[cluster]=E7),0))</f>
        <v>Mead Family trust</v>
      </c>
      <c r="B11" s="19" t="s">
        <v>972</v>
      </c>
      <c r="C11" s="3"/>
      <c r="D11" s="3"/>
      <c r="E11" s="20" cm="1">
        <f t="array" ref="E11">INDEX(Table_Household_Alloc[UE % over Cluster],MATCH(1,(Table_Household_Alloc[Lot]=E8)*(Table_Household_Alloc[cluster]=E7),0))</f>
        <v>0.036</v>
      </c>
    </row>
    <row r="12" ht="15" customHeight="1" spans="1:5">
      <c r="A12" t="str" cm="1">
        <f t="array" ref="A12">INDEX(Table_Household_Alloc[Street Address],MATCH(1,(Table_Household_Alloc[Lot]=E8)*(Table_Household_Alloc[cluster]=E7),0))</f>
        <v>1 Yornitj Grove</v>
      </c>
      <c r="B12" s="8" t="s">
        <v>973</v>
      </c>
      <c r="C12" s="21">
        <f>'Energy billing Mastersheet'!F1</f>
        <v>45658</v>
      </c>
      <c r="D12" s="21"/>
      <c r="E12" s="21">
        <f>'Energy billing Mastersheet'!H1</f>
        <v>45747</v>
      </c>
    </row>
    <row r="13" ht="15" customHeight="1" spans="1:5">
      <c r="A13" t="s">
        <v>974</v>
      </c>
      <c r="B13" s="8" t="s">
        <v>975</v>
      </c>
      <c r="C13" s="3"/>
      <c r="D13" s="3"/>
      <c r="E13" s="22">
        <f>'Energy billing Mastersheet'!N3</f>
        <v>90</v>
      </c>
    </row>
    <row r="14" ht="15" customHeight="1" spans="2:4">
      <c r="B14" s="2"/>
      <c r="C14" s="3"/>
      <c r="D14" s="3"/>
    </row>
    <row r="15" ht="51" customHeight="1" spans="1:5">
      <c r="A15" s="23" t="s">
        <v>976</v>
      </c>
      <c r="B15" s="24" t="s">
        <v>977</v>
      </c>
      <c r="C15" s="25" t="s">
        <v>978</v>
      </c>
      <c r="D15" s="26" t="s">
        <v>979</v>
      </c>
      <c r="E15" s="27" t="s">
        <v>980</v>
      </c>
    </row>
    <row r="16" ht="30" customHeight="1" spans="1:5">
      <c r="A16" s="28" t="s">
        <v>981</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1/1/25 - 31/1/25</v>
      </c>
      <c r="B17" s="33">
        <f>IFERROR(Invoice3[[#This Row],[Amount due ($ Inc. GST)]]/Invoice3[[#This Row],[Usage]],0)</f>
        <v>8.11904761904762</v>
      </c>
      <c r="C17" s="34">
        <v>1</v>
      </c>
      <c r="D17" s="34" t="s">
        <v>982</v>
      </c>
      <c r="E17" s="35" cm="1">
        <f t="array" ref="E17">_xlfn.XLOOKUP($E$8,Table1[[#All],[Lot]],Table1[[#All],[Amanda Energy Daily Supply Charge ($)]],0,0,1)</f>
        <v>8.11904761904762</v>
      </c>
    </row>
    <row r="18" ht="30" customHeight="1" spans="1:5">
      <c r="A18" s="32" t="str">
        <f>"Amanda Energy Daily Supply Charge 1/"&amp;'Energy billing Mastersheet'!G2&amp;"/25 - "&amp;DAY(DATE(2025,'Energy billing Mastersheet'!G2+1,0))&amp;"/"&amp;'Energy billing Mastersheet'!G2&amp;"/25"</f>
        <v>Amanda Energy Daily Supply Charge 1/2/25 - 28/2/25</v>
      </c>
      <c r="B18" s="33">
        <f>IFERROR(Invoice3[[#This Row],[Amount due ($ Inc. GST)]]/Invoice3[[#This Row],[Usage]],0)</f>
        <v>7.33333333333333</v>
      </c>
      <c r="C18" s="34">
        <v>1</v>
      </c>
      <c r="D18" s="34" t="s">
        <v>982</v>
      </c>
      <c r="E18" s="35" cm="1">
        <f t="array" ref="E18">_xlfn.XLOOKUP($E$8,Table1[[#All],[Lot]],Table1[[#All],[Amanda Energy Daily Supply Charge ($)2]],0,0,1)</f>
        <v>7.33333333333333</v>
      </c>
    </row>
    <row r="19" ht="30" customHeight="1" spans="1:5">
      <c r="A19" s="32" t="str">
        <f>"Amanda Energy Daily Supply Charge 1/"&amp;'Energy billing Mastersheet'!H2&amp;"/25 - "&amp;DAY(DATE(2025,'Energy billing Mastersheet'!H2+1,0))&amp;"/"&amp;'Energy billing Mastersheet'!H2&amp;"/25"</f>
        <v>Amanda Energy Daily Supply Charge 1/3/25 - 31/3/25</v>
      </c>
      <c r="B19" s="33">
        <f>IFERROR(Invoice3[[#This Row],[Amount due ($ Inc. GST)]]/Invoice3[[#This Row],[Usage]],0)</f>
        <v>0</v>
      </c>
      <c r="C19" s="34">
        <v>1</v>
      </c>
      <c r="D19" s="34" t="s">
        <v>982</v>
      </c>
      <c r="E19" s="35" t="e" cm="1">
        <f t="array" ref="E19">_xlfn.XLOOKUP($E$8,Table1[[#All],[Lot]],Table1[[#All],[Amanda Energy Daily Supply Charge ($)3]],0,0,1)</f>
        <v>#N/A</v>
      </c>
    </row>
    <row r="20" ht="30" customHeight="1" spans="1:5">
      <c r="A20" s="32" t="s">
        <v>983</v>
      </c>
      <c r="B20" s="33">
        <f>IFERROR(Invoice3[[#This Row],[Amount due ($ Inc. GST)]]/Invoice3[[#This Row],[Usage]],0)</f>
        <v>0</v>
      </c>
      <c r="C20" s="34">
        <v>1</v>
      </c>
      <c r="D20" s="34" t="s">
        <v>982</v>
      </c>
      <c r="E20" s="35" t="e" cm="1">
        <f t="array" ref="E20">_xlfn.XLOOKUP($E$8,Table1[[#All],[Lot]],Table1[[#All],[Amanda Energy Other fees ($)]],0,0,1)</f>
        <v>#N/A</v>
      </c>
    </row>
    <row r="21" ht="30" customHeight="1" spans="1:5">
      <c r="A21" s="36" t="s">
        <v>855</v>
      </c>
      <c r="B21" s="33">
        <f>IFERROR(Invoice3[[#This Row],[Amount due ($ Inc. GST)]]/Invoice3[[#This Row],[Usage]],0)</f>
        <v>0.22</v>
      </c>
      <c r="C21" s="34">
        <f>'Energy billing Mastersheet'!N3</f>
        <v>90</v>
      </c>
      <c r="D21" s="34" t="s">
        <v>984</v>
      </c>
      <c r="E21" s="35" cm="1">
        <f t="array" ref="E21">_xlfn.XLOOKUP($E$8,Table1[[#All],[Lot]],Table1[[#All],[Element47 Embedded Network Daily Supply Charges]],0,0,1)</f>
        <v>19.8</v>
      </c>
    </row>
    <row r="22" ht="30" customHeight="1" spans="1:7">
      <c r="A22" s="36" t="s">
        <v>877</v>
      </c>
      <c r="B22" s="33">
        <f>IFERROR(Invoice3[[#This Row],[Amount due ($ Inc. GST)]]/Invoice3[[#This Row],[Usage]],0)</f>
        <v>1.1</v>
      </c>
      <c r="C22" s="34">
        <v>1</v>
      </c>
      <c r="D22" s="34" t="s">
        <v>982</v>
      </c>
      <c r="E22" s="35" cm="1">
        <f t="array" ref="E22">_xlfn.XLOOKUP($E$8,Table1[[#All],[Lot]],Table1[[#All],[Element47 Embedded Network Invoicing Fees]],0,0,1)</f>
        <v>1.1</v>
      </c>
      <c r="G22" s="37"/>
    </row>
    <row r="23" ht="30" customHeight="1" spans="1:5">
      <c r="A23" s="38" t="s">
        <v>985</v>
      </c>
      <c r="B23" s="33">
        <f>IFERROR(Invoice3[[#This Row],[Amount due ($ Inc. GST)]]/Invoice3[[#This Row],[Usage]],0)</f>
        <v>0.0846246575342466</v>
      </c>
      <c r="C23" s="34">
        <f>C21</f>
        <v>90</v>
      </c>
      <c r="D23" s="34" t="s">
        <v>984</v>
      </c>
      <c r="E23" s="35" cm="1">
        <f t="array" ref="E23">_xlfn.XLOOKUP($E$8,Table1[[#All],[Lot]],Table1[[#All],[Chargefox Daily Supply Charge ($)]],0,0,1)</f>
        <v>7.61621917808219</v>
      </c>
    </row>
    <row r="24" ht="30" customHeight="1" spans="1:5">
      <c r="A24" s="38" t="s">
        <v>986</v>
      </c>
      <c r="B24" s="33">
        <f>IFERROR(Invoice3[[#This Row],[Amount due ($ Inc. GST)]]/Invoice3[[#This Row],[Usage]],0)</f>
        <v>0.150684931506849</v>
      </c>
      <c r="C24" s="34">
        <f>C21</f>
        <v>90</v>
      </c>
      <c r="D24" s="34" t="s">
        <v>984</v>
      </c>
      <c r="E24" s="35" cm="1">
        <f t="array" ref="E24">_xlfn.XLOOKUP($E$8,Table1[[#All],[Lot]],Table1[[#All],[SwitchdIn Cost Daily Supply Charge ($)]],0,0,1)</f>
        <v>13.5616438356164</v>
      </c>
    </row>
    <row r="25" ht="30" customHeight="1" spans="1:5">
      <c r="A25" s="39" t="s">
        <v>987</v>
      </c>
      <c r="B25" s="40">
        <f>IFERROR(Invoice3[[#This Row],[Amount due ($ Inc. GST)]]/Invoice3[[#This Row],[Usage]],0)</f>
        <v>0</v>
      </c>
      <c r="C25" s="41">
        <f>C24</f>
        <v>90</v>
      </c>
      <c r="D25" s="41" t="s">
        <v>984</v>
      </c>
      <c r="E25" s="42" t="e">
        <f>SUM(E17:E24)</f>
        <v>#N/A</v>
      </c>
    </row>
    <row r="26" ht="30" customHeight="1" spans="1:5">
      <c r="A26" s="43" t="s">
        <v>988</v>
      </c>
      <c r="B26" s="44"/>
      <c r="C26" s="45"/>
      <c r="D26" s="45"/>
      <c r="E26" s="46"/>
    </row>
    <row r="27" ht="30" customHeight="1" spans="1:5">
      <c r="A27" s="38" t="s">
        <v>989</v>
      </c>
      <c r="B27" s="33">
        <f>IFERROR(Invoice3[[#This Row],[Amount due ($ Inc. GST)]]/Invoice3[[#This Row],[Usage]],0)</f>
        <v>0.22</v>
      </c>
      <c r="C27" s="34" cm="1">
        <f t="array" ref="C27">_xlfn.XLOOKUP($E$8,Table1[[#All],[Lot]],Table1[[#All],[Common Services based on Split per Unit Entitlement % to battery (kWh)]],0,0,1)</f>
        <v>16.488</v>
      </c>
      <c r="D27" s="34" t="s">
        <v>990</v>
      </c>
      <c r="E27" s="35" cm="1">
        <f t="array" ref="E27">_xlfn.XLOOKUP($E$8,Table1[[#All],[Lot]],Table1[[#All],[Common Services Cost Split per Unit Entitlement at P2P rate ($)]],0,0,1)</f>
        <v>3.62736</v>
      </c>
    </row>
    <row r="28" ht="30" customHeight="1" spans="1:7">
      <c r="A28" s="38" t="s">
        <v>991</v>
      </c>
      <c r="B28" s="33">
        <f>IFERROR(Invoice3[[#This Row],[Amount due ($ Inc. GST)]]/Invoice3[[#This Row],[Usage]],0)</f>
        <v>0</v>
      </c>
      <c r="C28" s="34" cm="1">
        <f t="array" ref="C28">_xlfn.XLOOKUP($E$8,Table1[[#All],[Lot]],Table1[[#All],[Common Service based upon % total export to battery (kWh)]],0,0,1)</f>
        <v>0</v>
      </c>
      <c r="D28" s="34" t="s">
        <v>990</v>
      </c>
      <c r="E28" s="35" cm="1">
        <f t="array" ref="E28">_xlfn.XLOOKUP($E$8,Table1[[#All],[Lot]],Table1[[#All],[Common Service Earning based upon % total export to Load ($)]],0,0,1)</f>
        <v>0</v>
      </c>
      <c r="G28" s="47"/>
    </row>
    <row r="29" ht="30" customHeight="1" spans="1:7">
      <c r="A29" s="38" t="s">
        <v>992</v>
      </c>
      <c r="B29" s="33">
        <f>IFERROR(Invoice3[[#This Row],[Amount due ($ Inc. GST)]]/Invoice3[[#This Row],[Usage]],0)</f>
        <v>0.22</v>
      </c>
      <c r="C29" s="34" cm="1">
        <f t="array" ref="C29">_xlfn.XLOOKUP($E$8,Table1[[#All],[Lot]],Table1[[#All],[Axillary Battery Losses based upon P2P import % (kWh)]],0,0,1)</f>
        <v>1.89669117647059</v>
      </c>
      <c r="D29" s="34" t="s">
        <v>990</v>
      </c>
      <c r="E29" s="35" cm="1">
        <f t="array" ref="E29">_xlfn.XLOOKUP($E$8,Table1[[#All],[Lot]],Table1[[#All],[Axillary Battery Loss Charges at P2P Rates based upon P2P import % ($)]],0,0,1)</f>
        <v>0.417272058823529</v>
      </c>
      <c r="G29" s="47"/>
    </row>
    <row r="30" ht="30" customHeight="1" spans="1:5">
      <c r="A30" s="38" t="s">
        <v>993</v>
      </c>
      <c r="B30" s="33">
        <f>IFERROR(Invoice3[[#This Row],[Amount due ($ Inc. GST)]]/Invoice3[[#This Row],[Usage]],0)</f>
        <v>0</v>
      </c>
      <c r="C30" s="34" cm="1">
        <f t="array" ref="C30">_xlfn.XLOOKUP($E$8,Table1[[#All],[Lot]],Table1[[#All],[Axillary Battery Losses based upon Adjusted % total export (kWh)]],0,0,1)</f>
        <v>0</v>
      </c>
      <c r="D30" s="34" t="s">
        <v>990</v>
      </c>
      <c r="E30" s="35" cm="1">
        <f t="array" ref="E30">_xlfn.XLOOKUP($E$8,Table1[[#All],[Lot]],Table1[[#All],[Axillary Battery Losses based upon % total export  ($)]],0,0,1)</f>
        <v>0</v>
      </c>
    </row>
    <row r="31" ht="30" customHeight="1" spans="1:5">
      <c r="A31" s="38" t="s">
        <v>994</v>
      </c>
      <c r="B31" s="33">
        <f>IFERROR(Invoice3[[#This Row],[Amount due ($ Inc. GST)]]/Invoice3[[#This Row],[Usage]],0)</f>
        <v>0</v>
      </c>
      <c r="C31" s="34" cm="1">
        <f t="array" ref="C31">_xlfn.XLOOKUP("EV",Table1[[#All],[Lot]],Table1[[#All],[Total Consumption Import  (kWh)]],0,0,1)*E11</f>
        <v>58.212</v>
      </c>
      <c r="D31" s="34" t="s">
        <v>990</v>
      </c>
      <c r="E31" s="35" cm="1">
        <f t="array" ref="E31">_xlfn.XLOOKUP($E$8,Table1[[#All],[Lot]],Table1[[#All],[EV Charger Income from Sales Equitable Distribution on UE ($)]],0,0,1)</f>
        <v>0</v>
      </c>
    </row>
    <row r="32" ht="30" customHeight="1" spans="1:5">
      <c r="A32" s="38" t="s">
        <v>995</v>
      </c>
      <c r="B32" s="33">
        <f>IFERROR(Invoice3[[#This Row],[Amount due ($ Inc. GST)]]/Invoice3[[#This Row],[Usage]],0)</f>
        <v>0.22</v>
      </c>
      <c r="C32" s="34" cm="1">
        <f t="array" ref="C32">_xlfn.XLOOKUP("EV",Table1[[#All],[Lot]],Table1[[#All],[Total Consumption Import  (kWh)]],0,0,1)*E11</f>
        <v>58.212</v>
      </c>
      <c r="D32" s="34" t="s">
        <v>990</v>
      </c>
      <c r="E32" s="35" cm="1">
        <f t="array" ref="E32">_xlfn.XLOOKUP($E$8,Table1[[#All],[Lot]],Table1[[#All],[EV Charger Cost of Electricity Supply at P2P Rates ($)]],0,0,1)</f>
        <v>12.80664</v>
      </c>
    </row>
    <row r="33" ht="30" customHeight="1" spans="1:5">
      <c r="A33" s="38" t="s">
        <v>996</v>
      </c>
      <c r="B33" s="33">
        <f>IFERROR(Invoice3[[#This Row],[Amount due ($ Inc. GST)]]/Invoice3[[#This Row],[Usage]],0)</f>
        <v>0</v>
      </c>
      <c r="C33" s="34" cm="1">
        <f t="array" ref="C33">_xlfn.XLOOKUP($E$8,Table1[[#All],[Lot]],Table1[[#All],[EV Charger based upon % total export to battery (kWh)]],0,0,1)</f>
        <v>0</v>
      </c>
      <c r="D33" s="34" t="s">
        <v>990</v>
      </c>
      <c r="E33" s="35" cm="1">
        <f t="array" ref="E33">_xlfn.XLOOKUP($E$8,Table1[[#All],[Lot]],Table1[[#All],[EV Charger based upon % total export ($)]],0,0,1)</f>
        <v>0</v>
      </c>
    </row>
    <row r="34" ht="30" customHeight="1" spans="1:5">
      <c r="A34" s="38" t="s">
        <v>997</v>
      </c>
      <c r="B34" s="33">
        <f>IFERROR(Invoice3[[#This Row],[Amount due ($ Inc. GST)]]/Invoice3[[#This Row],[Usage]],0)</f>
        <v>0</v>
      </c>
      <c r="C34" s="34" cm="1">
        <f t="array" ref="C34">_xlfn.XLOOKUP("EV",Table1[[#All],[Lot]],Table1[[#All],[Total Consumption Import  (kWh)]],0,0,1)*E11</f>
        <v>58.212</v>
      </c>
      <c r="D34" s="34" t="s">
        <v>990</v>
      </c>
      <c r="E34" s="35" cm="1">
        <f t="array" ref="E34">_xlfn.XLOOKUP($E$8,Table1[[#All],[Lot]],Table1[[#All],[Chargefox Commission on EV Charge Consumption Sales Cost Split by Unit Entitlement ($)]],0,0,1)</f>
        <v>0</v>
      </c>
    </row>
    <row r="35" ht="30" customHeight="1" spans="1:5">
      <c r="A35" s="39" t="s">
        <v>998</v>
      </c>
      <c r="B35" s="48">
        <f>Invoice3[[#This Row],[Amount due ($ Inc. GST)]]/Invoice3[[#This Row],[Usage]]</f>
        <v>0.18723635620915</v>
      </c>
      <c r="C35" s="49">
        <f>C24</f>
        <v>90</v>
      </c>
      <c r="D35" s="49" t="s">
        <v>984</v>
      </c>
      <c r="E35" s="50">
        <f>SUM(E27:E34)</f>
        <v>16.8512720588235</v>
      </c>
    </row>
    <row r="36" ht="30" customHeight="1" spans="1:5">
      <c r="A36" s="43" t="s">
        <v>999</v>
      </c>
      <c r="B36" s="51"/>
      <c r="C36" s="52"/>
      <c r="D36" s="52"/>
      <c r="E36" s="53"/>
    </row>
    <row r="37" ht="30" customHeight="1" spans="1:5">
      <c r="A37" s="38" t="s">
        <v>1000</v>
      </c>
      <c r="B37" s="33">
        <f>IFERROR(Invoice3[[#This Row],[Amount due ($ Inc. GST)]]/Invoice3[[#This Row],[Usage]],0)</f>
        <v>0.22</v>
      </c>
      <c r="C37" s="34" cm="1">
        <f t="array" ref="C37">_xlfn.XLOOKUP($E$8,Table1[[#All],[Lot]],Table1[[#All],[Total P2P import (kWh)]],0,0,1)</f>
        <v>7</v>
      </c>
      <c r="D37" s="34" t="s">
        <v>990</v>
      </c>
      <c r="E37" s="35" cm="1">
        <f t="array" ref="E37">_xlfn.XLOOKUP($E$8,Table1[[#All],[Lot]],Table1[[#All],[P2P Import Cost ($)]],0,0,1)</f>
        <v>1.54</v>
      </c>
    </row>
    <row r="38" ht="30" customHeight="1" spans="1:5">
      <c r="A38" s="38" t="s">
        <v>1001</v>
      </c>
      <c r="B38" s="33">
        <f>IFERROR(Invoice3[[#This Row],[Amount due ($ Inc. GST)]]/Invoice3[[#This Row],[Usage]],0)</f>
        <v>0</v>
      </c>
      <c r="C38" s="34" cm="1">
        <f t="array" ref="C38">_xlfn.XLOOKUP($E$8,Table1[[#All],[Lot]],Table1[[#All],[P2P Import Consumption over Battery Allowance based on Energy Exceeding Allowance % (kWh)]],0,0,1)</f>
        <v>0</v>
      </c>
      <c r="D38" s="34" t="s">
        <v>990</v>
      </c>
      <c r="E38" s="35" cm="1">
        <f t="array" ref="E38">_xlfn.XLOOKUP($E$8,Table1[[#All],[Lot]],Table1[[#All],[Exceeding Battery Allowance P2P Fee ($)]],0,0,1)</f>
        <v>0</v>
      </c>
    </row>
    <row r="39" ht="30" customHeight="1" spans="1:5">
      <c r="A39" s="38" t="s">
        <v>1002</v>
      </c>
      <c r="B39" s="33">
        <f>IFERROR(Invoice3[[#This Row],[Amount due ($ Inc. GST)]]/Invoice3[[#This Row],[Usage]],0)</f>
        <v>0</v>
      </c>
      <c r="C39" s="34" cm="1">
        <f t="array" ref="C39">_xlfn.XLOOKUP($E$8,Table1[[#All],[Lot]],Table1[[#All],[Energy Import from Grid (kWh)]],0,0,1)</f>
        <v>0</v>
      </c>
      <c r="D39" s="34" t="s">
        <v>990</v>
      </c>
      <c r="E39" s="35" cm="1">
        <f t="array" ref="E39">_xlfn.XLOOKUP($E$8,Table1[[#All],[Lot]],Table1[[#All],[Import From Grid Cost ($)]],0,0,1)</f>
        <v>0</v>
      </c>
    </row>
    <row r="40" ht="30" customHeight="1" spans="1:5">
      <c r="A40" s="39" t="s">
        <v>1003</v>
      </c>
      <c r="B40" s="48">
        <f>Invoice3[[#This Row],[Amount due ($ Inc. GST)]]/Invoice3[[#This Row],[Usage]]</f>
        <v>0.0171111111111111</v>
      </c>
      <c r="C40" s="49">
        <f>C35</f>
        <v>90</v>
      </c>
      <c r="D40" s="49" t="s">
        <v>984</v>
      </c>
      <c r="E40" s="50">
        <f>SUM(E37:E39)</f>
        <v>1.54</v>
      </c>
    </row>
    <row r="41" ht="30" customHeight="1" spans="1:5">
      <c r="A41" s="43" t="s">
        <v>1004</v>
      </c>
      <c r="B41" s="33"/>
      <c r="C41" s="34"/>
      <c r="D41" s="34"/>
      <c r="E41" s="46"/>
    </row>
    <row r="42" ht="30" customHeight="1" spans="1:5">
      <c r="A42" s="54" t="s">
        <v>1005</v>
      </c>
      <c r="B42" s="33">
        <f>IFERROR(Invoice3[[#This Row],[Amount due ($ Inc. GST)]]/Invoice3[[#This Row],[Usage]],0)</f>
        <v>0</v>
      </c>
      <c r="C42" s="34" cm="1">
        <f t="array" ref="C42">_xlfn.XLOOKUP($E$8,Table1[[#All],[Lot]],Table1[[#All],[Total Energy Export P2P to battery (kWh)]],0,0,1)</f>
        <v>0</v>
      </c>
      <c r="D42" s="34" t="s">
        <v>990</v>
      </c>
      <c r="E42" s="35" cm="1">
        <f t="array" ref="E42">_xlfn.XLOOKUP($E$8,Table1[[#All],[Lot]],Table1[[#All],[P2P Export Earnings ($)]],0,0,1)</f>
        <v>0</v>
      </c>
    </row>
    <row r="43" ht="30" customHeight="1" spans="1:5">
      <c r="A43" s="32" t="s">
        <v>1006</v>
      </c>
      <c r="B43" s="33">
        <f>IFERROR(Invoice3[[#This Row],[Amount due ($ Inc. GST)]]/Invoice3[[#This Row],[Usage]],0)</f>
        <v>0</v>
      </c>
      <c r="C43" s="34" cm="1">
        <f t="array" ref="C43">_xlfn.XLOOKUP($E$8,Table1[[#All],[Lot]],Table1[[#All],[Borrowed Allowance Based on Unused Daily Allowance % (kWh)]],0,0,1)</f>
        <v>0</v>
      </c>
      <c r="D43" s="34" t="s">
        <v>990</v>
      </c>
      <c r="E43" s="35" cm="1">
        <f t="array" ref="E43">_xlfn.XLOOKUP($E$8,Table1[[#All],[Lot]],Table1[[#All],[Passive Compensation ($)]],0,0,1)</f>
        <v>0</v>
      </c>
    </row>
    <row r="44" ht="30" customHeight="1" spans="1:5">
      <c r="A44" s="32" t="s">
        <v>1007</v>
      </c>
      <c r="B44" s="33">
        <f>IFERROR(Invoice3[[#This Row],[Amount due ($ Inc. GST)]]/Invoice3[[#This Row],[Usage]],0)</f>
        <v>0</v>
      </c>
      <c r="C44" s="34" cm="1">
        <f t="array" ref="C44">_xlfn.XLOOKUP($E$8,Table1[[#All],[Lot]],Table1[[#All],[Energy Export to Grid after Losses (kWh)]],0,0,1)</f>
        <v>0</v>
      </c>
      <c r="D44" s="34" t="s">
        <v>990</v>
      </c>
      <c r="E44" s="35" cm="1">
        <f t="array" ref="E44">_xlfn.XLOOKUP($E$8,Table1[[#All],[Lot]],Table1[[#All],[Grid Export Earnings ($)]],0,0,1)</f>
        <v>0</v>
      </c>
    </row>
    <row r="45" ht="34" customHeight="1" spans="1:5">
      <c r="A45" s="39" t="s">
        <v>1008</v>
      </c>
      <c r="B45" s="33">
        <f>IFERROR(Invoice3[[#This Row],[Amount due ($ Inc. GST)]]/Invoice3[[#This Row],[Usage]],0)</f>
        <v>0</v>
      </c>
      <c r="C45" s="49">
        <f>C40</f>
        <v>90</v>
      </c>
      <c r="D45" s="49" t="s">
        <v>984</v>
      </c>
      <c r="E45" s="50">
        <f>SUBTOTAL(109,E42:E44)</f>
        <v>0</v>
      </c>
    </row>
    <row r="46" ht="30" customHeight="1" spans="1:5">
      <c r="A46" s="55" t="s">
        <v>1009</v>
      </c>
      <c r="B46" s="56">
        <f>IFERROR(Invoice3[[#This Row],[Amount due ($ Inc. GST)]]/Invoice3[[#This Row],[Usage]],0)</f>
        <v>0</v>
      </c>
      <c r="C46" s="57">
        <f>C45</f>
        <v>90</v>
      </c>
      <c r="D46" s="57" t="s">
        <v>984</v>
      </c>
      <c r="E46" s="58" t="e">
        <f>E25+E45+E35+E40</f>
        <v>#N/A</v>
      </c>
    </row>
    <row r="47" s="1" customFormat="1" ht="32" customHeight="1" spans="1:5">
      <c r="A47" s="59" t="s">
        <v>1010</v>
      </c>
      <c r="B47" s="60"/>
      <c r="C47" s="61"/>
      <c r="D47" s="61"/>
      <c r="E47" s="62"/>
    </row>
    <row r="48" spans="1:5">
      <c r="A48" s="63" t="e">
        <f ca="1">IF(E48&gt;0,"Payment due "&amp;TEXT(EOMONTH(TODAY(),0)+15,"dd/mm/yy"),"REFUND due "&amp;TEXT(EOMONTH(TODAY(),0)+15,"dd/mm/yy"))</f>
        <v>#N/A</v>
      </c>
      <c r="B48" s="64" t="s">
        <v>1011</v>
      </c>
      <c r="C48" s="65"/>
      <c r="D48" s="65"/>
      <c r="E48" s="66" t="e">
        <f>E46-E47</f>
        <v>#N/A</v>
      </c>
    </row>
    <row r="49" spans="2:5">
      <c r="B49" s="2"/>
      <c r="C49" s="67"/>
      <c r="D49" s="67"/>
      <c r="E49" s="68"/>
    </row>
    <row r="50" ht="14" customHeight="1" spans="1:5">
      <c r="A50" s="69" t="str">
        <f>CONCATENATE("Bank Details/Account Name:",VLOOKUP(E7,Rep_table[],13,FALSE))</f>
        <v>Bank Details/Account Name:Owners Cluster 1A</v>
      </c>
      <c r="B50" s="70"/>
      <c r="C50" s="67"/>
      <c r="D50" s="67"/>
      <c r="E50" s="68"/>
    </row>
    <row r="51" spans="1:2">
      <c r="A51" s="69" t="str">
        <f>CONCATENATE("BSB:",VLOOKUP(E7,Rep_table[],14,FALSE))</f>
        <v>BSB:633-000</v>
      </c>
      <c r="B51" s="70"/>
    </row>
    <row r="52" spans="1:4">
      <c r="A52" s="69" t="str">
        <f>CONCATENATE("Account:",VLOOKUP(E7,Rep_table[],15,FALSE))</f>
        <v>Account:209 071 927</v>
      </c>
      <c r="B52" s="71"/>
      <c r="C52" s="3"/>
      <c r="D52" s="3"/>
    </row>
    <row r="53" spans="2:4">
      <c r="B53" s="2"/>
      <c r="C53" s="3"/>
      <c r="D53" s="3"/>
    </row>
    <row r="54" ht="15" spans="1:5">
      <c r="A54" s="72" t="str">
        <f>CONCATENATE("Please use payment reference: Surname Inv No i.e. ",IF(ISNUMBER(SEARCH("trust",A11)),_xlfn.TEXTBEFORE(A11," ",1),_xlfn.TEXTAFTER(A11," ",-1))," ",E6)</f>
        <v>Please use payment reference: Surname Inv No i.e. Mead 1A1/0325</v>
      </c>
      <c r="B54" s="72"/>
      <c r="C54" s="72"/>
      <c r="D54" s="72"/>
      <c r="E54" s="72"/>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B5D1AD9-A45F-4B6A-A986-3824726EC3C3}">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9</vt:i4>
      </vt:variant>
    </vt:vector>
  </HeadingPairs>
  <TitlesOfParts>
    <vt:vector size="9" baseType="lpstr">
      <vt:lpstr>Insutrcution for whole process</vt:lpstr>
      <vt:lpstr>strata rep contacts</vt:lpstr>
      <vt:lpstr>strata roll</vt:lpstr>
      <vt:lpstr>Amanda Energy</vt:lpstr>
      <vt:lpstr>reading-import</vt:lpstr>
      <vt:lpstr>reading-export</vt:lpstr>
      <vt:lpstr>Tariff Rates</vt:lpstr>
      <vt:lpstr>Energy billing Mastersheet</vt:lpstr>
      <vt:lpstr>Lot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Jager</dc:creator>
  <cp:lastModifiedBy>Shane</cp:lastModifiedBy>
  <dcterms:created xsi:type="dcterms:W3CDTF">2017-05-01T05:13:00Z</dcterms:created>
  <cp:lastPrinted>2024-12-17T13:06:00Z</cp:lastPrinted>
  <dcterms:modified xsi:type="dcterms:W3CDTF">2025-04-22T07:31:57Z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5F4039DA7FDE45EEB65C951DE2348DC9_12</vt:lpwstr>
  </property>
  <property fmtid="{D5CDD505-2E9C-101B-9397-08002B2CF9AE}" pid="3" name="KSOProductBuildVer">
    <vt:lpwstr>1033-12.2.0.20795</vt:lpwstr>
  </property>
</Properties>
</file>